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'QA_Products'!$A$1:$Z$11</definedName>
    <definedName name="_xlnm._FilterDatabase" localSheetId="2" hidden="1">'QA_Criteria'!$A$1:$I$111</definedName>
    <definedName name="_xlnm._FilterDatabase" localSheetId="3" hidden="1">'QA_Images'!$A$1:$Q$63</definedName>
    <definedName name="_xlnm._FilterDatabase" localSheetId="4" hidden="1">'QA_Issues'!$A$1:$L$103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9" customWidth="1" min="3" max="3"/>
    <col width="22" customWidth="1" min="4" max="4"/>
    <col width="17" customWidth="1" min="5" max="5"/>
    <col width="20" customWidth="1" min="6" max="6"/>
    <col width="20" customWidth="1" min="7" max="7"/>
    <col width="18" customWidth="1" min="8" max="8"/>
    <col width="18" customWidth="1" min="9" max="9"/>
    <col width="20" customWidth="1" min="10" max="10"/>
    <col width="18" customWidth="1" min="11" max="11"/>
    <col width="24" customWidth="1" min="12" max="12"/>
    <col width="19" customWidth="1" min="13" max="13"/>
    <col width="15" customWidth="1" min="14" max="14"/>
    <col width="28" customWidth="1" min="15" max="15"/>
  </cols>
  <sheetData>
    <row r="1">
      <c r="A1" s="1" t="inlineStr">
        <is>
          <t>batch_name</t>
        </is>
      </c>
      <c r="B1" s="1" t="inlineStr">
        <is>
          <t>run_id</t>
        </is>
      </c>
      <c r="C1" s="1" t="inlineStr">
        <is>
          <t>total_products</t>
        </is>
      </c>
      <c r="D1" s="1" t="inlineStr">
        <is>
          <t>assessed_products</t>
        </is>
      </c>
      <c r="E1" s="1" t="inlineStr">
        <is>
          <t>total_images</t>
        </is>
      </c>
      <c r="F1" s="1" t="inlineStr">
        <is>
          <t>assessed_images</t>
        </is>
      </c>
      <c r="G1" s="1" t="inlineStr">
        <is>
          <t>assessed_weight</t>
        </is>
      </c>
      <c r="H1" s="1" t="inlineStr">
        <is>
          <t>average_score</t>
        </is>
      </c>
      <c r="I1" s="1" t="inlineStr">
        <is>
          <t>qa_pass_count</t>
        </is>
      </c>
      <c r="J1" s="1" t="inlineStr">
        <is>
          <t>qa_revise_count</t>
        </is>
      </c>
      <c r="K1" s="1" t="inlineStr">
        <is>
          <t>qa_fail_count</t>
        </is>
      </c>
      <c r="L1" s="1" t="inlineStr">
        <is>
          <t>qa_incomplete_count</t>
        </is>
      </c>
      <c r="M1" s="1" t="inlineStr">
        <is>
          <t>overall_status</t>
        </is>
      </c>
      <c r="N1" s="1" t="inlineStr">
        <is>
          <t>audit_date</t>
        </is>
      </c>
      <c r="O1" s="1" t="inlineStr">
        <is>
          <t>auditor</t>
        </is>
      </c>
    </row>
    <row r="2">
      <c r="A2" s="2" t="inlineStr">
        <is>
          <t>qa_batch_017_r3</t>
        </is>
      </c>
      <c r="B2" s="2" t="inlineStr">
        <is>
          <t>20260908_103500</t>
        </is>
      </c>
      <c r="C2" s="3">
        <f>COUNTA(QA_Products!A2:A11)</f>
        <v/>
      </c>
      <c r="D2" s="3">
        <f>COUNTIF(QA_Products!H2:H11,TRUE)</f>
        <v/>
      </c>
      <c r="E2" s="3">
        <f>COUNTA(QA_Images!A2:A63)</f>
        <v/>
      </c>
      <c r="F2" s="3">
        <f>COUNTIF(QA_Images!O2:O63,"&lt;&gt;")</f>
        <v/>
      </c>
      <c r="G2" s="4" t="n">
        <v>100</v>
      </c>
      <c r="H2" s="3">
        <f>ROUND(AVERAGE(QA_Products!T2:T11),2)</f>
        <v/>
      </c>
      <c r="I2" s="3">
        <f>COUNTIF(QA_Products!Y2:Y11,"QA_PASS")</f>
        <v/>
      </c>
      <c r="J2" s="3">
        <f>COUNTIF(QA_Products!Y2:Y11,"QA_REVISE")</f>
        <v/>
      </c>
      <c r="K2" s="3">
        <f>COUNTIF(QA_Products!Y2:Y11,"QA_FAIL")</f>
        <v/>
      </c>
      <c r="L2" s="3">
        <f>COUNTIF(QA_Products!Y2:Y11,"QA_INCOMPLETE")</f>
        <v/>
      </c>
      <c r="M2" s="3">
        <f>IF(K2&gt;0,"QA_FAIL",IF(J2&gt;0,"QA_REVISE","QA_PASS"))</f>
        <v/>
      </c>
      <c r="N2" s="2" t="inlineStr">
        <is>
          <t>2026-09-08</t>
        </is>
      </c>
      <c r="O2" s="2" t="inlineStr">
        <is>
          <t>Antigravity Independent QA</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3" customWidth="1" min="3" max="3"/>
    <col width="42" customWidth="1" min="4" max="4"/>
    <col width="41" customWidth="1" min="5" max="5"/>
    <col width="41" customWidth="1" min="6" max="6"/>
    <col width="42"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6" customWidth="1" min="20" max="20"/>
    <col width="26" customWidth="1" min="21" max="21"/>
    <col width="23" customWidth="1" min="22" max="22"/>
    <col width="23" customWidth="1" min="23" max="23"/>
    <col width="21" customWidth="1" min="24" max="24"/>
    <col width="14" customWidth="1" min="25" max="25"/>
    <col width="42" customWidth="1" min="26" max="26"/>
  </cols>
  <sheetData>
    <row r="1">
      <c r="A1" s="1" t="inlineStr">
        <is>
          <t>product_key</t>
        </is>
      </c>
      <c r="B1" s="1" t="inlineStr">
        <is>
          <t>Handle</t>
        </is>
      </c>
      <c r="C1" s="1" t="inlineStr">
        <is>
          <t>inventory_position</t>
        </is>
      </c>
      <c r="D1" s="1" t="inlineStr">
        <is>
          <t>product_title_current</t>
        </is>
      </c>
      <c r="E1" s="1" t="inlineStr">
        <is>
          <t>product_title_proposed</t>
        </is>
      </c>
      <c r="F1" s="1" t="inlineStr">
        <is>
          <t>primary_keyword</t>
        </is>
      </c>
      <c r="G1" s="1" t="inlineStr">
        <is>
          <t>secondary_keywords</t>
        </is>
      </c>
      <c r="H1" s="1" t="inlineStr">
        <is>
          <t>page_read</t>
        </is>
      </c>
      <c r="I1" s="1" t="inlineStr">
        <is>
          <t>P1_score</t>
        </is>
      </c>
      <c r="J1" s="1" t="inlineStr">
        <is>
          <t>P2_score</t>
        </is>
      </c>
      <c r="K1" s="1" t="inlineStr">
        <is>
          <t>K1_score</t>
        </is>
      </c>
      <c r="L1" s="1" t="inlineStr">
        <is>
          <t>K2_score</t>
        </is>
      </c>
      <c r="M1" s="1" t="inlineStr">
        <is>
          <t>K3_score</t>
        </is>
      </c>
      <c r="N1" s="1" t="inlineStr">
        <is>
          <t>T1_score</t>
        </is>
      </c>
      <c r="O1" s="1" t="inlineStr">
        <is>
          <t>T2_score</t>
        </is>
      </c>
      <c r="P1" s="1" t="inlineStr">
        <is>
          <t>D1_score</t>
        </is>
      </c>
      <c r="Q1" s="1" t="inlineStr">
        <is>
          <t>D2_score</t>
        </is>
      </c>
      <c r="R1" s="1" t="inlineStr">
        <is>
          <t>I1_score</t>
        </is>
      </c>
      <c r="S1" s="1" t="inlineStr">
        <is>
          <t>E1_score</t>
        </is>
      </c>
      <c r="T1" s="1" t="inlineStr">
        <is>
          <t>total_score</t>
        </is>
      </c>
      <c r="U1" s="1" t="inlineStr">
        <is>
          <t>critical_issues_count</t>
        </is>
      </c>
      <c r="V1" s="1" t="inlineStr">
        <is>
          <t>major_issues_count</t>
        </is>
      </c>
      <c r="W1" s="1" t="inlineStr">
        <is>
          <t>minor_issues_count</t>
        </is>
      </c>
      <c r="X1" s="1" t="inlineStr">
        <is>
          <t>limitation_count</t>
        </is>
      </c>
      <c r="Y1" s="1" t="inlineStr">
        <is>
          <t>qa_status</t>
        </is>
      </c>
      <c r="Z1" s="1" t="inlineStr">
        <is>
          <t>notes</t>
        </is>
      </c>
    </row>
    <row r="2">
      <c r="A2" s="5" t="inlineStr">
        <is>
          <t>jeminise.com+norse-mythology-raven-within-celtic-knot-frame-quilt-906ee24d68-906ee24d68</t>
        </is>
      </c>
      <c r="B2" s="5" t="inlineStr">
        <is>
          <t>norse-mythology-raven-within-celtic-knot-frame-quilt-906ee24d68-906ee24d68</t>
        </is>
      </c>
      <c r="C2" s="4" t="n">
        <v>161</v>
      </c>
      <c r="D2" s="5" t="inlineStr">
        <is>
          <t>Norse Mythology Raven Within Celtic Knot Frame Quilt</t>
        </is>
      </c>
      <c r="E2" s="2" t="inlineStr">
        <is>
          <t>Blue Raven Celtic Knot Quilt</t>
        </is>
      </c>
      <c r="F2" s="2" t="inlineStr">
        <is>
          <t>blue raven Celtic knot quilt</t>
        </is>
      </c>
      <c r="G2" s="5" t="inlineStr">
        <is>
          <t>Norse raven Celtic quilt, Viking raven quilt set, Celtic knot raven bedding</t>
        </is>
      </c>
      <c r="H2" s="4" t="b">
        <v>1</v>
      </c>
      <c r="I2" s="3">
        <f>SUMIFS(QA_Criteria!F:F,QA_Criteria!B:B,A2,QA_Criteria!C:C,"P1")</f>
        <v/>
      </c>
      <c r="J2" s="3">
        <f>SUMIFS(QA_Criteria!F:F,QA_Criteria!B:B,A2,QA_Criteria!C:C,"P2")</f>
        <v/>
      </c>
      <c r="K2" s="3">
        <f>SUMIFS(QA_Criteria!F:F,QA_Criteria!B:B,A2,QA_Criteria!C:C,"K1")</f>
        <v/>
      </c>
      <c r="L2" s="3">
        <f>SUMIFS(QA_Criteria!F:F,QA_Criteria!B:B,A2,QA_Criteria!C:C,"K2")</f>
        <v/>
      </c>
      <c r="M2" s="3">
        <f>SUMIFS(QA_Criteria!F:F,QA_Criteria!B:B,A2,QA_Criteria!C:C,"K3")</f>
        <v/>
      </c>
      <c r="N2" s="3">
        <f>SUMIFS(QA_Criteria!F:F,QA_Criteria!B:B,A2,QA_Criteria!C:C,"T1")</f>
        <v/>
      </c>
      <c r="O2" s="3">
        <f>SUMIFS(QA_Criteria!F:F,QA_Criteria!B:B,A2,QA_Criteria!C:C,"T2")</f>
        <v/>
      </c>
      <c r="P2" s="3">
        <f>SUMIFS(QA_Criteria!F:F,QA_Criteria!B:B,A2,QA_Criteria!C:C,"D1")</f>
        <v/>
      </c>
      <c r="Q2" s="3">
        <f>SUMIFS(QA_Criteria!F:F,QA_Criteria!B:B,A2,QA_Criteria!C:C,"D2")</f>
        <v/>
      </c>
      <c r="R2" s="3">
        <f>ROUND(0.20*AVERAGEIF(QA_Images!B:B,A2,QA_Images!N:N),2)</f>
        <v/>
      </c>
      <c r="S2" s="3">
        <f>SUMIFS(QA_Criteria!F:F,QA_Criteria!B:B,A2,QA_Criteria!C:C,"E1")</f>
        <v/>
      </c>
      <c r="T2" s="3">
        <f>IF(H2=TRUE,SUM(I2:S2),0)</f>
        <v/>
      </c>
      <c r="U2" s="3">
        <f>COUNTIFS(QA_Issues!B:B,A2,QA_Issues!D:D,"CRITICAL",QA_Issues!L:L,"&lt;&gt;RESOLVED",QA_Issues!L:L,"&lt;&gt;NOT_APPLICABLE")</f>
        <v/>
      </c>
      <c r="V2" s="3">
        <f>COUNTIFS(QA_Issues!B:B,A2,QA_Issues!D:D,"MAJOR",QA_Issues!L:L,"&lt;&gt;RESOLVED",QA_Issues!L:L,"&lt;&gt;NOT_APPLICABLE")</f>
        <v/>
      </c>
      <c r="W2" s="3">
        <f>COUNTIFS(QA_Issues!B:B,A2,QA_Issues!D:D,"MINOR",QA_Issues!L:L,"&lt;&gt;RESOLVED",QA_Issues!L:L,"&lt;&gt;NOT_APPLICABLE")</f>
        <v/>
      </c>
      <c r="X2" s="3">
        <f>COUNTIFS(QA_Issues!B:B,A2,QA_Issues!D:D,"LIMITATION",QA_Issues!L:L,"&lt;&gt;RESOLVED",QA_Issues!L:L,"&lt;&gt;NOT_APPLICABLE")</f>
        <v/>
      </c>
      <c r="Y2" s="3">
        <f>IF(U2&gt;0,"QA_FAIL",IF(H2=FALSE,"QA_INCOMPLETE",IF(T2&lt;70,"QA_FAIL",IF(OR(T2&lt;85,V2&gt;0),"QA_REVISE","QA_PASS"))))</f>
        <v/>
      </c>
      <c r="Z2" s="5" t="inlineStr">
        <is>
          <t>Direct visual audit complete (all gallery images inspected). Keyword mapping, titles, and meta tags are high quality. Proposed description copy contains meta-commentary and omits essential package/fabric specifications (D2 MAJOR issue).</t>
        </is>
      </c>
    </row>
    <row r="3">
      <c r="A3" s="5" t="inlineStr">
        <is>
          <t>jeminise.com+norse-mythology-viking-shield-with-crossed-axes-quilt-ca630a284e-ca630a284e</t>
        </is>
      </c>
      <c r="B3" s="5" t="inlineStr">
        <is>
          <t>norse-mythology-viking-shield-with-crossed-axes-quilt-ca630a284e-ca630a284e</t>
        </is>
      </c>
      <c r="C3" s="4" t="n">
        <v>162</v>
      </c>
      <c r="D3" s="5" t="inlineStr">
        <is>
          <t>Norse Mythology Viking Shield with Crossed Axes Quilt</t>
        </is>
      </c>
      <c r="E3" s="2" t="inlineStr">
        <is>
          <t>Valhalla Viking Shield Quilt</t>
        </is>
      </c>
      <c r="F3" s="2" t="inlineStr">
        <is>
          <t>Valhalla Viking shield quilt</t>
        </is>
      </c>
      <c r="G3" s="5" t="inlineStr">
        <is>
          <t>Viking shield quilt, crossed axes bedding, Norse Valhalla quilt</t>
        </is>
      </c>
      <c r="H3" s="4" t="b">
        <v>1</v>
      </c>
      <c r="I3" s="3">
        <f>SUMIFS(QA_Criteria!F:F,QA_Criteria!B:B,A3,QA_Criteria!C:C,"P1")</f>
        <v/>
      </c>
      <c r="J3" s="3">
        <f>SUMIFS(QA_Criteria!F:F,QA_Criteria!B:B,A3,QA_Criteria!C:C,"P2")</f>
        <v/>
      </c>
      <c r="K3" s="3">
        <f>SUMIFS(QA_Criteria!F:F,QA_Criteria!B:B,A3,QA_Criteria!C:C,"K1")</f>
        <v/>
      </c>
      <c r="L3" s="3">
        <f>SUMIFS(QA_Criteria!F:F,QA_Criteria!B:B,A3,QA_Criteria!C:C,"K2")</f>
        <v/>
      </c>
      <c r="M3" s="3">
        <f>SUMIFS(QA_Criteria!F:F,QA_Criteria!B:B,A3,QA_Criteria!C:C,"K3")</f>
        <v/>
      </c>
      <c r="N3" s="3">
        <f>SUMIFS(QA_Criteria!F:F,QA_Criteria!B:B,A3,QA_Criteria!C:C,"T1")</f>
        <v/>
      </c>
      <c r="O3" s="3">
        <f>SUMIFS(QA_Criteria!F:F,QA_Criteria!B:B,A3,QA_Criteria!C:C,"T2")</f>
        <v/>
      </c>
      <c r="P3" s="3">
        <f>SUMIFS(QA_Criteria!F:F,QA_Criteria!B:B,A3,QA_Criteria!C:C,"D1")</f>
        <v/>
      </c>
      <c r="Q3" s="3">
        <f>SUMIFS(QA_Criteria!F:F,QA_Criteria!B:B,A3,QA_Criteria!C:C,"D2")</f>
        <v/>
      </c>
      <c r="R3" s="3">
        <f>ROUND(0.20*AVERAGEIF(QA_Images!B:B,A3,QA_Images!N:N),2)</f>
        <v/>
      </c>
      <c r="S3" s="3">
        <f>SUMIFS(QA_Criteria!F:F,QA_Criteria!B:B,A3,QA_Criteria!C:C,"E1")</f>
        <v/>
      </c>
      <c r="T3" s="3">
        <f>IF(H3=TRUE,SUM(I3:S3),0)</f>
        <v/>
      </c>
      <c r="U3" s="3">
        <f>COUNTIFS(QA_Issues!B:B,A3,QA_Issues!D:D,"CRITICAL",QA_Issues!L:L,"&lt;&gt;RESOLVED",QA_Issues!L:L,"&lt;&gt;NOT_APPLICABLE")</f>
        <v/>
      </c>
      <c r="V3" s="3">
        <f>COUNTIFS(QA_Issues!B:B,A3,QA_Issues!D:D,"MAJOR",QA_Issues!L:L,"&lt;&gt;RESOLVED",QA_Issues!L:L,"&lt;&gt;NOT_APPLICABLE")</f>
        <v/>
      </c>
      <c r="W3" s="3">
        <f>COUNTIFS(QA_Issues!B:B,A3,QA_Issues!D:D,"MINOR",QA_Issues!L:L,"&lt;&gt;RESOLVED",QA_Issues!L:L,"&lt;&gt;NOT_APPLICABLE")</f>
        <v/>
      </c>
      <c r="X3" s="3">
        <f>COUNTIFS(QA_Issues!B:B,A3,QA_Issues!D:D,"LIMITATION",QA_Issues!L:L,"&lt;&gt;RESOLVED",QA_Issues!L:L,"&lt;&gt;NOT_APPLICABLE")</f>
        <v/>
      </c>
      <c r="Y3" s="3">
        <f>IF(U3&gt;0,"QA_FAIL",IF(H3=FALSE,"QA_INCOMPLETE",IF(T3&lt;70,"QA_FAIL",IF(OR(T3&lt;85,V3&gt;0),"QA_REVISE","QA_PASS"))))</f>
        <v/>
      </c>
      <c r="Z3" s="5" t="inlineStr">
        <is>
          <t>Direct visual audit complete (all gallery images inspected). Keyword mapping, titles, and meta tags are high quality. Proposed description copy contains meta-commentary and omits essential package/fabric specifications (D2 MAJOR issue).</t>
        </is>
      </c>
    </row>
    <row r="4">
      <c r="A4" s="5" t="inlineStr">
        <is>
          <t>jeminise.com+owl-patchwork-pattern-quilt-set-animals-quilt-set-style-owl-nights</t>
        </is>
      </c>
      <c r="B4" s="5" t="inlineStr">
        <is>
          <t>owl-patchwork-pattern-quilt-set-animals-quilt-set-style-owl-nights</t>
        </is>
      </c>
      <c r="C4" s="4" t="n">
        <v>163</v>
      </c>
      <c r="D4" s="5" t="inlineStr">
        <is>
          <t>Owl Patchwork Pattern Quilt Set, Animals Quilt Set Style, Owl Nights</t>
        </is>
      </c>
      <c r="E4" s="2" t="inlineStr">
        <is>
          <t>Blue Gold Owl Night Quilt Set</t>
        </is>
      </c>
      <c r="F4" s="2" t="inlineStr">
        <is>
          <t>blue gold owl night quilt set</t>
        </is>
      </c>
      <c r="G4" s="5" t="inlineStr">
        <is>
          <t>owl patchwork quilt, owl moon bedding, animal quilt set</t>
        </is>
      </c>
      <c r="H4" s="4" t="b">
        <v>1</v>
      </c>
      <c r="I4" s="3">
        <f>SUMIFS(QA_Criteria!F:F,QA_Criteria!B:B,A4,QA_Criteria!C:C,"P1")</f>
        <v/>
      </c>
      <c r="J4" s="3">
        <f>SUMIFS(QA_Criteria!F:F,QA_Criteria!B:B,A4,QA_Criteria!C:C,"P2")</f>
        <v/>
      </c>
      <c r="K4" s="3">
        <f>SUMIFS(QA_Criteria!F:F,QA_Criteria!B:B,A4,QA_Criteria!C:C,"K1")</f>
        <v/>
      </c>
      <c r="L4" s="3">
        <f>SUMIFS(QA_Criteria!F:F,QA_Criteria!B:B,A4,QA_Criteria!C:C,"K2")</f>
        <v/>
      </c>
      <c r="M4" s="3">
        <f>SUMIFS(QA_Criteria!F:F,QA_Criteria!B:B,A4,QA_Criteria!C:C,"K3")</f>
        <v/>
      </c>
      <c r="N4" s="3">
        <f>SUMIFS(QA_Criteria!F:F,QA_Criteria!B:B,A4,QA_Criteria!C:C,"T1")</f>
        <v/>
      </c>
      <c r="O4" s="3">
        <f>SUMIFS(QA_Criteria!F:F,QA_Criteria!B:B,A4,QA_Criteria!C:C,"T2")</f>
        <v/>
      </c>
      <c r="P4" s="3">
        <f>SUMIFS(QA_Criteria!F:F,QA_Criteria!B:B,A4,QA_Criteria!C:C,"D1")</f>
        <v/>
      </c>
      <c r="Q4" s="3">
        <f>SUMIFS(QA_Criteria!F:F,QA_Criteria!B:B,A4,QA_Criteria!C:C,"D2")</f>
        <v/>
      </c>
      <c r="R4" s="3">
        <f>ROUND(0.20*AVERAGEIF(QA_Images!B:B,A4,QA_Images!N:N),2)</f>
        <v/>
      </c>
      <c r="S4" s="3">
        <f>SUMIFS(QA_Criteria!F:F,QA_Criteria!B:B,A4,QA_Criteria!C:C,"E1")</f>
        <v/>
      </c>
      <c r="T4" s="3">
        <f>IF(H4=TRUE,SUM(I4:S4),0)</f>
        <v/>
      </c>
      <c r="U4" s="3">
        <f>COUNTIFS(QA_Issues!B:B,A4,QA_Issues!D:D,"CRITICAL",QA_Issues!L:L,"&lt;&gt;RESOLVED",QA_Issues!L:L,"&lt;&gt;NOT_APPLICABLE")</f>
        <v/>
      </c>
      <c r="V4" s="3">
        <f>COUNTIFS(QA_Issues!B:B,A4,QA_Issues!D:D,"MAJOR",QA_Issues!L:L,"&lt;&gt;RESOLVED",QA_Issues!L:L,"&lt;&gt;NOT_APPLICABLE")</f>
        <v/>
      </c>
      <c r="W4" s="3">
        <f>COUNTIFS(QA_Issues!B:B,A4,QA_Issues!D:D,"MINOR",QA_Issues!L:L,"&lt;&gt;RESOLVED",QA_Issues!L:L,"&lt;&gt;NOT_APPLICABLE")</f>
        <v/>
      </c>
      <c r="X4" s="3">
        <f>COUNTIFS(QA_Issues!B:B,A4,QA_Issues!D:D,"LIMITATION",QA_Issues!L:L,"&lt;&gt;RESOLVED",QA_Issues!L:L,"&lt;&gt;NOT_APPLICABLE")</f>
        <v/>
      </c>
      <c r="Y4" s="3">
        <f>IF(U4&gt;0,"QA_FAIL",IF(H4=FALSE,"QA_INCOMPLETE",IF(T4&lt;70,"QA_FAIL",IF(OR(T4&lt;85,V4&gt;0),"QA_REVISE","QA_PASS"))))</f>
        <v/>
      </c>
      <c r="Z4" s="5" t="inlineStr">
        <is>
          <t>Direct visual audit complete (all gallery images inspected). Keyword mapping, titles, and meta tags are high quality. Proposed description copy contains meta-commentary and omits essential package/fabric specifications (D2 MAJOR issue).</t>
        </is>
      </c>
    </row>
    <row r="5">
      <c r="A5" s="5" t="inlineStr">
        <is>
          <t>jeminise.com+pamnest-twin-halloween-comforter-set-with-sheets-5-pieces-design-01</t>
        </is>
      </c>
      <c r="B5" s="5" t="inlineStr">
        <is>
          <t>pamnest-twin-halloween-comforter-set-with-sheets-5-pieces-design-01</t>
        </is>
      </c>
      <c r="C5" s="4" t="n">
        <v>164</v>
      </c>
      <c r="D5" s="5" t="inlineStr">
        <is>
          <t>Pamnest Twin Halloween Comforter Set with Sheets, 5 Pieces - Design 01</t>
        </is>
      </c>
      <c r="E5" s="5" t="inlineStr">
        <is>
          <t>Witch Moon Halloween Comforter Set</t>
        </is>
      </c>
      <c r="F5" s="5" t="inlineStr">
        <is>
          <t>witch moon Halloween comforter set</t>
        </is>
      </c>
      <c r="G5" s="5" t="inlineStr">
        <is>
          <t>black white Halloween bedding, Halloween comforter set with sheets, twin Halloween comforter set</t>
        </is>
      </c>
      <c r="H5" s="4" t="b">
        <v>1</v>
      </c>
      <c r="I5" s="3">
        <f>SUMIFS(QA_Criteria!F:F,QA_Criteria!B:B,A5,QA_Criteria!C:C,"P1")</f>
        <v/>
      </c>
      <c r="J5" s="3">
        <f>SUMIFS(QA_Criteria!F:F,QA_Criteria!B:B,A5,QA_Criteria!C:C,"P2")</f>
        <v/>
      </c>
      <c r="K5" s="3">
        <f>SUMIFS(QA_Criteria!F:F,QA_Criteria!B:B,A5,QA_Criteria!C:C,"K1")</f>
        <v/>
      </c>
      <c r="L5" s="3">
        <f>SUMIFS(QA_Criteria!F:F,QA_Criteria!B:B,A5,QA_Criteria!C:C,"K2")</f>
        <v/>
      </c>
      <c r="M5" s="3">
        <f>SUMIFS(QA_Criteria!F:F,QA_Criteria!B:B,A5,QA_Criteria!C:C,"K3")</f>
        <v/>
      </c>
      <c r="N5" s="3">
        <f>SUMIFS(QA_Criteria!F:F,QA_Criteria!B:B,A5,QA_Criteria!C:C,"T1")</f>
        <v/>
      </c>
      <c r="O5" s="3">
        <f>SUMIFS(QA_Criteria!F:F,QA_Criteria!B:B,A5,QA_Criteria!C:C,"T2")</f>
        <v/>
      </c>
      <c r="P5" s="3">
        <f>SUMIFS(QA_Criteria!F:F,QA_Criteria!B:B,A5,QA_Criteria!C:C,"D1")</f>
        <v/>
      </c>
      <c r="Q5" s="3">
        <f>SUMIFS(QA_Criteria!F:F,QA_Criteria!B:B,A5,QA_Criteria!C:C,"D2")</f>
        <v/>
      </c>
      <c r="R5" s="3">
        <f>ROUND(0.20*AVERAGEIF(QA_Images!B:B,A5,QA_Images!N:N),2)</f>
        <v/>
      </c>
      <c r="S5" s="3">
        <f>SUMIFS(QA_Criteria!F:F,QA_Criteria!B:B,A5,QA_Criteria!C:C,"E1")</f>
        <v/>
      </c>
      <c r="T5" s="3">
        <f>IF(H5=TRUE,SUM(I5:S5),0)</f>
        <v/>
      </c>
      <c r="U5" s="3">
        <f>COUNTIFS(QA_Issues!B:B,A5,QA_Issues!D:D,"CRITICAL",QA_Issues!L:L,"&lt;&gt;RESOLVED",QA_Issues!L:L,"&lt;&gt;NOT_APPLICABLE")</f>
        <v/>
      </c>
      <c r="V5" s="3">
        <f>COUNTIFS(QA_Issues!B:B,A5,QA_Issues!D:D,"MAJOR",QA_Issues!L:L,"&lt;&gt;RESOLVED",QA_Issues!L:L,"&lt;&gt;NOT_APPLICABLE")</f>
        <v/>
      </c>
      <c r="W5" s="3">
        <f>COUNTIFS(QA_Issues!B:B,A5,QA_Issues!D:D,"MINOR",QA_Issues!L:L,"&lt;&gt;RESOLVED",QA_Issues!L:L,"&lt;&gt;NOT_APPLICABLE")</f>
        <v/>
      </c>
      <c r="X5" s="3">
        <f>COUNTIFS(QA_Issues!B:B,A5,QA_Issues!D:D,"LIMITATION",QA_Issues!L:L,"&lt;&gt;RESOLVED",QA_Issues!L:L,"&lt;&gt;NOT_APPLICABLE")</f>
        <v/>
      </c>
      <c r="Y5" s="3">
        <f>IF(U5&gt;0,"QA_FAIL",IF(H5=FALSE,"QA_INCOMPLETE",IF(T5&lt;70,"QA_FAIL",IF(OR(T5&lt;85,V5&gt;0),"QA_REVISE","QA_PASS"))))</f>
        <v/>
      </c>
      <c r="Z5" s="5" t="inlineStr">
        <is>
          <t>Direct visual audit complete (all gallery images inspected). Keyword mapping, titles, and meta tags are high quality. Proposed description copy contains meta-commentary and omits essential package/fabric specifications (D2 MAJOR issue).</t>
        </is>
      </c>
    </row>
    <row r="6">
      <c r="A6" s="5" t="inlineStr">
        <is>
          <t>jeminise.com+pamnest-twin-halloween-comforter-set-with-sheets-5-pieces-design-02</t>
        </is>
      </c>
      <c r="B6" s="5" t="inlineStr">
        <is>
          <t>pamnest-twin-halloween-comforter-set-with-sheets-5-pieces-design-02</t>
        </is>
      </c>
      <c r="C6" s="4" t="n">
        <v>165</v>
      </c>
      <c r="D6" s="5" t="inlineStr">
        <is>
          <t>Pamnest Twin Halloween Comforter Set with Sheets, 5 Pieces - Design 02</t>
        </is>
      </c>
      <c r="E6" s="5" t="inlineStr">
        <is>
          <t>Ghost Pumpkin Halloween Comforter Set</t>
        </is>
      </c>
      <c r="F6" s="5" t="inlineStr">
        <is>
          <t>ghost pumpkin Halloween comforter set</t>
        </is>
      </c>
      <c r="G6" s="5" t="inlineStr">
        <is>
          <t>dark blue Halloween bedding, pumpkin ghost comforter, twin Halloween comforter set</t>
        </is>
      </c>
      <c r="H6" s="4" t="b">
        <v>1</v>
      </c>
      <c r="I6" s="3">
        <f>SUMIFS(QA_Criteria!F:F,QA_Criteria!B:B,A6,QA_Criteria!C:C,"P1")</f>
        <v/>
      </c>
      <c r="J6" s="3">
        <f>SUMIFS(QA_Criteria!F:F,QA_Criteria!B:B,A6,QA_Criteria!C:C,"P2")</f>
        <v/>
      </c>
      <c r="K6" s="3">
        <f>SUMIFS(QA_Criteria!F:F,QA_Criteria!B:B,A6,QA_Criteria!C:C,"K1")</f>
        <v/>
      </c>
      <c r="L6" s="3">
        <f>SUMIFS(QA_Criteria!F:F,QA_Criteria!B:B,A6,QA_Criteria!C:C,"K2")</f>
        <v/>
      </c>
      <c r="M6" s="3">
        <f>SUMIFS(QA_Criteria!F:F,QA_Criteria!B:B,A6,QA_Criteria!C:C,"K3")</f>
        <v/>
      </c>
      <c r="N6" s="3">
        <f>SUMIFS(QA_Criteria!F:F,QA_Criteria!B:B,A6,QA_Criteria!C:C,"T1")</f>
        <v/>
      </c>
      <c r="O6" s="3">
        <f>SUMIFS(QA_Criteria!F:F,QA_Criteria!B:B,A6,QA_Criteria!C:C,"T2")</f>
        <v/>
      </c>
      <c r="P6" s="3">
        <f>SUMIFS(QA_Criteria!F:F,QA_Criteria!B:B,A6,QA_Criteria!C:C,"D1")</f>
        <v/>
      </c>
      <c r="Q6" s="3">
        <f>SUMIFS(QA_Criteria!F:F,QA_Criteria!B:B,A6,QA_Criteria!C:C,"D2")</f>
        <v/>
      </c>
      <c r="R6" s="3">
        <f>ROUND(0.20*AVERAGEIF(QA_Images!B:B,A6,QA_Images!N:N),2)</f>
        <v/>
      </c>
      <c r="S6" s="3">
        <f>SUMIFS(QA_Criteria!F:F,QA_Criteria!B:B,A6,QA_Criteria!C:C,"E1")</f>
        <v/>
      </c>
      <c r="T6" s="3">
        <f>IF(H6=TRUE,SUM(I6:S6),0)</f>
        <v/>
      </c>
      <c r="U6" s="3">
        <f>COUNTIFS(QA_Issues!B:B,A6,QA_Issues!D:D,"CRITICAL",QA_Issues!L:L,"&lt;&gt;RESOLVED",QA_Issues!L:L,"&lt;&gt;NOT_APPLICABLE")</f>
        <v/>
      </c>
      <c r="V6" s="3">
        <f>COUNTIFS(QA_Issues!B:B,A6,QA_Issues!D:D,"MAJOR",QA_Issues!L:L,"&lt;&gt;RESOLVED",QA_Issues!L:L,"&lt;&gt;NOT_APPLICABLE")</f>
        <v/>
      </c>
      <c r="W6" s="3">
        <f>COUNTIFS(QA_Issues!B:B,A6,QA_Issues!D:D,"MINOR",QA_Issues!L:L,"&lt;&gt;RESOLVED",QA_Issues!L:L,"&lt;&gt;NOT_APPLICABLE")</f>
        <v/>
      </c>
      <c r="X6" s="3">
        <f>COUNTIFS(QA_Issues!B:B,A6,QA_Issues!D:D,"LIMITATION",QA_Issues!L:L,"&lt;&gt;RESOLVED",QA_Issues!L:L,"&lt;&gt;NOT_APPLICABLE")</f>
        <v/>
      </c>
      <c r="Y6" s="3">
        <f>IF(U6&gt;0,"QA_FAIL",IF(H6=FALSE,"QA_INCOMPLETE",IF(T6&lt;70,"QA_FAIL",IF(OR(T6&lt;85,V6&gt;0),"QA_REVISE","QA_PASS"))))</f>
        <v/>
      </c>
      <c r="Z6" s="5" t="inlineStr">
        <is>
          <t>Direct visual audit complete (all gallery images inspected). Keyword mapping, titles, and meta tags are high quality. Proposed description copy contains meta-commentary and omits essential package/fabric specifications (D2 MAJOR issue).</t>
        </is>
      </c>
    </row>
    <row r="7">
      <c r="A7" s="5" t="inlineStr">
        <is>
          <t>jeminise.com+pamnest-twin-halloween-comforter-set-with-sheets-5-pieces-design-03</t>
        </is>
      </c>
      <c r="B7" s="5" t="inlineStr">
        <is>
          <t>pamnest-twin-halloween-comforter-set-with-sheets-5-pieces-design-03</t>
        </is>
      </c>
      <c r="C7" s="4" t="n">
        <v>166</v>
      </c>
      <c r="D7" s="5" t="inlineStr">
        <is>
          <t>Pamnest Twin Halloween Comforter Set with Sheets, 5 Pieces - Design 03</t>
        </is>
      </c>
      <c r="E7" s="5" t="inlineStr">
        <is>
          <t>Black Ghost Halloween Comforter Set</t>
        </is>
      </c>
      <c r="F7" s="5" t="inlineStr">
        <is>
          <t>black ghost Halloween comforter set</t>
        </is>
      </c>
      <c r="G7" s="5" t="inlineStr">
        <is>
          <t>white ghost bedding set, spooky ghost comforter, twin Halloween comforter set</t>
        </is>
      </c>
      <c r="H7" s="4" t="b">
        <v>1</v>
      </c>
      <c r="I7" s="3">
        <f>SUMIFS(QA_Criteria!F:F,QA_Criteria!B:B,A7,QA_Criteria!C:C,"P1")</f>
        <v/>
      </c>
      <c r="J7" s="3">
        <f>SUMIFS(QA_Criteria!F:F,QA_Criteria!B:B,A7,QA_Criteria!C:C,"P2")</f>
        <v/>
      </c>
      <c r="K7" s="3">
        <f>SUMIFS(QA_Criteria!F:F,QA_Criteria!B:B,A7,QA_Criteria!C:C,"K1")</f>
        <v/>
      </c>
      <c r="L7" s="3">
        <f>SUMIFS(QA_Criteria!F:F,QA_Criteria!B:B,A7,QA_Criteria!C:C,"K2")</f>
        <v/>
      </c>
      <c r="M7" s="3">
        <f>SUMIFS(QA_Criteria!F:F,QA_Criteria!B:B,A7,QA_Criteria!C:C,"K3")</f>
        <v/>
      </c>
      <c r="N7" s="3">
        <f>SUMIFS(QA_Criteria!F:F,QA_Criteria!B:B,A7,QA_Criteria!C:C,"T1")</f>
        <v/>
      </c>
      <c r="O7" s="3">
        <f>SUMIFS(QA_Criteria!F:F,QA_Criteria!B:B,A7,QA_Criteria!C:C,"T2")</f>
        <v/>
      </c>
      <c r="P7" s="3">
        <f>SUMIFS(QA_Criteria!F:F,QA_Criteria!B:B,A7,QA_Criteria!C:C,"D1")</f>
        <v/>
      </c>
      <c r="Q7" s="3">
        <f>SUMIFS(QA_Criteria!F:F,QA_Criteria!B:B,A7,QA_Criteria!C:C,"D2")</f>
        <v/>
      </c>
      <c r="R7" s="3">
        <f>ROUND(0.20*AVERAGEIF(QA_Images!B:B,A7,QA_Images!N:N),2)</f>
        <v/>
      </c>
      <c r="S7" s="3">
        <f>SUMIFS(QA_Criteria!F:F,QA_Criteria!B:B,A7,QA_Criteria!C:C,"E1")</f>
        <v/>
      </c>
      <c r="T7" s="3">
        <f>IF(H7=TRUE,SUM(I7:S7),0)</f>
        <v/>
      </c>
      <c r="U7" s="3">
        <f>COUNTIFS(QA_Issues!B:B,A7,QA_Issues!D:D,"CRITICAL",QA_Issues!L:L,"&lt;&gt;RESOLVED",QA_Issues!L:L,"&lt;&gt;NOT_APPLICABLE")</f>
        <v/>
      </c>
      <c r="V7" s="3">
        <f>COUNTIFS(QA_Issues!B:B,A7,QA_Issues!D:D,"MAJOR",QA_Issues!L:L,"&lt;&gt;RESOLVED",QA_Issues!L:L,"&lt;&gt;NOT_APPLICABLE")</f>
        <v/>
      </c>
      <c r="W7" s="3">
        <f>COUNTIFS(QA_Issues!B:B,A7,QA_Issues!D:D,"MINOR",QA_Issues!L:L,"&lt;&gt;RESOLVED",QA_Issues!L:L,"&lt;&gt;NOT_APPLICABLE")</f>
        <v/>
      </c>
      <c r="X7" s="3">
        <f>COUNTIFS(QA_Issues!B:B,A7,QA_Issues!D:D,"LIMITATION",QA_Issues!L:L,"&lt;&gt;RESOLVED",QA_Issues!L:L,"&lt;&gt;NOT_APPLICABLE")</f>
        <v/>
      </c>
      <c r="Y7" s="3">
        <f>IF(U7&gt;0,"QA_FAIL",IF(H7=FALSE,"QA_INCOMPLETE",IF(T7&lt;70,"QA_FAIL",IF(OR(T7&lt;85,V7&gt;0),"QA_REVISE","QA_PASS"))))</f>
        <v/>
      </c>
      <c r="Z7" s="5" t="inlineStr">
        <is>
          <t>Direct visual audit complete (all gallery images inspected). Keyword mapping, titles, and meta tags are high quality. Proposed description copy contains meta-commentary and omits essential package/fabric specifications (D2 MAJOR issue).</t>
        </is>
      </c>
    </row>
    <row r="8">
      <c r="A8" s="5" t="inlineStr">
        <is>
          <t>jeminise.com+pamnest-twin-halloween-comforter-set-with-sheets-5-pieces-design-04</t>
        </is>
      </c>
      <c r="B8" s="5" t="inlineStr">
        <is>
          <t>pamnest-twin-halloween-comforter-set-with-sheets-5-pieces-design-04</t>
        </is>
      </c>
      <c r="C8" s="4" t="n">
        <v>167</v>
      </c>
      <c r="D8" s="5" t="inlineStr">
        <is>
          <t>Pamnest Twin Halloween Comforter Set with Sheets, 5 Pieces - Design 04</t>
        </is>
      </c>
      <c r="E8" s="5" t="inlineStr">
        <is>
          <t>Haunted Pumpkin Ghost Comforter Set</t>
        </is>
      </c>
      <c r="F8" s="5" t="inlineStr">
        <is>
          <t>haunted pumpkin ghost comforter set</t>
        </is>
      </c>
      <c r="G8" s="5" t="inlineStr">
        <is>
          <t>blue Halloween bedding set, pumpkin ghost bedding, twin Halloween comforter set</t>
        </is>
      </c>
      <c r="H8" s="4" t="b">
        <v>1</v>
      </c>
      <c r="I8" s="3">
        <f>SUMIFS(QA_Criteria!F:F,QA_Criteria!B:B,A8,QA_Criteria!C:C,"P1")</f>
        <v/>
      </c>
      <c r="J8" s="3">
        <f>SUMIFS(QA_Criteria!F:F,QA_Criteria!B:B,A8,QA_Criteria!C:C,"P2")</f>
        <v/>
      </c>
      <c r="K8" s="3">
        <f>SUMIFS(QA_Criteria!F:F,QA_Criteria!B:B,A8,QA_Criteria!C:C,"K1")</f>
        <v/>
      </c>
      <c r="L8" s="3">
        <f>SUMIFS(QA_Criteria!F:F,QA_Criteria!B:B,A8,QA_Criteria!C:C,"K2")</f>
        <v/>
      </c>
      <c r="M8" s="3">
        <f>SUMIFS(QA_Criteria!F:F,QA_Criteria!B:B,A8,QA_Criteria!C:C,"K3")</f>
        <v/>
      </c>
      <c r="N8" s="3">
        <f>SUMIFS(QA_Criteria!F:F,QA_Criteria!B:B,A8,QA_Criteria!C:C,"T1")</f>
        <v/>
      </c>
      <c r="O8" s="3">
        <f>SUMIFS(QA_Criteria!F:F,QA_Criteria!B:B,A8,QA_Criteria!C:C,"T2")</f>
        <v/>
      </c>
      <c r="P8" s="3">
        <f>SUMIFS(QA_Criteria!F:F,QA_Criteria!B:B,A8,QA_Criteria!C:C,"D1")</f>
        <v/>
      </c>
      <c r="Q8" s="3">
        <f>SUMIFS(QA_Criteria!F:F,QA_Criteria!B:B,A8,QA_Criteria!C:C,"D2")</f>
        <v/>
      </c>
      <c r="R8" s="3">
        <f>ROUND(0.20*AVERAGEIF(QA_Images!B:B,A8,QA_Images!N:N),2)</f>
        <v/>
      </c>
      <c r="S8" s="3">
        <f>SUMIFS(QA_Criteria!F:F,QA_Criteria!B:B,A8,QA_Criteria!C:C,"E1")</f>
        <v/>
      </c>
      <c r="T8" s="3">
        <f>IF(H8=TRUE,SUM(I8:S8),0)</f>
        <v/>
      </c>
      <c r="U8" s="3">
        <f>COUNTIFS(QA_Issues!B:B,A8,QA_Issues!D:D,"CRITICAL",QA_Issues!L:L,"&lt;&gt;RESOLVED",QA_Issues!L:L,"&lt;&gt;NOT_APPLICABLE")</f>
        <v/>
      </c>
      <c r="V8" s="3">
        <f>COUNTIFS(QA_Issues!B:B,A8,QA_Issues!D:D,"MAJOR",QA_Issues!L:L,"&lt;&gt;RESOLVED",QA_Issues!L:L,"&lt;&gt;NOT_APPLICABLE")</f>
        <v/>
      </c>
      <c r="W8" s="3">
        <f>COUNTIFS(QA_Issues!B:B,A8,QA_Issues!D:D,"MINOR",QA_Issues!L:L,"&lt;&gt;RESOLVED",QA_Issues!L:L,"&lt;&gt;NOT_APPLICABLE")</f>
        <v/>
      </c>
      <c r="X8" s="3">
        <f>COUNTIFS(QA_Issues!B:B,A8,QA_Issues!D:D,"LIMITATION",QA_Issues!L:L,"&lt;&gt;RESOLVED",QA_Issues!L:L,"&lt;&gt;NOT_APPLICABLE")</f>
        <v/>
      </c>
      <c r="Y8" s="3">
        <f>IF(U8&gt;0,"QA_FAIL",IF(H8=FALSE,"QA_INCOMPLETE",IF(T8&lt;70,"QA_FAIL",IF(OR(T8&lt;85,V8&gt;0),"QA_REVISE","QA_PASS"))))</f>
        <v/>
      </c>
      <c r="Z8" s="5" t="inlineStr">
        <is>
          <t>Direct visual audit complete (all gallery images inspected). Keyword mapping, titles, and meta tags are high quality. Proposed description copy contains meta-commentary and omits essential package/fabric specifications (D2 MAJOR issue).</t>
        </is>
      </c>
    </row>
    <row r="9">
      <c r="A9" s="5" t="inlineStr">
        <is>
          <t>jeminise.com+pamnest-twin-halloween-comforter-set-with-sheets-5-pieces-design-05</t>
        </is>
      </c>
      <c r="B9" s="5" t="inlineStr">
        <is>
          <t>pamnest-twin-halloween-comforter-set-with-sheets-5-pieces-design-05</t>
        </is>
      </c>
      <c r="C9" s="4" t="n">
        <v>168</v>
      </c>
      <c r="D9" s="5" t="inlineStr">
        <is>
          <t>Pamnest Twin Halloween Comforter Set with Sheets, 5 Pieces - Design 05</t>
        </is>
      </c>
      <c r="E9" s="5" t="inlineStr">
        <is>
          <t>Pink Cute Ghost Halloween Comforter Set</t>
        </is>
      </c>
      <c r="F9" s="5" t="inlineStr">
        <is>
          <t>pink cute ghost Halloween comforter set</t>
        </is>
      </c>
      <c r="G9" s="5" t="inlineStr">
        <is>
          <t>pink Halloween bedding, cute ghost bedding set, twin Halloween comforter set</t>
        </is>
      </c>
      <c r="H9" s="4" t="b">
        <v>1</v>
      </c>
      <c r="I9" s="3">
        <f>SUMIFS(QA_Criteria!F:F,QA_Criteria!B:B,A9,QA_Criteria!C:C,"P1")</f>
        <v/>
      </c>
      <c r="J9" s="3">
        <f>SUMIFS(QA_Criteria!F:F,QA_Criteria!B:B,A9,QA_Criteria!C:C,"P2")</f>
        <v/>
      </c>
      <c r="K9" s="3">
        <f>SUMIFS(QA_Criteria!F:F,QA_Criteria!B:B,A9,QA_Criteria!C:C,"K1")</f>
        <v/>
      </c>
      <c r="L9" s="3">
        <f>SUMIFS(QA_Criteria!F:F,QA_Criteria!B:B,A9,QA_Criteria!C:C,"K2")</f>
        <v/>
      </c>
      <c r="M9" s="3">
        <f>SUMIFS(QA_Criteria!F:F,QA_Criteria!B:B,A9,QA_Criteria!C:C,"K3")</f>
        <v/>
      </c>
      <c r="N9" s="3">
        <f>SUMIFS(QA_Criteria!F:F,QA_Criteria!B:B,A9,QA_Criteria!C:C,"T1")</f>
        <v/>
      </c>
      <c r="O9" s="3">
        <f>SUMIFS(QA_Criteria!F:F,QA_Criteria!B:B,A9,QA_Criteria!C:C,"T2")</f>
        <v/>
      </c>
      <c r="P9" s="3">
        <f>SUMIFS(QA_Criteria!F:F,QA_Criteria!B:B,A9,QA_Criteria!C:C,"D1")</f>
        <v/>
      </c>
      <c r="Q9" s="3">
        <f>SUMIFS(QA_Criteria!F:F,QA_Criteria!B:B,A9,QA_Criteria!C:C,"D2")</f>
        <v/>
      </c>
      <c r="R9" s="3">
        <f>ROUND(0.20*AVERAGEIF(QA_Images!B:B,A9,QA_Images!N:N),2)</f>
        <v/>
      </c>
      <c r="S9" s="3">
        <f>SUMIFS(QA_Criteria!F:F,QA_Criteria!B:B,A9,QA_Criteria!C:C,"E1")</f>
        <v/>
      </c>
      <c r="T9" s="3">
        <f>IF(H9=TRUE,SUM(I9:S9),0)</f>
        <v/>
      </c>
      <c r="U9" s="3">
        <f>COUNTIFS(QA_Issues!B:B,A9,QA_Issues!D:D,"CRITICAL",QA_Issues!L:L,"&lt;&gt;RESOLVED",QA_Issues!L:L,"&lt;&gt;NOT_APPLICABLE")</f>
        <v/>
      </c>
      <c r="V9" s="3">
        <f>COUNTIFS(QA_Issues!B:B,A9,QA_Issues!D:D,"MAJOR",QA_Issues!L:L,"&lt;&gt;RESOLVED",QA_Issues!L:L,"&lt;&gt;NOT_APPLICABLE")</f>
        <v/>
      </c>
      <c r="W9" s="3">
        <f>COUNTIFS(QA_Issues!B:B,A9,QA_Issues!D:D,"MINOR",QA_Issues!L:L,"&lt;&gt;RESOLVED",QA_Issues!L:L,"&lt;&gt;NOT_APPLICABLE")</f>
        <v/>
      </c>
      <c r="X9" s="3">
        <f>COUNTIFS(QA_Issues!B:B,A9,QA_Issues!D:D,"LIMITATION",QA_Issues!L:L,"&lt;&gt;RESOLVED",QA_Issues!L:L,"&lt;&gt;NOT_APPLICABLE")</f>
        <v/>
      </c>
      <c r="Y9" s="3">
        <f>IF(U9&gt;0,"QA_FAIL",IF(H9=FALSE,"QA_INCOMPLETE",IF(T9&lt;70,"QA_FAIL",IF(OR(T9&lt;85,V9&gt;0),"QA_REVISE","QA_PASS"))))</f>
        <v/>
      </c>
      <c r="Z9" s="5" t="inlineStr">
        <is>
          <t>Direct visual audit complete (all gallery images inspected). Keyword mapping, titles, and meta tags are high quality. Proposed description copy contains meta-commentary and omits essential package/fabric specifications (D2 MAJOR issue).</t>
        </is>
      </c>
    </row>
    <row r="10">
      <c r="A10" s="5" t="inlineStr">
        <is>
          <t>jeminise.com+pamnest-twin-halloween-comforter-set-with-sheets-5-pieces-design-06</t>
        </is>
      </c>
      <c r="B10" s="5" t="inlineStr">
        <is>
          <t>pamnest-twin-halloween-comforter-set-with-sheets-5-pieces-design-06</t>
        </is>
      </c>
      <c r="C10" s="4" t="n">
        <v>169</v>
      </c>
      <c r="D10" s="5" t="inlineStr">
        <is>
          <t>Pamnest Twin Halloween Comforter Set with Sheets, 5 Pieces - Design 06</t>
        </is>
      </c>
      <c r="E10" s="5" t="inlineStr">
        <is>
          <t>Red Handprint Halloween Comforter Set</t>
        </is>
      </c>
      <c r="F10" s="5" t="inlineStr">
        <is>
          <t>red handprint Halloween comforter set</t>
        </is>
      </c>
      <c r="G10" s="5" t="inlineStr">
        <is>
          <t>red splatter bedding set, scary Halloween comforter, twin Halloween comforter set</t>
        </is>
      </c>
      <c r="H10" s="4" t="b">
        <v>1</v>
      </c>
      <c r="I10" s="3">
        <f>SUMIFS(QA_Criteria!F:F,QA_Criteria!B:B,A10,QA_Criteria!C:C,"P1")</f>
        <v/>
      </c>
      <c r="J10" s="3">
        <f>SUMIFS(QA_Criteria!F:F,QA_Criteria!B:B,A10,QA_Criteria!C:C,"P2")</f>
        <v/>
      </c>
      <c r="K10" s="3">
        <f>SUMIFS(QA_Criteria!F:F,QA_Criteria!B:B,A10,QA_Criteria!C:C,"K1")</f>
        <v/>
      </c>
      <c r="L10" s="3">
        <f>SUMIFS(QA_Criteria!F:F,QA_Criteria!B:B,A10,QA_Criteria!C:C,"K2")</f>
        <v/>
      </c>
      <c r="M10" s="3">
        <f>SUMIFS(QA_Criteria!F:F,QA_Criteria!B:B,A10,QA_Criteria!C:C,"K3")</f>
        <v/>
      </c>
      <c r="N10" s="3">
        <f>SUMIFS(QA_Criteria!F:F,QA_Criteria!B:B,A10,QA_Criteria!C:C,"T1")</f>
        <v/>
      </c>
      <c r="O10" s="3">
        <f>SUMIFS(QA_Criteria!F:F,QA_Criteria!B:B,A10,QA_Criteria!C:C,"T2")</f>
        <v/>
      </c>
      <c r="P10" s="3">
        <f>SUMIFS(QA_Criteria!F:F,QA_Criteria!B:B,A10,QA_Criteria!C:C,"D1")</f>
        <v/>
      </c>
      <c r="Q10" s="3">
        <f>SUMIFS(QA_Criteria!F:F,QA_Criteria!B:B,A10,QA_Criteria!C:C,"D2")</f>
        <v/>
      </c>
      <c r="R10" s="3">
        <f>ROUND(0.20*AVERAGEIF(QA_Images!B:B,A10,QA_Images!N:N),2)</f>
        <v/>
      </c>
      <c r="S10" s="3">
        <f>SUMIFS(QA_Criteria!F:F,QA_Criteria!B:B,A10,QA_Criteria!C:C,"E1")</f>
        <v/>
      </c>
      <c r="T10" s="3">
        <f>IF(H10=TRUE,SUM(I10:S10),0)</f>
        <v/>
      </c>
      <c r="U10" s="3">
        <f>COUNTIFS(QA_Issues!B:B,A10,QA_Issues!D:D,"CRITICAL",QA_Issues!L:L,"&lt;&gt;RESOLVED",QA_Issues!L:L,"&lt;&gt;NOT_APPLICABLE")</f>
        <v/>
      </c>
      <c r="V10" s="3">
        <f>COUNTIFS(QA_Issues!B:B,A10,QA_Issues!D:D,"MAJOR",QA_Issues!L:L,"&lt;&gt;RESOLVED",QA_Issues!L:L,"&lt;&gt;NOT_APPLICABLE")</f>
        <v/>
      </c>
      <c r="W10" s="3">
        <f>COUNTIFS(QA_Issues!B:B,A10,QA_Issues!D:D,"MINOR",QA_Issues!L:L,"&lt;&gt;RESOLVED",QA_Issues!L:L,"&lt;&gt;NOT_APPLICABLE")</f>
        <v/>
      </c>
      <c r="X10" s="3">
        <f>COUNTIFS(QA_Issues!B:B,A10,QA_Issues!D:D,"LIMITATION",QA_Issues!L:L,"&lt;&gt;RESOLVED",QA_Issues!L:L,"&lt;&gt;NOT_APPLICABLE")</f>
        <v/>
      </c>
      <c r="Y10" s="3">
        <f>IF(U10&gt;0,"QA_FAIL",IF(H10=FALSE,"QA_INCOMPLETE",IF(T10&lt;70,"QA_FAIL",IF(OR(T10&lt;85,V10&gt;0),"QA_REVISE","QA_PASS"))))</f>
        <v/>
      </c>
      <c r="Z10" s="5" t="inlineStr">
        <is>
          <t>Direct visual audit complete (all gallery images inspected). Keyword mapping, titles, and meta tags are high quality. Proposed description copy contains meta-commentary and omits essential package/fabric specifications (D2 MAJOR issue).</t>
        </is>
      </c>
    </row>
    <row r="11">
      <c r="A11" s="5" t="inlineStr">
        <is>
          <t>jeminise.com+pamnest-twin-halloween-comforter-set-with-sheets-5-pieces-design-07</t>
        </is>
      </c>
      <c r="B11" s="5" t="inlineStr">
        <is>
          <t>pamnest-twin-halloween-comforter-set-with-sheets-5-pieces-design-07</t>
        </is>
      </c>
      <c r="C11" s="4" t="n">
        <v>170</v>
      </c>
      <c r="D11" s="5" t="inlineStr">
        <is>
          <t>Pamnest Twin Halloween Comforter Set with Sheets, 5 Pieces - Design 07</t>
        </is>
      </c>
      <c r="E11" s="5" t="inlineStr">
        <is>
          <t>Haunted House Pumpkin Comforter Set</t>
        </is>
      </c>
      <c r="F11" s="5" t="inlineStr">
        <is>
          <t>haunted house pumpkin comforter set</t>
        </is>
      </c>
      <c r="G11" s="5" t="inlineStr">
        <is>
          <t>white Halloween bedding set, pumpkin cat comforter, twin Halloween comforter set</t>
        </is>
      </c>
      <c r="H11" s="4" t="b">
        <v>1</v>
      </c>
      <c r="I11" s="3">
        <f>SUMIFS(QA_Criteria!F:F,QA_Criteria!B:B,A11,QA_Criteria!C:C,"P1")</f>
        <v/>
      </c>
      <c r="J11" s="3">
        <f>SUMIFS(QA_Criteria!F:F,QA_Criteria!B:B,A11,QA_Criteria!C:C,"P2")</f>
        <v/>
      </c>
      <c r="K11" s="3">
        <f>SUMIFS(QA_Criteria!F:F,QA_Criteria!B:B,A11,QA_Criteria!C:C,"K1")</f>
        <v/>
      </c>
      <c r="L11" s="3">
        <f>SUMIFS(QA_Criteria!F:F,QA_Criteria!B:B,A11,QA_Criteria!C:C,"K2")</f>
        <v/>
      </c>
      <c r="M11" s="3">
        <f>SUMIFS(QA_Criteria!F:F,QA_Criteria!B:B,A11,QA_Criteria!C:C,"K3")</f>
        <v/>
      </c>
      <c r="N11" s="3">
        <f>SUMIFS(QA_Criteria!F:F,QA_Criteria!B:B,A11,QA_Criteria!C:C,"T1")</f>
        <v/>
      </c>
      <c r="O11" s="3">
        <f>SUMIFS(QA_Criteria!F:F,QA_Criteria!B:B,A11,QA_Criteria!C:C,"T2")</f>
        <v/>
      </c>
      <c r="P11" s="3">
        <f>SUMIFS(QA_Criteria!F:F,QA_Criteria!B:B,A11,QA_Criteria!C:C,"D1")</f>
        <v/>
      </c>
      <c r="Q11" s="3">
        <f>SUMIFS(QA_Criteria!F:F,QA_Criteria!B:B,A11,QA_Criteria!C:C,"D2")</f>
        <v/>
      </c>
      <c r="R11" s="3">
        <f>ROUND(0.20*AVERAGEIF(QA_Images!B:B,A11,QA_Images!N:N),2)</f>
        <v/>
      </c>
      <c r="S11" s="3">
        <f>SUMIFS(QA_Criteria!F:F,QA_Criteria!B:B,A11,QA_Criteria!C:C,"E1")</f>
        <v/>
      </c>
      <c r="T11" s="3">
        <f>IF(H11=TRUE,SUM(I11:S11),0)</f>
        <v/>
      </c>
      <c r="U11" s="3">
        <f>COUNTIFS(QA_Issues!B:B,A11,QA_Issues!D:D,"CRITICAL",QA_Issues!L:L,"&lt;&gt;RESOLVED",QA_Issues!L:L,"&lt;&gt;NOT_APPLICABLE")</f>
        <v/>
      </c>
      <c r="V11" s="3">
        <f>COUNTIFS(QA_Issues!B:B,A11,QA_Issues!D:D,"MAJOR",QA_Issues!L:L,"&lt;&gt;RESOLVED",QA_Issues!L:L,"&lt;&gt;NOT_APPLICABLE")</f>
        <v/>
      </c>
      <c r="W11" s="3">
        <f>COUNTIFS(QA_Issues!B:B,A11,QA_Issues!D:D,"MINOR",QA_Issues!L:L,"&lt;&gt;RESOLVED",QA_Issues!L:L,"&lt;&gt;NOT_APPLICABLE")</f>
        <v/>
      </c>
      <c r="X11" s="3">
        <f>COUNTIFS(QA_Issues!B:B,A11,QA_Issues!D:D,"LIMITATION",QA_Issues!L:L,"&lt;&gt;RESOLVED",QA_Issues!L:L,"&lt;&gt;NOT_APPLICABLE")</f>
        <v/>
      </c>
      <c r="Y11" s="3">
        <f>IF(U11&gt;0,"QA_FAIL",IF(H11=FALSE,"QA_INCOMPLETE",IF(T11&lt;70,"QA_FAIL",IF(OR(T11&lt;85,V11&gt;0),"QA_REVISE","QA_PASS"))))</f>
        <v/>
      </c>
      <c r="Z11" s="5" t="inlineStr">
        <is>
          <t>Direct visual audit complete (all gallery images inspected). Keyword mapping, titles, and meta tags are high quality. Proposed description copy contains meta-commentary and omits essential package/fabric specifications (D2 MAJOR issue).</t>
        </is>
      </c>
    </row>
  </sheetData>
  <autoFilter ref="A1:Z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 width="19" customWidth="1" min="3" max="3"/>
    <col width="42" customWidth="1" min="4" max="4"/>
    <col width="15" customWidth="1" min="5" max="5"/>
    <col width="17" customWidth="1" min="6" max="6"/>
    <col width="22" customWidth="1" min="7" max="7"/>
    <col width="42" customWidth="1" min="8" max="8"/>
    <col width="42" customWidth="1" min="9" max="9"/>
  </cols>
  <sheetData>
    <row r="1">
      <c r="A1" s="1" t="inlineStr">
        <is>
          <t>criterion_id</t>
        </is>
      </c>
      <c r="B1" s="1" t="inlineStr">
        <is>
          <t>product_key</t>
        </is>
      </c>
      <c r="C1" s="1" t="inlineStr">
        <is>
          <t>criterion_code</t>
        </is>
      </c>
      <c r="D1" s="1" t="inlineStr">
        <is>
          <t>criterion_name</t>
        </is>
      </c>
      <c r="E1" s="1" t="inlineStr">
        <is>
          <t>max_weight</t>
        </is>
      </c>
      <c r="F1" s="1" t="inlineStr">
        <is>
          <t>score_earned</t>
        </is>
      </c>
      <c r="G1" s="1" t="inlineStr">
        <is>
          <t>evaluation_status</t>
        </is>
      </c>
      <c r="H1" s="1" t="inlineStr">
        <is>
          <t>evaluation_details</t>
        </is>
      </c>
      <c r="I1" s="1" t="inlineStr">
        <is>
          <t>auditor_notes</t>
        </is>
      </c>
    </row>
    <row r="2">
      <c r="A2" s="2" t="inlineStr">
        <is>
          <t>CRIT-001</t>
        </is>
      </c>
      <c r="B2" s="5" t="inlineStr">
        <is>
          <t>jeminise.com+norse-mythology-raven-within-celtic-knot-frame-quilt-906ee24d68-906ee24d68</t>
        </is>
      </c>
      <c r="C2" s="2" t="inlineStr">
        <is>
          <t>P1</t>
        </is>
      </c>
      <c r="D2" s="2" t="inlineStr">
        <is>
          <t>Product Identification</t>
        </is>
      </c>
      <c r="E2" s="4" t="n">
        <v>15</v>
      </c>
      <c r="F2" s="4" t="n">
        <v>15</v>
      </c>
      <c r="G2" s="2" t="inlineStr">
        <is>
          <t>PASS</t>
        </is>
      </c>
      <c r="H2" s="5" t="inlineStr">
        <is>
          <t>norse-mythology-raven-within-celtic-knot-frame-quilt-906ee24d68-906ee24d68: Accurately identified product form factor, material category, and design motif from direct visual audit and storefront data.</t>
        </is>
      </c>
      <c r="I2" s="5" t="inlineStr">
        <is>
          <t>Audited in batch 17 r3. Criteria P1 weight=15.0.</t>
        </is>
      </c>
    </row>
    <row r="3">
      <c r="A3" s="2" t="inlineStr">
        <is>
          <t>CRIT-002</t>
        </is>
      </c>
      <c r="B3" s="5" t="inlineStr">
        <is>
          <t>jeminise.com+norse-mythology-raven-within-celtic-knot-frame-quilt-906ee24d68-906ee24d68</t>
        </is>
      </c>
      <c r="C3" s="2" t="inlineStr">
        <is>
          <t>P2</t>
        </is>
      </c>
      <c r="D3" s="2" t="inlineStr">
        <is>
          <t>Taxonomy &amp; Classification</t>
        </is>
      </c>
      <c r="E3" s="4" t="n">
        <v>10</v>
      </c>
      <c r="F3" s="4" t="n">
        <v>10</v>
      </c>
      <c r="G3" s="2" t="inlineStr">
        <is>
          <t>PASS</t>
        </is>
      </c>
      <c r="H3" s="5" t="inlineStr">
        <is>
          <t>norse-mythology-raven-within-celtic-knot-frame-quilt-906ee24d68-906ee24d68: Correct category assignment (Quilts vs Comforter Sets) aligning with Shopify collections and product type.</t>
        </is>
      </c>
      <c r="I3" s="5" t="inlineStr">
        <is>
          <t>Audited in batch 17 r3. Criteria P2 weight=10.0.</t>
        </is>
      </c>
    </row>
    <row r="4">
      <c r="A4" s="2" t="inlineStr">
        <is>
          <t>CRIT-003</t>
        </is>
      </c>
      <c r="B4" s="5" t="inlineStr">
        <is>
          <t>jeminise.com+norse-mythology-raven-within-celtic-knot-frame-quilt-906ee24d68-906ee24d68</t>
        </is>
      </c>
      <c r="C4" s="2" t="inlineStr">
        <is>
          <t>K1</t>
        </is>
      </c>
      <c r="D4" s="2" t="inlineStr">
        <is>
          <t>Primary Keyword Focus</t>
        </is>
      </c>
      <c r="E4" s="4" t="n">
        <v>10</v>
      </c>
      <c r="F4" s="4" t="n">
        <v>10</v>
      </c>
      <c r="G4" s="2" t="inlineStr">
        <is>
          <t>PASS</t>
        </is>
      </c>
      <c r="H4" s="5" t="inlineStr">
        <is>
          <t>norse-mythology-raven-within-celtic-knot-frame-quilt-906ee24d68-906ee24d68: Primary keyword accurately targets high-intent visual search demand validated via live US SERP analysis.</t>
        </is>
      </c>
      <c r="I4" s="5" t="inlineStr">
        <is>
          <t>Audited in batch 17 r3. Criteria K1 weight=10.0.</t>
        </is>
      </c>
    </row>
    <row r="5">
      <c r="A5" s="2" t="inlineStr">
        <is>
          <t>CRIT-004</t>
        </is>
      </c>
      <c r="B5" s="5" t="inlineStr">
        <is>
          <t>jeminise.com+norse-mythology-raven-within-celtic-knot-frame-quilt-906ee24d68-906ee24d68</t>
        </is>
      </c>
      <c r="C5" s="2" t="inlineStr">
        <is>
          <t>K2</t>
        </is>
      </c>
      <c r="D5" s="2" t="inlineStr">
        <is>
          <t>Secondary Keyword Support</t>
        </is>
      </c>
      <c r="E5" s="4" t="n">
        <v>5</v>
      </c>
      <c r="F5" s="4" t="n">
        <v>5</v>
      </c>
      <c r="G5" s="2" t="inlineStr">
        <is>
          <t>PASS</t>
        </is>
      </c>
      <c r="H5" s="5" t="inlineStr">
        <is>
          <t>norse-mythology-raven-within-celtic-knot-frame-quilt-906ee24d68-906ee24d68: Secondary keywords support relevant long-tail variations without keyword stuffing.</t>
        </is>
      </c>
      <c r="I5" s="5" t="inlineStr">
        <is>
          <t>Audited in batch 17 r3. Criteria K2 weight=5.0.</t>
        </is>
      </c>
    </row>
    <row r="6">
      <c r="A6" s="2" t="inlineStr">
        <is>
          <t>CRIT-005</t>
        </is>
      </c>
      <c r="B6" s="5" t="inlineStr">
        <is>
          <t>jeminise.com+norse-mythology-raven-within-celtic-knot-frame-quilt-906ee24d68-906ee24d68</t>
        </is>
      </c>
      <c r="C6" s="2" t="inlineStr">
        <is>
          <t>K3</t>
        </is>
      </c>
      <c r="D6" s="5" t="inlineStr">
        <is>
          <t>Keyword Cannibalization &amp; Differentiation</t>
        </is>
      </c>
      <c r="E6" s="4" t="n">
        <v>5</v>
      </c>
      <c r="F6" s="4" t="n">
        <v>5</v>
      </c>
      <c r="G6" s="2" t="inlineStr">
        <is>
          <t>PASS</t>
        </is>
      </c>
      <c r="H6" s="5" t="inlineStr">
        <is>
          <t>norse-mythology-raven-within-celtic-knot-frame-quilt-906ee24d68-906ee24d68: Distinct keyword modifiers prevent internal competition across similar thematic items in the batch.</t>
        </is>
      </c>
      <c r="I6" s="5" t="inlineStr">
        <is>
          <t>Audited in batch 17 r3. Criteria K3 weight=5.0.</t>
        </is>
      </c>
    </row>
    <row r="7">
      <c r="A7" s="2" t="inlineStr">
        <is>
          <t>CRIT-006</t>
        </is>
      </c>
      <c r="B7" s="5" t="inlineStr">
        <is>
          <t>jeminise.com+norse-mythology-raven-within-celtic-knot-frame-quilt-906ee24d68-906ee24d68</t>
        </is>
      </c>
      <c r="C7" s="2" t="inlineStr">
        <is>
          <t>T1</t>
        </is>
      </c>
      <c r="D7" s="5" t="inlineStr">
        <is>
          <t>Title Proposed Quality &amp; Accuracy</t>
        </is>
      </c>
      <c r="E7" s="4" t="n">
        <v>10</v>
      </c>
      <c r="F7" s="4" t="n">
        <v>10</v>
      </c>
      <c r="G7" s="2" t="inlineStr">
        <is>
          <t>PASS</t>
        </is>
      </c>
      <c r="H7" s="5" t="inlineStr">
        <is>
          <t>norse-mythology-raven-within-celtic-knot-frame-quilt-906ee24d68-906ee24d68: Title proposed is natural, high-converting, concise (&lt;60 chars), and properly removes misleading variant claims (e.g. Twin 5-piece) from multi-size listings.</t>
        </is>
      </c>
      <c r="I7" s="5" t="inlineStr">
        <is>
          <t>Audited in batch 17 r3. Criteria T1 weight=10.0.</t>
        </is>
      </c>
    </row>
    <row r="8">
      <c r="A8" s="2" t="inlineStr">
        <is>
          <t>CRIT-007</t>
        </is>
      </c>
      <c r="B8" s="5" t="inlineStr">
        <is>
          <t>jeminise.com+norse-mythology-raven-within-celtic-knot-frame-quilt-906ee24d68-906ee24d68</t>
        </is>
      </c>
      <c r="C8" s="2" t="inlineStr">
        <is>
          <t>T2</t>
        </is>
      </c>
      <c r="D8" s="2" t="inlineStr">
        <is>
          <t>Meta Title Quality &amp; Length</t>
        </is>
      </c>
      <c r="E8" s="4" t="n">
        <v>5</v>
      </c>
      <c r="F8" s="4" t="n">
        <v>5</v>
      </c>
      <c r="G8" s="2" t="inlineStr">
        <is>
          <t>PASS</t>
        </is>
      </c>
      <c r="H8" s="5" t="inlineStr">
        <is>
          <t>norse-mythology-raven-within-celtic-knot-frame-quilt-906ee24d68-906ee24d68: Meta title is concise (28-39 chars), well under 60-char truncation threshold, and brand suffix is handled by Shopify theme.</t>
        </is>
      </c>
      <c r="I8" s="5" t="inlineStr">
        <is>
          <t>Audited in batch 17 r3. Criteria T2 weight=5.0.</t>
        </is>
      </c>
    </row>
    <row r="9">
      <c r="A9" s="2" t="inlineStr">
        <is>
          <t>CRIT-008</t>
        </is>
      </c>
      <c r="B9" s="5" t="inlineStr">
        <is>
          <t>jeminise.com+norse-mythology-raven-within-celtic-knot-frame-quilt-906ee24d68-906ee24d68</t>
        </is>
      </c>
      <c r="C9" s="2" t="inlineStr">
        <is>
          <t>D1</t>
        </is>
      </c>
      <c r="D9" s="5" t="inlineStr">
        <is>
          <t>Meta Description Quality &amp; Length</t>
        </is>
      </c>
      <c r="E9" s="4" t="n">
        <v>5</v>
      </c>
      <c r="F9" s="4" t="n">
        <v>5</v>
      </c>
      <c r="G9" s="2" t="inlineStr">
        <is>
          <t>PASS</t>
        </is>
      </c>
      <c r="H9" s="5" t="inlineStr">
        <is>
          <t>norse-mythology-raven-within-celtic-knot-frame-quilt-906ee24d68-906ee24d68: Meta description is concise (100-120 chars), provides a compelling action-oriented summary with size chart notice.</t>
        </is>
      </c>
      <c r="I9" s="5" t="inlineStr">
        <is>
          <t>Audited in batch 17 r3. Criteria D1 weight=5.0.</t>
        </is>
      </c>
    </row>
    <row r="10">
      <c r="A10" s="2" t="inlineStr">
        <is>
          <t>CRIT-009</t>
        </is>
      </c>
      <c r="B10" s="5" t="inlineStr">
        <is>
          <t>jeminise.com+norse-mythology-raven-within-celtic-knot-frame-quilt-906ee24d68-906ee24d68</t>
        </is>
      </c>
      <c r="C10" s="2" t="inlineStr">
        <is>
          <t>D2</t>
        </is>
      </c>
      <c r="D10" s="5" t="inlineStr">
        <is>
          <t>Description Proposed Content &amp; Completeness</t>
        </is>
      </c>
      <c r="E10" s="4" t="n">
        <v>10</v>
      </c>
      <c r="F10" s="4" t="n">
        <v>7</v>
      </c>
      <c r="G10" s="2" t="inlineStr">
        <is>
          <t>PARTIAL</t>
        </is>
      </c>
      <c r="H10" s="5" t="inlineStr">
        <is>
          <t>norse-mythology-raven-within-celtic-knot-frame-quilt-906ee24d68-906ee24d68: Description HTML is clean but contains robotic meta-commentary sentences explaining copywriting rules and omits essential verified technical/package specifications.</t>
        </is>
      </c>
      <c r="I10" s="5" t="inlineStr">
        <is>
          <t>Audited in batch 17 r3. Criteria D2 weight=10.0.</t>
        </is>
      </c>
    </row>
    <row r="11">
      <c r="A11" s="2" t="inlineStr">
        <is>
          <t>CRIT-010</t>
        </is>
      </c>
      <c r="B11" s="5" t="inlineStr">
        <is>
          <t>jeminise.com+norse-mythology-raven-within-celtic-knot-frame-quilt-906ee24d68-906ee24d68</t>
        </is>
      </c>
      <c r="C11" s="2" t="inlineStr">
        <is>
          <t>I1</t>
        </is>
      </c>
      <c r="D11" s="2" t="inlineStr">
        <is>
          <t>Image Optimization &amp; Coverage</t>
        </is>
      </c>
      <c r="E11" s="4" t="n">
        <v>20</v>
      </c>
      <c r="F11" s="3">
        <f>ROUND(0.20*AVERAGEIF(QA_Images!B:B,B11,QA_Images!N:N),2)</f>
        <v/>
      </c>
      <c r="G11" s="2" t="inlineStr">
        <is>
          <t>PASS</t>
        </is>
      </c>
      <c r="H11" s="5" t="inlineStr">
        <is>
          <t>norse-mythology-raven-within-celtic-knot-frame-quilt-906ee24d68-906ee24d68: All baseline gallery images directly inspected, specific visual observations recorded, and keyword-aligned alt text proposed.</t>
        </is>
      </c>
      <c r="I11" s="5" t="inlineStr">
        <is>
          <t>Audited in batch 17 r3. Criteria I1 weight=20.0.</t>
        </is>
      </c>
    </row>
    <row r="12">
      <c r="A12" s="2" t="inlineStr">
        <is>
          <t>CRIT-011</t>
        </is>
      </c>
      <c r="B12" s="5" t="inlineStr">
        <is>
          <t>jeminise.com+norse-mythology-raven-within-celtic-knot-frame-quilt-906ee24d68-906ee24d68</t>
        </is>
      </c>
      <c r="C12" s="2" t="inlineStr">
        <is>
          <t>E1</t>
        </is>
      </c>
      <c r="D12" s="5" t="inlineStr">
        <is>
          <t>Evidence &amp; Research Traceability</t>
        </is>
      </c>
      <c r="E12" s="4" t="n">
        <v>5</v>
      </c>
      <c r="F12" s="4" t="n">
        <v>4</v>
      </c>
      <c r="G12" s="2" t="inlineStr">
        <is>
          <t>LIMITATION</t>
        </is>
      </c>
      <c r="H12" s="5" t="inlineStr">
        <is>
          <t>norse-mythology-raven-within-celtic-knot-frame-quilt-906ee24d68-906ee24d68: Evidence backed by live US SERPs (20 queries) and storefront audit; documented limitation on absent first-party Search Console data.</t>
        </is>
      </c>
      <c r="I12" s="5" t="inlineStr">
        <is>
          <t>Audited in batch 17 r3. Criteria E1 weight=5.0.</t>
        </is>
      </c>
    </row>
    <row r="13">
      <c r="A13" s="2" t="inlineStr">
        <is>
          <t>CRIT-012</t>
        </is>
      </c>
      <c r="B13" s="5" t="inlineStr">
        <is>
          <t>jeminise.com+norse-mythology-viking-shield-with-crossed-axes-quilt-ca630a284e-ca630a284e</t>
        </is>
      </c>
      <c r="C13" s="2" t="inlineStr">
        <is>
          <t>P1</t>
        </is>
      </c>
      <c r="D13" s="2" t="inlineStr">
        <is>
          <t>Product Identification</t>
        </is>
      </c>
      <c r="E13" s="4" t="n">
        <v>15</v>
      </c>
      <c r="F13" s="4" t="n">
        <v>15</v>
      </c>
      <c r="G13" s="2" t="inlineStr">
        <is>
          <t>PASS</t>
        </is>
      </c>
      <c r="H13" s="5" t="inlineStr">
        <is>
          <t>norse-mythology-viking-shield-with-crossed-axes-quilt-ca630a284e-ca630a284e: Accurately identified product form factor, material category, and design motif from direct visual audit and storefront data.</t>
        </is>
      </c>
      <c r="I13" s="5" t="inlineStr">
        <is>
          <t>Audited in batch 17 r3. Criteria P1 weight=15.0.</t>
        </is>
      </c>
    </row>
    <row r="14">
      <c r="A14" s="2" t="inlineStr">
        <is>
          <t>CRIT-013</t>
        </is>
      </c>
      <c r="B14" s="5" t="inlineStr">
        <is>
          <t>jeminise.com+norse-mythology-viking-shield-with-crossed-axes-quilt-ca630a284e-ca630a284e</t>
        </is>
      </c>
      <c r="C14" s="2" t="inlineStr">
        <is>
          <t>P2</t>
        </is>
      </c>
      <c r="D14" s="2" t="inlineStr">
        <is>
          <t>Taxonomy &amp; Classification</t>
        </is>
      </c>
      <c r="E14" s="4" t="n">
        <v>10</v>
      </c>
      <c r="F14" s="4" t="n">
        <v>10</v>
      </c>
      <c r="G14" s="2" t="inlineStr">
        <is>
          <t>PASS</t>
        </is>
      </c>
      <c r="H14" s="5" t="inlineStr">
        <is>
          <t>norse-mythology-viking-shield-with-crossed-axes-quilt-ca630a284e-ca630a284e: Correct category assignment (Quilts vs Comforter Sets) aligning with Shopify collections and product type.</t>
        </is>
      </c>
      <c r="I14" s="5" t="inlineStr">
        <is>
          <t>Audited in batch 17 r3. Criteria P2 weight=10.0.</t>
        </is>
      </c>
    </row>
    <row r="15">
      <c r="A15" s="2" t="inlineStr">
        <is>
          <t>CRIT-014</t>
        </is>
      </c>
      <c r="B15" s="5" t="inlineStr">
        <is>
          <t>jeminise.com+norse-mythology-viking-shield-with-crossed-axes-quilt-ca630a284e-ca630a284e</t>
        </is>
      </c>
      <c r="C15" s="2" t="inlineStr">
        <is>
          <t>K1</t>
        </is>
      </c>
      <c r="D15" s="2" t="inlineStr">
        <is>
          <t>Primary Keyword Focus</t>
        </is>
      </c>
      <c r="E15" s="4" t="n">
        <v>10</v>
      </c>
      <c r="F15" s="4" t="n">
        <v>10</v>
      </c>
      <c r="G15" s="2" t="inlineStr">
        <is>
          <t>PASS</t>
        </is>
      </c>
      <c r="H15" s="5" t="inlineStr">
        <is>
          <t>norse-mythology-viking-shield-with-crossed-axes-quilt-ca630a284e-ca630a284e: Primary keyword accurately targets high-intent visual search demand validated via live US SERP analysis.</t>
        </is>
      </c>
      <c r="I15" s="5" t="inlineStr">
        <is>
          <t>Audited in batch 17 r3. Criteria K1 weight=10.0.</t>
        </is>
      </c>
    </row>
    <row r="16">
      <c r="A16" s="2" t="inlineStr">
        <is>
          <t>CRIT-015</t>
        </is>
      </c>
      <c r="B16" s="5" t="inlineStr">
        <is>
          <t>jeminise.com+norse-mythology-viking-shield-with-crossed-axes-quilt-ca630a284e-ca630a284e</t>
        </is>
      </c>
      <c r="C16" s="2" t="inlineStr">
        <is>
          <t>K2</t>
        </is>
      </c>
      <c r="D16" s="2" t="inlineStr">
        <is>
          <t>Secondary Keyword Support</t>
        </is>
      </c>
      <c r="E16" s="4" t="n">
        <v>5</v>
      </c>
      <c r="F16" s="4" t="n">
        <v>5</v>
      </c>
      <c r="G16" s="2" t="inlineStr">
        <is>
          <t>PASS</t>
        </is>
      </c>
      <c r="H16" s="5" t="inlineStr">
        <is>
          <t>norse-mythology-viking-shield-with-crossed-axes-quilt-ca630a284e-ca630a284e: Secondary keywords support relevant long-tail variations without keyword stuffing.</t>
        </is>
      </c>
      <c r="I16" s="5" t="inlineStr">
        <is>
          <t>Audited in batch 17 r3. Criteria K2 weight=5.0.</t>
        </is>
      </c>
    </row>
    <row r="17">
      <c r="A17" s="2" t="inlineStr">
        <is>
          <t>CRIT-016</t>
        </is>
      </c>
      <c r="B17" s="5" t="inlineStr">
        <is>
          <t>jeminise.com+norse-mythology-viking-shield-with-crossed-axes-quilt-ca630a284e-ca630a284e</t>
        </is>
      </c>
      <c r="C17" s="2" t="inlineStr">
        <is>
          <t>K3</t>
        </is>
      </c>
      <c r="D17" s="5" t="inlineStr">
        <is>
          <t>Keyword Cannibalization &amp; Differentiation</t>
        </is>
      </c>
      <c r="E17" s="4" t="n">
        <v>5</v>
      </c>
      <c r="F17" s="4" t="n">
        <v>5</v>
      </c>
      <c r="G17" s="2" t="inlineStr">
        <is>
          <t>PASS</t>
        </is>
      </c>
      <c r="H17" s="5" t="inlineStr">
        <is>
          <t>norse-mythology-viking-shield-with-crossed-axes-quilt-ca630a284e-ca630a284e: Distinct keyword modifiers prevent internal competition across similar thematic items in the batch.</t>
        </is>
      </c>
      <c r="I17" s="5" t="inlineStr">
        <is>
          <t>Audited in batch 17 r3. Criteria K3 weight=5.0.</t>
        </is>
      </c>
    </row>
    <row r="18">
      <c r="A18" s="2" t="inlineStr">
        <is>
          <t>CRIT-017</t>
        </is>
      </c>
      <c r="B18" s="5" t="inlineStr">
        <is>
          <t>jeminise.com+norse-mythology-viking-shield-with-crossed-axes-quilt-ca630a284e-ca630a284e</t>
        </is>
      </c>
      <c r="C18" s="2" t="inlineStr">
        <is>
          <t>T1</t>
        </is>
      </c>
      <c r="D18" s="5" t="inlineStr">
        <is>
          <t>Title Proposed Quality &amp; Accuracy</t>
        </is>
      </c>
      <c r="E18" s="4" t="n">
        <v>10</v>
      </c>
      <c r="F18" s="4" t="n">
        <v>10</v>
      </c>
      <c r="G18" s="2" t="inlineStr">
        <is>
          <t>PASS</t>
        </is>
      </c>
      <c r="H18" s="5" t="inlineStr">
        <is>
          <t>norse-mythology-viking-shield-with-crossed-axes-quilt-ca630a284e-ca630a284e: Title proposed is natural, high-converting, concise (&lt;60 chars), and properly removes misleading variant claims (e.g. Twin 5-piece) from multi-size listings.</t>
        </is>
      </c>
      <c r="I18" s="5" t="inlineStr">
        <is>
          <t>Audited in batch 17 r3. Criteria T1 weight=10.0.</t>
        </is>
      </c>
    </row>
    <row r="19">
      <c r="A19" s="2" t="inlineStr">
        <is>
          <t>CRIT-018</t>
        </is>
      </c>
      <c r="B19" s="5" t="inlineStr">
        <is>
          <t>jeminise.com+norse-mythology-viking-shield-with-crossed-axes-quilt-ca630a284e-ca630a284e</t>
        </is>
      </c>
      <c r="C19" s="2" t="inlineStr">
        <is>
          <t>T2</t>
        </is>
      </c>
      <c r="D19" s="2" t="inlineStr">
        <is>
          <t>Meta Title Quality &amp; Length</t>
        </is>
      </c>
      <c r="E19" s="4" t="n">
        <v>5</v>
      </c>
      <c r="F19" s="4" t="n">
        <v>5</v>
      </c>
      <c r="G19" s="2" t="inlineStr">
        <is>
          <t>PASS</t>
        </is>
      </c>
      <c r="H19" s="5" t="inlineStr">
        <is>
          <t>norse-mythology-viking-shield-with-crossed-axes-quilt-ca630a284e-ca630a284e: Meta title is concise (28-39 chars), well under 60-char truncation threshold, and brand suffix is handled by Shopify theme.</t>
        </is>
      </c>
      <c r="I19" s="5" t="inlineStr">
        <is>
          <t>Audited in batch 17 r3. Criteria T2 weight=5.0.</t>
        </is>
      </c>
    </row>
    <row r="20">
      <c r="A20" s="2" t="inlineStr">
        <is>
          <t>CRIT-019</t>
        </is>
      </c>
      <c r="B20" s="5" t="inlineStr">
        <is>
          <t>jeminise.com+norse-mythology-viking-shield-with-crossed-axes-quilt-ca630a284e-ca630a284e</t>
        </is>
      </c>
      <c r="C20" s="2" t="inlineStr">
        <is>
          <t>D1</t>
        </is>
      </c>
      <c r="D20" s="5" t="inlineStr">
        <is>
          <t>Meta Description Quality &amp; Length</t>
        </is>
      </c>
      <c r="E20" s="4" t="n">
        <v>5</v>
      </c>
      <c r="F20" s="4" t="n">
        <v>5</v>
      </c>
      <c r="G20" s="2" t="inlineStr">
        <is>
          <t>PASS</t>
        </is>
      </c>
      <c r="H20" s="5" t="inlineStr">
        <is>
          <t>norse-mythology-viking-shield-with-crossed-axes-quilt-ca630a284e-ca630a284e: Meta description is concise (100-120 chars), provides a compelling action-oriented summary with size chart notice.</t>
        </is>
      </c>
      <c r="I20" s="5" t="inlineStr">
        <is>
          <t>Audited in batch 17 r3. Criteria D1 weight=5.0.</t>
        </is>
      </c>
    </row>
    <row r="21">
      <c r="A21" s="2" t="inlineStr">
        <is>
          <t>CRIT-020</t>
        </is>
      </c>
      <c r="B21" s="5" t="inlineStr">
        <is>
          <t>jeminise.com+norse-mythology-viking-shield-with-crossed-axes-quilt-ca630a284e-ca630a284e</t>
        </is>
      </c>
      <c r="C21" s="2" t="inlineStr">
        <is>
          <t>D2</t>
        </is>
      </c>
      <c r="D21" s="5" t="inlineStr">
        <is>
          <t>Description Proposed Content &amp; Completeness</t>
        </is>
      </c>
      <c r="E21" s="4" t="n">
        <v>10</v>
      </c>
      <c r="F21" s="4" t="n">
        <v>7</v>
      </c>
      <c r="G21" s="2" t="inlineStr">
        <is>
          <t>PARTIAL</t>
        </is>
      </c>
      <c r="H21" s="5" t="inlineStr">
        <is>
          <t>norse-mythology-viking-shield-with-crossed-axes-quilt-ca630a284e-ca630a284e: Description HTML is clean but contains robotic meta-commentary sentences explaining copywriting rules and omits essential verified technical/package specifications.</t>
        </is>
      </c>
      <c r="I21" s="5" t="inlineStr">
        <is>
          <t>Audited in batch 17 r3. Criteria D2 weight=10.0.</t>
        </is>
      </c>
    </row>
    <row r="22">
      <c r="A22" s="2" t="inlineStr">
        <is>
          <t>CRIT-021</t>
        </is>
      </c>
      <c r="B22" s="5" t="inlineStr">
        <is>
          <t>jeminise.com+norse-mythology-viking-shield-with-crossed-axes-quilt-ca630a284e-ca630a284e</t>
        </is>
      </c>
      <c r="C22" s="2" t="inlineStr">
        <is>
          <t>I1</t>
        </is>
      </c>
      <c r="D22" s="2" t="inlineStr">
        <is>
          <t>Image Optimization &amp; Coverage</t>
        </is>
      </c>
      <c r="E22" s="4" t="n">
        <v>20</v>
      </c>
      <c r="F22" s="3">
        <f>ROUND(0.20*AVERAGEIF(QA_Images!B:B,B22,QA_Images!N:N),2)</f>
        <v/>
      </c>
      <c r="G22" s="2" t="inlineStr">
        <is>
          <t>PASS</t>
        </is>
      </c>
      <c r="H22" s="5" t="inlineStr">
        <is>
          <t>norse-mythology-viking-shield-with-crossed-axes-quilt-ca630a284e-ca630a284e: All baseline gallery images directly inspected, specific visual observations recorded, and keyword-aligned alt text proposed.</t>
        </is>
      </c>
      <c r="I22" s="5" t="inlineStr">
        <is>
          <t>Audited in batch 17 r3. Criteria I1 weight=20.0.</t>
        </is>
      </c>
    </row>
    <row r="23">
      <c r="A23" s="2" t="inlineStr">
        <is>
          <t>CRIT-022</t>
        </is>
      </c>
      <c r="B23" s="5" t="inlineStr">
        <is>
          <t>jeminise.com+norse-mythology-viking-shield-with-crossed-axes-quilt-ca630a284e-ca630a284e</t>
        </is>
      </c>
      <c r="C23" s="2" t="inlineStr">
        <is>
          <t>E1</t>
        </is>
      </c>
      <c r="D23" s="5" t="inlineStr">
        <is>
          <t>Evidence &amp; Research Traceability</t>
        </is>
      </c>
      <c r="E23" s="4" t="n">
        <v>5</v>
      </c>
      <c r="F23" s="4" t="n">
        <v>4</v>
      </c>
      <c r="G23" s="2" t="inlineStr">
        <is>
          <t>LIMITATION</t>
        </is>
      </c>
      <c r="H23" s="5" t="inlineStr">
        <is>
          <t>norse-mythology-viking-shield-with-crossed-axes-quilt-ca630a284e-ca630a284e: Evidence backed by live US SERPs (20 queries) and storefront audit; documented limitation on absent first-party Search Console data.</t>
        </is>
      </c>
      <c r="I23" s="5" t="inlineStr">
        <is>
          <t>Audited in batch 17 r3. Criteria E1 weight=5.0.</t>
        </is>
      </c>
    </row>
    <row r="24">
      <c r="A24" s="2" t="inlineStr">
        <is>
          <t>CRIT-023</t>
        </is>
      </c>
      <c r="B24" s="5" t="inlineStr">
        <is>
          <t>jeminise.com+owl-patchwork-pattern-quilt-set-animals-quilt-set-style-owl-nights</t>
        </is>
      </c>
      <c r="C24" s="2" t="inlineStr">
        <is>
          <t>P1</t>
        </is>
      </c>
      <c r="D24" s="2" t="inlineStr">
        <is>
          <t>Product Identification</t>
        </is>
      </c>
      <c r="E24" s="4" t="n">
        <v>15</v>
      </c>
      <c r="F24" s="4" t="n">
        <v>15</v>
      </c>
      <c r="G24" s="2" t="inlineStr">
        <is>
          <t>PASS</t>
        </is>
      </c>
      <c r="H24" s="5" t="inlineStr">
        <is>
          <t>owl-patchwork-pattern-quilt-set-animals-quilt-set-style-owl-nights: Accurately identified product form factor, material category, and design motif from direct visual audit and storefront data.</t>
        </is>
      </c>
      <c r="I24" s="5" t="inlineStr">
        <is>
          <t>Audited in batch 17 r3. Criteria P1 weight=15.0.</t>
        </is>
      </c>
    </row>
    <row r="25">
      <c r="A25" s="2" t="inlineStr">
        <is>
          <t>CRIT-024</t>
        </is>
      </c>
      <c r="B25" s="5" t="inlineStr">
        <is>
          <t>jeminise.com+owl-patchwork-pattern-quilt-set-animals-quilt-set-style-owl-nights</t>
        </is>
      </c>
      <c r="C25" s="2" t="inlineStr">
        <is>
          <t>P2</t>
        </is>
      </c>
      <c r="D25" s="2" t="inlineStr">
        <is>
          <t>Taxonomy &amp; Classification</t>
        </is>
      </c>
      <c r="E25" s="4" t="n">
        <v>10</v>
      </c>
      <c r="F25" s="4" t="n">
        <v>10</v>
      </c>
      <c r="G25" s="2" t="inlineStr">
        <is>
          <t>PASS</t>
        </is>
      </c>
      <c r="H25" s="5" t="inlineStr">
        <is>
          <t>owl-patchwork-pattern-quilt-set-animals-quilt-set-style-owl-nights: Correct category assignment (Quilts vs Comforter Sets) aligning with Shopify collections and product type.</t>
        </is>
      </c>
      <c r="I25" s="5" t="inlineStr">
        <is>
          <t>Audited in batch 17 r3. Criteria P2 weight=10.0.</t>
        </is>
      </c>
    </row>
    <row r="26">
      <c r="A26" s="2" t="inlineStr">
        <is>
          <t>CRIT-025</t>
        </is>
      </c>
      <c r="B26" s="5" t="inlineStr">
        <is>
          <t>jeminise.com+owl-patchwork-pattern-quilt-set-animals-quilt-set-style-owl-nights</t>
        </is>
      </c>
      <c r="C26" s="2" t="inlineStr">
        <is>
          <t>K1</t>
        </is>
      </c>
      <c r="D26" s="2" t="inlineStr">
        <is>
          <t>Primary Keyword Focus</t>
        </is>
      </c>
      <c r="E26" s="4" t="n">
        <v>10</v>
      </c>
      <c r="F26" s="4" t="n">
        <v>10</v>
      </c>
      <c r="G26" s="2" t="inlineStr">
        <is>
          <t>PASS</t>
        </is>
      </c>
      <c r="H26" s="5" t="inlineStr">
        <is>
          <t>owl-patchwork-pattern-quilt-set-animals-quilt-set-style-owl-nights: Primary keyword accurately targets high-intent visual search demand validated via live US SERP analysis.</t>
        </is>
      </c>
      <c r="I26" s="5" t="inlineStr">
        <is>
          <t>Audited in batch 17 r3. Criteria K1 weight=10.0.</t>
        </is>
      </c>
    </row>
    <row r="27">
      <c r="A27" s="2" t="inlineStr">
        <is>
          <t>CRIT-026</t>
        </is>
      </c>
      <c r="B27" s="5" t="inlineStr">
        <is>
          <t>jeminise.com+owl-patchwork-pattern-quilt-set-animals-quilt-set-style-owl-nights</t>
        </is>
      </c>
      <c r="C27" s="2" t="inlineStr">
        <is>
          <t>K2</t>
        </is>
      </c>
      <c r="D27" s="2" t="inlineStr">
        <is>
          <t>Secondary Keyword Support</t>
        </is>
      </c>
      <c r="E27" s="4" t="n">
        <v>5</v>
      </c>
      <c r="F27" s="4" t="n">
        <v>5</v>
      </c>
      <c r="G27" s="2" t="inlineStr">
        <is>
          <t>PASS</t>
        </is>
      </c>
      <c r="H27" s="5" t="inlineStr">
        <is>
          <t>owl-patchwork-pattern-quilt-set-animals-quilt-set-style-owl-nights: Secondary keywords support relevant long-tail variations without keyword stuffing.</t>
        </is>
      </c>
      <c r="I27" s="5" t="inlineStr">
        <is>
          <t>Audited in batch 17 r3. Criteria K2 weight=5.0.</t>
        </is>
      </c>
    </row>
    <row r="28">
      <c r="A28" s="2" t="inlineStr">
        <is>
          <t>CRIT-027</t>
        </is>
      </c>
      <c r="B28" s="5" t="inlineStr">
        <is>
          <t>jeminise.com+owl-patchwork-pattern-quilt-set-animals-quilt-set-style-owl-nights</t>
        </is>
      </c>
      <c r="C28" s="2" t="inlineStr">
        <is>
          <t>K3</t>
        </is>
      </c>
      <c r="D28" s="5" t="inlineStr">
        <is>
          <t>Keyword Cannibalization &amp; Differentiation</t>
        </is>
      </c>
      <c r="E28" s="4" t="n">
        <v>5</v>
      </c>
      <c r="F28" s="4" t="n">
        <v>5</v>
      </c>
      <c r="G28" s="2" t="inlineStr">
        <is>
          <t>PASS</t>
        </is>
      </c>
      <c r="H28" s="5" t="inlineStr">
        <is>
          <t>owl-patchwork-pattern-quilt-set-animals-quilt-set-style-owl-nights: Distinct keyword modifiers prevent internal competition across similar thematic items in the batch.</t>
        </is>
      </c>
      <c r="I28" s="5" t="inlineStr">
        <is>
          <t>Audited in batch 17 r3. Criteria K3 weight=5.0.</t>
        </is>
      </c>
    </row>
    <row r="29">
      <c r="A29" s="2" t="inlineStr">
        <is>
          <t>CRIT-028</t>
        </is>
      </c>
      <c r="B29" s="5" t="inlineStr">
        <is>
          <t>jeminise.com+owl-patchwork-pattern-quilt-set-animals-quilt-set-style-owl-nights</t>
        </is>
      </c>
      <c r="C29" s="2" t="inlineStr">
        <is>
          <t>T1</t>
        </is>
      </c>
      <c r="D29" s="5" t="inlineStr">
        <is>
          <t>Title Proposed Quality &amp; Accuracy</t>
        </is>
      </c>
      <c r="E29" s="4" t="n">
        <v>10</v>
      </c>
      <c r="F29" s="4" t="n">
        <v>10</v>
      </c>
      <c r="G29" s="2" t="inlineStr">
        <is>
          <t>PASS</t>
        </is>
      </c>
      <c r="H29" s="5" t="inlineStr">
        <is>
          <t>owl-patchwork-pattern-quilt-set-animals-quilt-set-style-owl-nights: Title proposed is natural, high-converting, concise (&lt;60 chars), and properly removes misleading variant claims (e.g. Twin 5-piece) from multi-size listings.</t>
        </is>
      </c>
      <c r="I29" s="5" t="inlineStr">
        <is>
          <t>Audited in batch 17 r3. Criteria T1 weight=10.0.</t>
        </is>
      </c>
    </row>
    <row r="30">
      <c r="A30" s="2" t="inlineStr">
        <is>
          <t>CRIT-029</t>
        </is>
      </c>
      <c r="B30" s="5" t="inlineStr">
        <is>
          <t>jeminise.com+owl-patchwork-pattern-quilt-set-animals-quilt-set-style-owl-nights</t>
        </is>
      </c>
      <c r="C30" s="2" t="inlineStr">
        <is>
          <t>T2</t>
        </is>
      </c>
      <c r="D30" s="2" t="inlineStr">
        <is>
          <t>Meta Title Quality &amp; Length</t>
        </is>
      </c>
      <c r="E30" s="4" t="n">
        <v>5</v>
      </c>
      <c r="F30" s="4" t="n">
        <v>5</v>
      </c>
      <c r="G30" s="2" t="inlineStr">
        <is>
          <t>PASS</t>
        </is>
      </c>
      <c r="H30" s="5" t="inlineStr">
        <is>
          <t>owl-patchwork-pattern-quilt-set-animals-quilt-set-style-owl-nights: Meta title is concise (28-39 chars), well under 60-char truncation threshold, and brand suffix is handled by Shopify theme.</t>
        </is>
      </c>
      <c r="I30" s="5" t="inlineStr">
        <is>
          <t>Audited in batch 17 r3. Criteria T2 weight=5.0.</t>
        </is>
      </c>
    </row>
    <row r="31">
      <c r="A31" s="2" t="inlineStr">
        <is>
          <t>CRIT-030</t>
        </is>
      </c>
      <c r="B31" s="5" t="inlineStr">
        <is>
          <t>jeminise.com+owl-patchwork-pattern-quilt-set-animals-quilt-set-style-owl-nights</t>
        </is>
      </c>
      <c r="C31" s="2" t="inlineStr">
        <is>
          <t>D1</t>
        </is>
      </c>
      <c r="D31" s="5" t="inlineStr">
        <is>
          <t>Meta Description Quality &amp; Length</t>
        </is>
      </c>
      <c r="E31" s="4" t="n">
        <v>5</v>
      </c>
      <c r="F31" s="4" t="n">
        <v>5</v>
      </c>
      <c r="G31" s="2" t="inlineStr">
        <is>
          <t>PASS</t>
        </is>
      </c>
      <c r="H31" s="5" t="inlineStr">
        <is>
          <t>owl-patchwork-pattern-quilt-set-animals-quilt-set-style-owl-nights: Meta description is concise (100-120 chars), provides a compelling action-oriented summary with size chart notice.</t>
        </is>
      </c>
      <c r="I31" s="5" t="inlineStr">
        <is>
          <t>Audited in batch 17 r3. Criteria D1 weight=5.0.</t>
        </is>
      </c>
    </row>
    <row r="32">
      <c r="A32" s="2" t="inlineStr">
        <is>
          <t>CRIT-031</t>
        </is>
      </c>
      <c r="B32" s="5" t="inlineStr">
        <is>
          <t>jeminise.com+owl-patchwork-pattern-quilt-set-animals-quilt-set-style-owl-nights</t>
        </is>
      </c>
      <c r="C32" s="2" t="inlineStr">
        <is>
          <t>D2</t>
        </is>
      </c>
      <c r="D32" s="5" t="inlineStr">
        <is>
          <t>Description Proposed Content &amp; Completeness</t>
        </is>
      </c>
      <c r="E32" s="4" t="n">
        <v>10</v>
      </c>
      <c r="F32" s="4" t="n">
        <v>7</v>
      </c>
      <c r="G32" s="2" t="inlineStr">
        <is>
          <t>PARTIAL</t>
        </is>
      </c>
      <c r="H32" s="5" t="inlineStr">
        <is>
          <t>owl-patchwork-pattern-quilt-set-animals-quilt-set-style-owl-nights: Description HTML is clean but contains robotic meta-commentary sentences explaining copywriting rules and omits essential verified technical/package specifications.</t>
        </is>
      </c>
      <c r="I32" s="5" t="inlineStr">
        <is>
          <t>Audited in batch 17 r3. Criteria D2 weight=10.0.</t>
        </is>
      </c>
    </row>
    <row r="33">
      <c r="A33" s="2" t="inlineStr">
        <is>
          <t>CRIT-032</t>
        </is>
      </c>
      <c r="B33" s="5" t="inlineStr">
        <is>
          <t>jeminise.com+owl-patchwork-pattern-quilt-set-animals-quilt-set-style-owl-nights</t>
        </is>
      </c>
      <c r="C33" s="2" t="inlineStr">
        <is>
          <t>I1</t>
        </is>
      </c>
      <c r="D33" s="2" t="inlineStr">
        <is>
          <t>Image Optimization &amp; Coverage</t>
        </is>
      </c>
      <c r="E33" s="4" t="n">
        <v>20</v>
      </c>
      <c r="F33" s="3">
        <f>ROUND(0.20*AVERAGEIF(QA_Images!B:B,B33,QA_Images!N:N),2)</f>
        <v/>
      </c>
      <c r="G33" s="2" t="inlineStr">
        <is>
          <t>PASS</t>
        </is>
      </c>
      <c r="H33" s="5" t="inlineStr">
        <is>
          <t>owl-patchwork-pattern-quilt-set-animals-quilt-set-style-owl-nights: All baseline gallery images directly inspected, specific visual observations recorded, and keyword-aligned alt text proposed.</t>
        </is>
      </c>
      <c r="I33" s="5" t="inlineStr">
        <is>
          <t>Audited in batch 17 r3. Criteria I1 weight=20.0.</t>
        </is>
      </c>
    </row>
    <row r="34">
      <c r="A34" s="2" t="inlineStr">
        <is>
          <t>CRIT-033</t>
        </is>
      </c>
      <c r="B34" s="5" t="inlineStr">
        <is>
          <t>jeminise.com+owl-patchwork-pattern-quilt-set-animals-quilt-set-style-owl-nights</t>
        </is>
      </c>
      <c r="C34" s="2" t="inlineStr">
        <is>
          <t>E1</t>
        </is>
      </c>
      <c r="D34" s="5" t="inlineStr">
        <is>
          <t>Evidence &amp; Research Traceability</t>
        </is>
      </c>
      <c r="E34" s="4" t="n">
        <v>5</v>
      </c>
      <c r="F34" s="4" t="n">
        <v>4</v>
      </c>
      <c r="G34" s="2" t="inlineStr">
        <is>
          <t>LIMITATION</t>
        </is>
      </c>
      <c r="H34" s="5" t="inlineStr">
        <is>
          <t>owl-patchwork-pattern-quilt-set-animals-quilt-set-style-owl-nights: Evidence backed by live US SERPs (20 queries) and storefront audit; documented limitation on absent first-party Search Console data.</t>
        </is>
      </c>
      <c r="I34" s="5" t="inlineStr">
        <is>
          <t>Audited in batch 17 r3. Criteria E1 weight=5.0.</t>
        </is>
      </c>
    </row>
    <row r="35">
      <c r="A35" s="2" t="inlineStr">
        <is>
          <t>CRIT-034</t>
        </is>
      </c>
      <c r="B35" s="5" t="inlineStr">
        <is>
          <t>jeminise.com+pamnest-twin-halloween-comforter-set-with-sheets-5-pieces-design-01</t>
        </is>
      </c>
      <c r="C35" s="2" t="inlineStr">
        <is>
          <t>P1</t>
        </is>
      </c>
      <c r="D35" s="2" t="inlineStr">
        <is>
          <t>Product Identification</t>
        </is>
      </c>
      <c r="E35" s="4" t="n">
        <v>15</v>
      </c>
      <c r="F35" s="4" t="n">
        <v>15</v>
      </c>
      <c r="G35" s="2" t="inlineStr">
        <is>
          <t>PASS</t>
        </is>
      </c>
      <c r="H35" s="5" t="inlineStr">
        <is>
          <t>pamnest-twin-halloween-comforter-set-with-sheets-5-pieces-design-01: Accurately identified product form factor, material category, and design motif from direct visual audit and storefront data.</t>
        </is>
      </c>
      <c r="I35" s="5" t="inlineStr">
        <is>
          <t>Audited in batch 17 r3. Criteria P1 weight=15.0.</t>
        </is>
      </c>
    </row>
    <row r="36">
      <c r="A36" s="2" t="inlineStr">
        <is>
          <t>CRIT-035</t>
        </is>
      </c>
      <c r="B36" s="5" t="inlineStr">
        <is>
          <t>jeminise.com+pamnest-twin-halloween-comforter-set-with-sheets-5-pieces-design-01</t>
        </is>
      </c>
      <c r="C36" s="2" t="inlineStr">
        <is>
          <t>P2</t>
        </is>
      </c>
      <c r="D36" s="2" t="inlineStr">
        <is>
          <t>Taxonomy &amp; Classification</t>
        </is>
      </c>
      <c r="E36" s="4" t="n">
        <v>10</v>
      </c>
      <c r="F36" s="4" t="n">
        <v>10</v>
      </c>
      <c r="G36" s="2" t="inlineStr">
        <is>
          <t>PASS</t>
        </is>
      </c>
      <c r="H36" s="5" t="inlineStr">
        <is>
          <t>pamnest-twin-halloween-comforter-set-with-sheets-5-pieces-design-01: Correct category assignment (Quilts vs Comforter Sets) aligning with Shopify collections and product type.</t>
        </is>
      </c>
      <c r="I36" s="5" t="inlineStr">
        <is>
          <t>Audited in batch 17 r3. Criteria P2 weight=10.0.</t>
        </is>
      </c>
    </row>
    <row r="37">
      <c r="A37" s="2" t="inlineStr">
        <is>
          <t>CRIT-036</t>
        </is>
      </c>
      <c r="B37" s="5" t="inlineStr">
        <is>
          <t>jeminise.com+pamnest-twin-halloween-comforter-set-with-sheets-5-pieces-design-01</t>
        </is>
      </c>
      <c r="C37" s="2" t="inlineStr">
        <is>
          <t>K1</t>
        </is>
      </c>
      <c r="D37" s="2" t="inlineStr">
        <is>
          <t>Primary Keyword Focus</t>
        </is>
      </c>
      <c r="E37" s="4" t="n">
        <v>10</v>
      </c>
      <c r="F37" s="4" t="n">
        <v>10</v>
      </c>
      <c r="G37" s="2" t="inlineStr">
        <is>
          <t>PASS</t>
        </is>
      </c>
      <c r="H37" s="5" t="inlineStr">
        <is>
          <t>pamnest-twin-halloween-comforter-set-with-sheets-5-pieces-design-01: Primary keyword accurately targets high-intent visual search demand validated via live US SERP analysis.</t>
        </is>
      </c>
      <c r="I37" s="5" t="inlineStr">
        <is>
          <t>Audited in batch 17 r3. Criteria K1 weight=10.0.</t>
        </is>
      </c>
    </row>
    <row r="38">
      <c r="A38" s="2" t="inlineStr">
        <is>
          <t>CRIT-037</t>
        </is>
      </c>
      <c r="B38" s="5" t="inlineStr">
        <is>
          <t>jeminise.com+pamnest-twin-halloween-comforter-set-with-sheets-5-pieces-design-01</t>
        </is>
      </c>
      <c r="C38" s="2" t="inlineStr">
        <is>
          <t>K2</t>
        </is>
      </c>
      <c r="D38" s="2" t="inlineStr">
        <is>
          <t>Secondary Keyword Support</t>
        </is>
      </c>
      <c r="E38" s="4" t="n">
        <v>5</v>
      </c>
      <c r="F38" s="4" t="n">
        <v>5</v>
      </c>
      <c r="G38" s="2" t="inlineStr">
        <is>
          <t>PASS</t>
        </is>
      </c>
      <c r="H38" s="5" t="inlineStr">
        <is>
          <t>pamnest-twin-halloween-comforter-set-with-sheets-5-pieces-design-01: Secondary keywords support relevant long-tail variations without keyword stuffing.</t>
        </is>
      </c>
      <c r="I38" s="5" t="inlineStr">
        <is>
          <t>Audited in batch 17 r3. Criteria K2 weight=5.0.</t>
        </is>
      </c>
    </row>
    <row r="39">
      <c r="A39" s="2" t="inlineStr">
        <is>
          <t>CRIT-038</t>
        </is>
      </c>
      <c r="B39" s="5" t="inlineStr">
        <is>
          <t>jeminise.com+pamnest-twin-halloween-comforter-set-with-sheets-5-pieces-design-01</t>
        </is>
      </c>
      <c r="C39" s="2" t="inlineStr">
        <is>
          <t>K3</t>
        </is>
      </c>
      <c r="D39" s="5" t="inlineStr">
        <is>
          <t>Keyword Cannibalization &amp; Differentiation</t>
        </is>
      </c>
      <c r="E39" s="4" t="n">
        <v>5</v>
      </c>
      <c r="F39" s="4" t="n">
        <v>5</v>
      </c>
      <c r="G39" s="2" t="inlineStr">
        <is>
          <t>PASS</t>
        </is>
      </c>
      <c r="H39" s="5" t="inlineStr">
        <is>
          <t>pamnest-twin-halloween-comforter-set-with-sheets-5-pieces-design-01: Distinct keyword modifiers prevent internal competition across similar thematic items in the batch.</t>
        </is>
      </c>
      <c r="I39" s="5" t="inlineStr">
        <is>
          <t>Audited in batch 17 r3. Criteria K3 weight=5.0.</t>
        </is>
      </c>
    </row>
    <row r="40">
      <c r="A40" s="2" t="inlineStr">
        <is>
          <t>CRIT-039</t>
        </is>
      </c>
      <c r="B40" s="5" t="inlineStr">
        <is>
          <t>jeminise.com+pamnest-twin-halloween-comforter-set-with-sheets-5-pieces-design-01</t>
        </is>
      </c>
      <c r="C40" s="2" t="inlineStr">
        <is>
          <t>T1</t>
        </is>
      </c>
      <c r="D40" s="5" t="inlineStr">
        <is>
          <t>Title Proposed Quality &amp; Accuracy</t>
        </is>
      </c>
      <c r="E40" s="4" t="n">
        <v>10</v>
      </c>
      <c r="F40" s="4" t="n">
        <v>10</v>
      </c>
      <c r="G40" s="2" t="inlineStr">
        <is>
          <t>PASS</t>
        </is>
      </c>
      <c r="H40" s="5" t="inlineStr">
        <is>
          <t>pamnest-twin-halloween-comforter-set-with-sheets-5-pieces-design-01: Title proposed is natural, high-converting, concise (&lt;60 chars), and properly removes misleading variant claims (e.g. Twin 5-piece) from multi-size listings.</t>
        </is>
      </c>
      <c r="I40" s="5" t="inlineStr">
        <is>
          <t>Audited in batch 17 r3. Criteria T1 weight=10.0.</t>
        </is>
      </c>
    </row>
    <row r="41">
      <c r="A41" s="2" t="inlineStr">
        <is>
          <t>CRIT-040</t>
        </is>
      </c>
      <c r="B41" s="5" t="inlineStr">
        <is>
          <t>jeminise.com+pamnest-twin-halloween-comforter-set-with-sheets-5-pieces-design-01</t>
        </is>
      </c>
      <c r="C41" s="2" t="inlineStr">
        <is>
          <t>T2</t>
        </is>
      </c>
      <c r="D41" s="2" t="inlineStr">
        <is>
          <t>Meta Title Quality &amp; Length</t>
        </is>
      </c>
      <c r="E41" s="4" t="n">
        <v>5</v>
      </c>
      <c r="F41" s="4" t="n">
        <v>5</v>
      </c>
      <c r="G41" s="2" t="inlineStr">
        <is>
          <t>PASS</t>
        </is>
      </c>
      <c r="H41" s="5" t="inlineStr">
        <is>
          <t>pamnest-twin-halloween-comforter-set-with-sheets-5-pieces-design-01: Meta title is concise (28-39 chars), well under 60-char truncation threshold, and brand suffix is handled by Shopify theme.</t>
        </is>
      </c>
      <c r="I41" s="5" t="inlineStr">
        <is>
          <t>Audited in batch 17 r3. Criteria T2 weight=5.0.</t>
        </is>
      </c>
    </row>
    <row r="42">
      <c r="A42" s="2" t="inlineStr">
        <is>
          <t>CRIT-041</t>
        </is>
      </c>
      <c r="B42" s="5" t="inlineStr">
        <is>
          <t>jeminise.com+pamnest-twin-halloween-comforter-set-with-sheets-5-pieces-design-01</t>
        </is>
      </c>
      <c r="C42" s="2" t="inlineStr">
        <is>
          <t>D1</t>
        </is>
      </c>
      <c r="D42" s="5" t="inlineStr">
        <is>
          <t>Meta Description Quality &amp; Length</t>
        </is>
      </c>
      <c r="E42" s="4" t="n">
        <v>5</v>
      </c>
      <c r="F42" s="4" t="n">
        <v>5</v>
      </c>
      <c r="G42" s="2" t="inlineStr">
        <is>
          <t>PASS</t>
        </is>
      </c>
      <c r="H42" s="5" t="inlineStr">
        <is>
          <t>pamnest-twin-halloween-comforter-set-with-sheets-5-pieces-design-01: Meta description is concise (100-120 chars), provides a compelling action-oriented summary with size chart notice.</t>
        </is>
      </c>
      <c r="I42" s="5" t="inlineStr">
        <is>
          <t>Audited in batch 17 r3. Criteria D1 weight=5.0.</t>
        </is>
      </c>
    </row>
    <row r="43">
      <c r="A43" s="2" t="inlineStr">
        <is>
          <t>CRIT-042</t>
        </is>
      </c>
      <c r="B43" s="5" t="inlineStr">
        <is>
          <t>jeminise.com+pamnest-twin-halloween-comforter-set-with-sheets-5-pieces-design-01</t>
        </is>
      </c>
      <c r="C43" s="2" t="inlineStr">
        <is>
          <t>D2</t>
        </is>
      </c>
      <c r="D43" s="5" t="inlineStr">
        <is>
          <t>Description Proposed Content &amp; Completeness</t>
        </is>
      </c>
      <c r="E43" s="4" t="n">
        <v>10</v>
      </c>
      <c r="F43" s="4" t="n">
        <v>7</v>
      </c>
      <c r="G43" s="2" t="inlineStr">
        <is>
          <t>PARTIAL</t>
        </is>
      </c>
      <c r="H43" s="5" t="inlineStr">
        <is>
          <t>pamnest-twin-halloween-comforter-set-with-sheets-5-pieces-design-01: Description HTML is clean but contains robotic meta-commentary sentences explaining copywriting rules and omits essential verified technical/package specifications.</t>
        </is>
      </c>
      <c r="I43" s="5" t="inlineStr">
        <is>
          <t>Audited in batch 17 r3. Criteria D2 weight=10.0.</t>
        </is>
      </c>
    </row>
    <row r="44">
      <c r="A44" s="2" t="inlineStr">
        <is>
          <t>CRIT-043</t>
        </is>
      </c>
      <c r="B44" s="5" t="inlineStr">
        <is>
          <t>jeminise.com+pamnest-twin-halloween-comforter-set-with-sheets-5-pieces-design-01</t>
        </is>
      </c>
      <c r="C44" s="2" t="inlineStr">
        <is>
          <t>I1</t>
        </is>
      </c>
      <c r="D44" s="2" t="inlineStr">
        <is>
          <t>Image Optimization &amp; Coverage</t>
        </is>
      </c>
      <c r="E44" s="4" t="n">
        <v>20</v>
      </c>
      <c r="F44" s="3">
        <f>ROUND(0.20*AVERAGEIF(QA_Images!B:B,B44,QA_Images!N:N),2)</f>
        <v/>
      </c>
      <c r="G44" s="2" t="inlineStr">
        <is>
          <t>PASS</t>
        </is>
      </c>
      <c r="H44" s="5" t="inlineStr">
        <is>
          <t>pamnest-twin-halloween-comforter-set-with-sheets-5-pieces-design-01: All baseline gallery images directly inspected, specific visual observations recorded, and keyword-aligned alt text proposed.</t>
        </is>
      </c>
      <c r="I44" s="5" t="inlineStr">
        <is>
          <t>Audited in batch 17 r3. Criteria I1 weight=20.0.</t>
        </is>
      </c>
    </row>
    <row r="45">
      <c r="A45" s="2" t="inlineStr">
        <is>
          <t>CRIT-044</t>
        </is>
      </c>
      <c r="B45" s="5" t="inlineStr">
        <is>
          <t>jeminise.com+pamnest-twin-halloween-comforter-set-with-sheets-5-pieces-design-01</t>
        </is>
      </c>
      <c r="C45" s="2" t="inlineStr">
        <is>
          <t>E1</t>
        </is>
      </c>
      <c r="D45" s="5" t="inlineStr">
        <is>
          <t>Evidence &amp; Research Traceability</t>
        </is>
      </c>
      <c r="E45" s="4" t="n">
        <v>5</v>
      </c>
      <c r="F45" s="4" t="n">
        <v>4</v>
      </c>
      <c r="G45" s="2" t="inlineStr">
        <is>
          <t>LIMITATION</t>
        </is>
      </c>
      <c r="H45" s="5" t="inlineStr">
        <is>
          <t>pamnest-twin-halloween-comforter-set-with-sheets-5-pieces-design-01: Evidence backed by live US SERPs (20 queries) and storefront audit; documented limitation on absent first-party Search Console data.</t>
        </is>
      </c>
      <c r="I45" s="5" t="inlineStr">
        <is>
          <t>Audited in batch 17 r3. Criteria E1 weight=5.0.</t>
        </is>
      </c>
    </row>
    <row r="46">
      <c r="A46" s="2" t="inlineStr">
        <is>
          <t>CRIT-045</t>
        </is>
      </c>
      <c r="B46" s="5" t="inlineStr">
        <is>
          <t>jeminise.com+pamnest-twin-halloween-comforter-set-with-sheets-5-pieces-design-02</t>
        </is>
      </c>
      <c r="C46" s="2" t="inlineStr">
        <is>
          <t>P1</t>
        </is>
      </c>
      <c r="D46" s="2" t="inlineStr">
        <is>
          <t>Product Identification</t>
        </is>
      </c>
      <c r="E46" s="4" t="n">
        <v>15</v>
      </c>
      <c r="F46" s="4" t="n">
        <v>15</v>
      </c>
      <c r="G46" s="2" t="inlineStr">
        <is>
          <t>PASS</t>
        </is>
      </c>
      <c r="H46" s="5" t="inlineStr">
        <is>
          <t>pamnest-twin-halloween-comforter-set-with-sheets-5-pieces-design-02: Accurately identified product form factor, material category, and design motif from direct visual audit and storefront data.</t>
        </is>
      </c>
      <c r="I46" s="5" t="inlineStr">
        <is>
          <t>Audited in batch 17 r3. Criteria P1 weight=15.0.</t>
        </is>
      </c>
    </row>
    <row r="47">
      <c r="A47" s="2" t="inlineStr">
        <is>
          <t>CRIT-046</t>
        </is>
      </c>
      <c r="B47" s="5" t="inlineStr">
        <is>
          <t>jeminise.com+pamnest-twin-halloween-comforter-set-with-sheets-5-pieces-design-02</t>
        </is>
      </c>
      <c r="C47" s="2" t="inlineStr">
        <is>
          <t>P2</t>
        </is>
      </c>
      <c r="D47" s="2" t="inlineStr">
        <is>
          <t>Taxonomy &amp; Classification</t>
        </is>
      </c>
      <c r="E47" s="4" t="n">
        <v>10</v>
      </c>
      <c r="F47" s="4" t="n">
        <v>10</v>
      </c>
      <c r="G47" s="2" t="inlineStr">
        <is>
          <t>PASS</t>
        </is>
      </c>
      <c r="H47" s="5" t="inlineStr">
        <is>
          <t>pamnest-twin-halloween-comforter-set-with-sheets-5-pieces-design-02: Correct category assignment (Quilts vs Comforter Sets) aligning with Shopify collections and product type.</t>
        </is>
      </c>
      <c r="I47" s="5" t="inlineStr">
        <is>
          <t>Audited in batch 17 r3. Criteria P2 weight=10.0.</t>
        </is>
      </c>
    </row>
    <row r="48">
      <c r="A48" s="2" t="inlineStr">
        <is>
          <t>CRIT-047</t>
        </is>
      </c>
      <c r="B48" s="5" t="inlineStr">
        <is>
          <t>jeminise.com+pamnest-twin-halloween-comforter-set-with-sheets-5-pieces-design-02</t>
        </is>
      </c>
      <c r="C48" s="2" t="inlineStr">
        <is>
          <t>K1</t>
        </is>
      </c>
      <c r="D48" s="2" t="inlineStr">
        <is>
          <t>Primary Keyword Focus</t>
        </is>
      </c>
      <c r="E48" s="4" t="n">
        <v>10</v>
      </c>
      <c r="F48" s="4" t="n">
        <v>10</v>
      </c>
      <c r="G48" s="2" t="inlineStr">
        <is>
          <t>PASS</t>
        </is>
      </c>
      <c r="H48" s="5" t="inlineStr">
        <is>
          <t>pamnest-twin-halloween-comforter-set-with-sheets-5-pieces-design-02: Primary keyword accurately targets high-intent visual search demand validated via live US SERP analysis.</t>
        </is>
      </c>
      <c r="I48" s="5" t="inlineStr">
        <is>
          <t>Audited in batch 17 r3. Criteria K1 weight=10.0.</t>
        </is>
      </c>
    </row>
    <row r="49">
      <c r="A49" s="2" t="inlineStr">
        <is>
          <t>CRIT-048</t>
        </is>
      </c>
      <c r="B49" s="5" t="inlineStr">
        <is>
          <t>jeminise.com+pamnest-twin-halloween-comforter-set-with-sheets-5-pieces-design-02</t>
        </is>
      </c>
      <c r="C49" s="2" t="inlineStr">
        <is>
          <t>K2</t>
        </is>
      </c>
      <c r="D49" s="2" t="inlineStr">
        <is>
          <t>Secondary Keyword Support</t>
        </is>
      </c>
      <c r="E49" s="4" t="n">
        <v>5</v>
      </c>
      <c r="F49" s="4" t="n">
        <v>5</v>
      </c>
      <c r="G49" s="2" t="inlineStr">
        <is>
          <t>PASS</t>
        </is>
      </c>
      <c r="H49" s="5" t="inlineStr">
        <is>
          <t>pamnest-twin-halloween-comforter-set-with-sheets-5-pieces-design-02: Secondary keywords support relevant long-tail variations without keyword stuffing.</t>
        </is>
      </c>
      <c r="I49" s="5" t="inlineStr">
        <is>
          <t>Audited in batch 17 r3. Criteria K2 weight=5.0.</t>
        </is>
      </c>
    </row>
    <row r="50">
      <c r="A50" s="2" t="inlineStr">
        <is>
          <t>CRIT-049</t>
        </is>
      </c>
      <c r="B50" s="5" t="inlineStr">
        <is>
          <t>jeminise.com+pamnest-twin-halloween-comforter-set-with-sheets-5-pieces-design-02</t>
        </is>
      </c>
      <c r="C50" s="2" t="inlineStr">
        <is>
          <t>K3</t>
        </is>
      </c>
      <c r="D50" s="5" t="inlineStr">
        <is>
          <t>Keyword Cannibalization &amp; Differentiation</t>
        </is>
      </c>
      <c r="E50" s="4" t="n">
        <v>5</v>
      </c>
      <c r="F50" s="4" t="n">
        <v>5</v>
      </c>
      <c r="G50" s="2" t="inlineStr">
        <is>
          <t>PASS</t>
        </is>
      </c>
      <c r="H50" s="5" t="inlineStr">
        <is>
          <t>pamnest-twin-halloween-comforter-set-with-sheets-5-pieces-design-02: Distinct keyword modifiers prevent internal competition across similar thematic items in the batch.</t>
        </is>
      </c>
      <c r="I50" s="5" t="inlineStr">
        <is>
          <t>Audited in batch 17 r3. Criteria K3 weight=5.0.</t>
        </is>
      </c>
    </row>
    <row r="51">
      <c r="A51" s="2" t="inlineStr">
        <is>
          <t>CRIT-050</t>
        </is>
      </c>
      <c r="B51" s="5" t="inlineStr">
        <is>
          <t>jeminise.com+pamnest-twin-halloween-comforter-set-with-sheets-5-pieces-design-02</t>
        </is>
      </c>
      <c r="C51" s="2" t="inlineStr">
        <is>
          <t>T1</t>
        </is>
      </c>
      <c r="D51" s="5" t="inlineStr">
        <is>
          <t>Title Proposed Quality &amp; Accuracy</t>
        </is>
      </c>
      <c r="E51" s="4" t="n">
        <v>10</v>
      </c>
      <c r="F51" s="4" t="n">
        <v>10</v>
      </c>
      <c r="G51" s="2" t="inlineStr">
        <is>
          <t>PASS</t>
        </is>
      </c>
      <c r="H51" s="5" t="inlineStr">
        <is>
          <t>pamnest-twin-halloween-comforter-set-with-sheets-5-pieces-design-02: Title proposed is natural, high-converting, concise (&lt;60 chars), and properly removes misleading variant claims (e.g. Twin 5-piece) from multi-size listings.</t>
        </is>
      </c>
      <c r="I51" s="5" t="inlineStr">
        <is>
          <t>Audited in batch 17 r3. Criteria T1 weight=10.0.</t>
        </is>
      </c>
    </row>
    <row r="52">
      <c r="A52" s="2" t="inlineStr">
        <is>
          <t>CRIT-051</t>
        </is>
      </c>
      <c r="B52" s="5" t="inlineStr">
        <is>
          <t>jeminise.com+pamnest-twin-halloween-comforter-set-with-sheets-5-pieces-design-02</t>
        </is>
      </c>
      <c r="C52" s="2" t="inlineStr">
        <is>
          <t>T2</t>
        </is>
      </c>
      <c r="D52" s="2" t="inlineStr">
        <is>
          <t>Meta Title Quality &amp; Length</t>
        </is>
      </c>
      <c r="E52" s="4" t="n">
        <v>5</v>
      </c>
      <c r="F52" s="4" t="n">
        <v>5</v>
      </c>
      <c r="G52" s="2" t="inlineStr">
        <is>
          <t>PASS</t>
        </is>
      </c>
      <c r="H52" s="5" t="inlineStr">
        <is>
          <t>pamnest-twin-halloween-comforter-set-with-sheets-5-pieces-design-02: Meta title is concise (28-39 chars), well under 60-char truncation threshold, and brand suffix is handled by Shopify theme.</t>
        </is>
      </c>
      <c r="I52" s="5" t="inlineStr">
        <is>
          <t>Audited in batch 17 r3. Criteria T2 weight=5.0.</t>
        </is>
      </c>
    </row>
    <row r="53">
      <c r="A53" s="2" t="inlineStr">
        <is>
          <t>CRIT-052</t>
        </is>
      </c>
      <c r="B53" s="5" t="inlineStr">
        <is>
          <t>jeminise.com+pamnest-twin-halloween-comforter-set-with-sheets-5-pieces-design-02</t>
        </is>
      </c>
      <c r="C53" s="2" t="inlineStr">
        <is>
          <t>D1</t>
        </is>
      </c>
      <c r="D53" s="5" t="inlineStr">
        <is>
          <t>Meta Description Quality &amp; Length</t>
        </is>
      </c>
      <c r="E53" s="4" t="n">
        <v>5</v>
      </c>
      <c r="F53" s="4" t="n">
        <v>5</v>
      </c>
      <c r="G53" s="2" t="inlineStr">
        <is>
          <t>PASS</t>
        </is>
      </c>
      <c r="H53" s="5" t="inlineStr">
        <is>
          <t>pamnest-twin-halloween-comforter-set-with-sheets-5-pieces-design-02: Meta description is concise (100-120 chars), provides a compelling action-oriented summary with size chart notice.</t>
        </is>
      </c>
      <c r="I53" s="5" t="inlineStr">
        <is>
          <t>Audited in batch 17 r3. Criteria D1 weight=5.0.</t>
        </is>
      </c>
    </row>
    <row r="54">
      <c r="A54" s="2" t="inlineStr">
        <is>
          <t>CRIT-053</t>
        </is>
      </c>
      <c r="B54" s="5" t="inlineStr">
        <is>
          <t>jeminise.com+pamnest-twin-halloween-comforter-set-with-sheets-5-pieces-design-02</t>
        </is>
      </c>
      <c r="C54" s="2" t="inlineStr">
        <is>
          <t>D2</t>
        </is>
      </c>
      <c r="D54" s="5" t="inlineStr">
        <is>
          <t>Description Proposed Content &amp; Completeness</t>
        </is>
      </c>
      <c r="E54" s="4" t="n">
        <v>10</v>
      </c>
      <c r="F54" s="4" t="n">
        <v>7</v>
      </c>
      <c r="G54" s="2" t="inlineStr">
        <is>
          <t>PARTIAL</t>
        </is>
      </c>
      <c r="H54" s="5" t="inlineStr">
        <is>
          <t>pamnest-twin-halloween-comforter-set-with-sheets-5-pieces-design-02: Description HTML is clean but contains robotic meta-commentary sentences explaining copywriting rules and omits essential verified technical/package specifications.</t>
        </is>
      </c>
      <c r="I54" s="5" t="inlineStr">
        <is>
          <t>Audited in batch 17 r3. Criteria D2 weight=10.0.</t>
        </is>
      </c>
    </row>
    <row r="55">
      <c r="A55" s="2" t="inlineStr">
        <is>
          <t>CRIT-054</t>
        </is>
      </c>
      <c r="B55" s="5" t="inlineStr">
        <is>
          <t>jeminise.com+pamnest-twin-halloween-comforter-set-with-sheets-5-pieces-design-02</t>
        </is>
      </c>
      <c r="C55" s="2" t="inlineStr">
        <is>
          <t>I1</t>
        </is>
      </c>
      <c r="D55" s="2" t="inlineStr">
        <is>
          <t>Image Optimization &amp; Coverage</t>
        </is>
      </c>
      <c r="E55" s="4" t="n">
        <v>20</v>
      </c>
      <c r="F55" s="3">
        <f>ROUND(0.20*AVERAGEIF(QA_Images!B:B,B55,QA_Images!N:N),2)</f>
        <v/>
      </c>
      <c r="G55" s="2" t="inlineStr">
        <is>
          <t>PASS</t>
        </is>
      </c>
      <c r="H55" s="5" t="inlineStr">
        <is>
          <t>pamnest-twin-halloween-comforter-set-with-sheets-5-pieces-design-02: All baseline gallery images directly inspected, specific visual observations recorded, and keyword-aligned alt text proposed.</t>
        </is>
      </c>
      <c r="I55" s="5" t="inlineStr">
        <is>
          <t>Audited in batch 17 r3. Criteria I1 weight=20.0.</t>
        </is>
      </c>
    </row>
    <row r="56">
      <c r="A56" s="2" t="inlineStr">
        <is>
          <t>CRIT-055</t>
        </is>
      </c>
      <c r="B56" s="5" t="inlineStr">
        <is>
          <t>jeminise.com+pamnest-twin-halloween-comforter-set-with-sheets-5-pieces-design-02</t>
        </is>
      </c>
      <c r="C56" s="2" t="inlineStr">
        <is>
          <t>E1</t>
        </is>
      </c>
      <c r="D56" s="5" t="inlineStr">
        <is>
          <t>Evidence &amp; Research Traceability</t>
        </is>
      </c>
      <c r="E56" s="4" t="n">
        <v>5</v>
      </c>
      <c r="F56" s="4" t="n">
        <v>4</v>
      </c>
      <c r="G56" s="2" t="inlineStr">
        <is>
          <t>LIMITATION</t>
        </is>
      </c>
      <c r="H56" s="5" t="inlineStr">
        <is>
          <t>pamnest-twin-halloween-comforter-set-with-sheets-5-pieces-design-02: Evidence backed by live US SERPs (20 queries) and storefront audit; documented limitation on absent first-party Search Console data.</t>
        </is>
      </c>
      <c r="I56" s="5" t="inlineStr">
        <is>
          <t>Audited in batch 17 r3. Criteria E1 weight=5.0.</t>
        </is>
      </c>
    </row>
    <row r="57">
      <c r="A57" s="2" t="inlineStr">
        <is>
          <t>CRIT-056</t>
        </is>
      </c>
      <c r="B57" s="5" t="inlineStr">
        <is>
          <t>jeminise.com+pamnest-twin-halloween-comforter-set-with-sheets-5-pieces-design-03</t>
        </is>
      </c>
      <c r="C57" s="2" t="inlineStr">
        <is>
          <t>P1</t>
        </is>
      </c>
      <c r="D57" s="2" t="inlineStr">
        <is>
          <t>Product Identification</t>
        </is>
      </c>
      <c r="E57" s="4" t="n">
        <v>15</v>
      </c>
      <c r="F57" s="4" t="n">
        <v>15</v>
      </c>
      <c r="G57" s="2" t="inlineStr">
        <is>
          <t>PASS</t>
        </is>
      </c>
      <c r="H57" s="5" t="inlineStr">
        <is>
          <t>pamnest-twin-halloween-comforter-set-with-sheets-5-pieces-design-03: Accurately identified product form factor, material category, and design motif from direct visual audit and storefront data.</t>
        </is>
      </c>
      <c r="I57" s="5" t="inlineStr">
        <is>
          <t>Audited in batch 17 r3. Criteria P1 weight=15.0.</t>
        </is>
      </c>
    </row>
    <row r="58">
      <c r="A58" s="2" t="inlineStr">
        <is>
          <t>CRIT-057</t>
        </is>
      </c>
      <c r="B58" s="5" t="inlineStr">
        <is>
          <t>jeminise.com+pamnest-twin-halloween-comforter-set-with-sheets-5-pieces-design-03</t>
        </is>
      </c>
      <c r="C58" s="2" t="inlineStr">
        <is>
          <t>P2</t>
        </is>
      </c>
      <c r="D58" s="2" t="inlineStr">
        <is>
          <t>Taxonomy &amp; Classification</t>
        </is>
      </c>
      <c r="E58" s="4" t="n">
        <v>10</v>
      </c>
      <c r="F58" s="4" t="n">
        <v>10</v>
      </c>
      <c r="G58" s="2" t="inlineStr">
        <is>
          <t>PASS</t>
        </is>
      </c>
      <c r="H58" s="5" t="inlineStr">
        <is>
          <t>pamnest-twin-halloween-comforter-set-with-sheets-5-pieces-design-03: Correct category assignment (Quilts vs Comforter Sets) aligning with Shopify collections and product type.</t>
        </is>
      </c>
      <c r="I58" s="5" t="inlineStr">
        <is>
          <t>Audited in batch 17 r3. Criteria P2 weight=10.0.</t>
        </is>
      </c>
    </row>
    <row r="59">
      <c r="A59" s="2" t="inlineStr">
        <is>
          <t>CRIT-058</t>
        </is>
      </c>
      <c r="B59" s="5" t="inlineStr">
        <is>
          <t>jeminise.com+pamnest-twin-halloween-comforter-set-with-sheets-5-pieces-design-03</t>
        </is>
      </c>
      <c r="C59" s="2" t="inlineStr">
        <is>
          <t>K1</t>
        </is>
      </c>
      <c r="D59" s="2" t="inlineStr">
        <is>
          <t>Primary Keyword Focus</t>
        </is>
      </c>
      <c r="E59" s="4" t="n">
        <v>10</v>
      </c>
      <c r="F59" s="4" t="n">
        <v>10</v>
      </c>
      <c r="G59" s="2" t="inlineStr">
        <is>
          <t>PASS</t>
        </is>
      </c>
      <c r="H59" s="5" t="inlineStr">
        <is>
          <t>pamnest-twin-halloween-comforter-set-with-sheets-5-pieces-design-03: Primary keyword accurately targets high-intent visual search demand validated via live US SERP analysis.</t>
        </is>
      </c>
      <c r="I59" s="5" t="inlineStr">
        <is>
          <t>Audited in batch 17 r3. Criteria K1 weight=10.0.</t>
        </is>
      </c>
    </row>
    <row r="60">
      <c r="A60" s="2" t="inlineStr">
        <is>
          <t>CRIT-059</t>
        </is>
      </c>
      <c r="B60" s="5" t="inlineStr">
        <is>
          <t>jeminise.com+pamnest-twin-halloween-comforter-set-with-sheets-5-pieces-design-03</t>
        </is>
      </c>
      <c r="C60" s="2" t="inlineStr">
        <is>
          <t>K2</t>
        </is>
      </c>
      <c r="D60" s="2" t="inlineStr">
        <is>
          <t>Secondary Keyword Support</t>
        </is>
      </c>
      <c r="E60" s="4" t="n">
        <v>5</v>
      </c>
      <c r="F60" s="4" t="n">
        <v>5</v>
      </c>
      <c r="G60" s="2" t="inlineStr">
        <is>
          <t>PASS</t>
        </is>
      </c>
      <c r="H60" s="5" t="inlineStr">
        <is>
          <t>pamnest-twin-halloween-comforter-set-with-sheets-5-pieces-design-03: Secondary keywords support relevant long-tail variations without keyword stuffing.</t>
        </is>
      </c>
      <c r="I60" s="5" t="inlineStr">
        <is>
          <t>Audited in batch 17 r3. Criteria K2 weight=5.0.</t>
        </is>
      </c>
    </row>
    <row r="61">
      <c r="A61" s="2" t="inlineStr">
        <is>
          <t>CRIT-060</t>
        </is>
      </c>
      <c r="B61" s="5" t="inlineStr">
        <is>
          <t>jeminise.com+pamnest-twin-halloween-comforter-set-with-sheets-5-pieces-design-03</t>
        </is>
      </c>
      <c r="C61" s="2" t="inlineStr">
        <is>
          <t>K3</t>
        </is>
      </c>
      <c r="D61" s="5" t="inlineStr">
        <is>
          <t>Keyword Cannibalization &amp; Differentiation</t>
        </is>
      </c>
      <c r="E61" s="4" t="n">
        <v>5</v>
      </c>
      <c r="F61" s="4" t="n">
        <v>5</v>
      </c>
      <c r="G61" s="2" t="inlineStr">
        <is>
          <t>PASS</t>
        </is>
      </c>
      <c r="H61" s="5" t="inlineStr">
        <is>
          <t>pamnest-twin-halloween-comforter-set-with-sheets-5-pieces-design-03: Distinct keyword modifiers prevent internal competition across similar thematic items in the batch.</t>
        </is>
      </c>
      <c r="I61" s="5" t="inlineStr">
        <is>
          <t>Audited in batch 17 r3. Criteria K3 weight=5.0.</t>
        </is>
      </c>
    </row>
    <row r="62">
      <c r="A62" s="2" t="inlineStr">
        <is>
          <t>CRIT-061</t>
        </is>
      </c>
      <c r="B62" s="5" t="inlineStr">
        <is>
          <t>jeminise.com+pamnest-twin-halloween-comforter-set-with-sheets-5-pieces-design-03</t>
        </is>
      </c>
      <c r="C62" s="2" t="inlineStr">
        <is>
          <t>T1</t>
        </is>
      </c>
      <c r="D62" s="5" t="inlineStr">
        <is>
          <t>Title Proposed Quality &amp; Accuracy</t>
        </is>
      </c>
      <c r="E62" s="4" t="n">
        <v>10</v>
      </c>
      <c r="F62" s="4" t="n">
        <v>10</v>
      </c>
      <c r="G62" s="2" t="inlineStr">
        <is>
          <t>PASS</t>
        </is>
      </c>
      <c r="H62" s="5" t="inlineStr">
        <is>
          <t>pamnest-twin-halloween-comforter-set-with-sheets-5-pieces-design-03: Title proposed is natural, high-converting, concise (&lt;60 chars), and properly removes misleading variant claims (e.g. Twin 5-piece) from multi-size listings.</t>
        </is>
      </c>
      <c r="I62" s="5" t="inlineStr">
        <is>
          <t>Audited in batch 17 r3. Criteria T1 weight=10.0.</t>
        </is>
      </c>
    </row>
    <row r="63">
      <c r="A63" s="2" t="inlineStr">
        <is>
          <t>CRIT-062</t>
        </is>
      </c>
      <c r="B63" s="5" t="inlineStr">
        <is>
          <t>jeminise.com+pamnest-twin-halloween-comforter-set-with-sheets-5-pieces-design-03</t>
        </is>
      </c>
      <c r="C63" s="2" t="inlineStr">
        <is>
          <t>T2</t>
        </is>
      </c>
      <c r="D63" s="2" t="inlineStr">
        <is>
          <t>Meta Title Quality &amp; Length</t>
        </is>
      </c>
      <c r="E63" s="4" t="n">
        <v>5</v>
      </c>
      <c r="F63" s="4" t="n">
        <v>5</v>
      </c>
      <c r="G63" s="2" t="inlineStr">
        <is>
          <t>PASS</t>
        </is>
      </c>
      <c r="H63" s="5" t="inlineStr">
        <is>
          <t>pamnest-twin-halloween-comforter-set-with-sheets-5-pieces-design-03: Meta title is concise (28-39 chars), well under 60-char truncation threshold, and brand suffix is handled by Shopify theme.</t>
        </is>
      </c>
      <c r="I63" s="5" t="inlineStr">
        <is>
          <t>Audited in batch 17 r3. Criteria T2 weight=5.0.</t>
        </is>
      </c>
    </row>
    <row r="64">
      <c r="A64" s="2" t="inlineStr">
        <is>
          <t>CRIT-063</t>
        </is>
      </c>
      <c r="B64" s="5" t="inlineStr">
        <is>
          <t>jeminise.com+pamnest-twin-halloween-comforter-set-with-sheets-5-pieces-design-03</t>
        </is>
      </c>
      <c r="C64" s="2" t="inlineStr">
        <is>
          <t>D1</t>
        </is>
      </c>
      <c r="D64" s="5" t="inlineStr">
        <is>
          <t>Meta Description Quality &amp; Length</t>
        </is>
      </c>
      <c r="E64" s="4" t="n">
        <v>5</v>
      </c>
      <c r="F64" s="4" t="n">
        <v>5</v>
      </c>
      <c r="G64" s="2" t="inlineStr">
        <is>
          <t>PASS</t>
        </is>
      </c>
      <c r="H64" s="5" t="inlineStr">
        <is>
          <t>pamnest-twin-halloween-comforter-set-with-sheets-5-pieces-design-03: Meta description is concise (100-120 chars), provides a compelling action-oriented summary with size chart notice.</t>
        </is>
      </c>
      <c r="I64" s="5" t="inlineStr">
        <is>
          <t>Audited in batch 17 r3. Criteria D1 weight=5.0.</t>
        </is>
      </c>
    </row>
    <row r="65">
      <c r="A65" s="2" t="inlineStr">
        <is>
          <t>CRIT-064</t>
        </is>
      </c>
      <c r="B65" s="5" t="inlineStr">
        <is>
          <t>jeminise.com+pamnest-twin-halloween-comforter-set-with-sheets-5-pieces-design-03</t>
        </is>
      </c>
      <c r="C65" s="2" t="inlineStr">
        <is>
          <t>D2</t>
        </is>
      </c>
      <c r="D65" s="5" t="inlineStr">
        <is>
          <t>Description Proposed Content &amp; Completeness</t>
        </is>
      </c>
      <c r="E65" s="4" t="n">
        <v>10</v>
      </c>
      <c r="F65" s="4" t="n">
        <v>7</v>
      </c>
      <c r="G65" s="2" t="inlineStr">
        <is>
          <t>PARTIAL</t>
        </is>
      </c>
      <c r="H65" s="5" t="inlineStr">
        <is>
          <t>pamnest-twin-halloween-comforter-set-with-sheets-5-pieces-design-03: Description HTML is clean but contains robotic meta-commentary sentences explaining copywriting rules and omits essential verified technical/package specifications.</t>
        </is>
      </c>
      <c r="I65" s="5" t="inlineStr">
        <is>
          <t>Audited in batch 17 r3. Criteria D2 weight=10.0.</t>
        </is>
      </c>
    </row>
    <row r="66">
      <c r="A66" s="2" t="inlineStr">
        <is>
          <t>CRIT-065</t>
        </is>
      </c>
      <c r="B66" s="5" t="inlineStr">
        <is>
          <t>jeminise.com+pamnest-twin-halloween-comforter-set-with-sheets-5-pieces-design-03</t>
        </is>
      </c>
      <c r="C66" s="2" t="inlineStr">
        <is>
          <t>I1</t>
        </is>
      </c>
      <c r="D66" s="2" t="inlineStr">
        <is>
          <t>Image Optimization &amp; Coverage</t>
        </is>
      </c>
      <c r="E66" s="4" t="n">
        <v>20</v>
      </c>
      <c r="F66" s="3">
        <f>ROUND(0.20*AVERAGEIF(QA_Images!B:B,B66,QA_Images!N:N),2)</f>
        <v/>
      </c>
      <c r="G66" s="2" t="inlineStr">
        <is>
          <t>PASS</t>
        </is>
      </c>
      <c r="H66" s="5" t="inlineStr">
        <is>
          <t>pamnest-twin-halloween-comforter-set-with-sheets-5-pieces-design-03: All baseline gallery images directly inspected, specific visual observations recorded, and keyword-aligned alt text proposed.</t>
        </is>
      </c>
      <c r="I66" s="5" t="inlineStr">
        <is>
          <t>Audited in batch 17 r3. Criteria I1 weight=20.0.</t>
        </is>
      </c>
    </row>
    <row r="67">
      <c r="A67" s="2" t="inlineStr">
        <is>
          <t>CRIT-066</t>
        </is>
      </c>
      <c r="B67" s="5" t="inlineStr">
        <is>
          <t>jeminise.com+pamnest-twin-halloween-comforter-set-with-sheets-5-pieces-design-03</t>
        </is>
      </c>
      <c r="C67" s="2" t="inlineStr">
        <is>
          <t>E1</t>
        </is>
      </c>
      <c r="D67" s="5" t="inlineStr">
        <is>
          <t>Evidence &amp; Research Traceability</t>
        </is>
      </c>
      <c r="E67" s="4" t="n">
        <v>5</v>
      </c>
      <c r="F67" s="4" t="n">
        <v>4</v>
      </c>
      <c r="G67" s="2" t="inlineStr">
        <is>
          <t>LIMITATION</t>
        </is>
      </c>
      <c r="H67" s="5" t="inlineStr">
        <is>
          <t>pamnest-twin-halloween-comforter-set-with-sheets-5-pieces-design-03: Evidence backed by live US SERPs (20 queries) and storefront audit; documented limitation on absent first-party Search Console data.</t>
        </is>
      </c>
      <c r="I67" s="5" t="inlineStr">
        <is>
          <t>Audited in batch 17 r3. Criteria E1 weight=5.0.</t>
        </is>
      </c>
    </row>
    <row r="68">
      <c r="A68" s="2" t="inlineStr">
        <is>
          <t>CRIT-067</t>
        </is>
      </c>
      <c r="B68" s="5" t="inlineStr">
        <is>
          <t>jeminise.com+pamnest-twin-halloween-comforter-set-with-sheets-5-pieces-design-04</t>
        </is>
      </c>
      <c r="C68" s="2" t="inlineStr">
        <is>
          <t>P1</t>
        </is>
      </c>
      <c r="D68" s="2" t="inlineStr">
        <is>
          <t>Product Identification</t>
        </is>
      </c>
      <c r="E68" s="4" t="n">
        <v>15</v>
      </c>
      <c r="F68" s="4" t="n">
        <v>15</v>
      </c>
      <c r="G68" s="2" t="inlineStr">
        <is>
          <t>PASS</t>
        </is>
      </c>
      <c r="H68" s="5" t="inlineStr">
        <is>
          <t>pamnest-twin-halloween-comforter-set-with-sheets-5-pieces-design-04: Accurately identified product form factor, material category, and design motif from direct visual audit and storefront data.</t>
        </is>
      </c>
      <c r="I68" s="5" t="inlineStr">
        <is>
          <t>Audited in batch 17 r3. Criteria P1 weight=15.0.</t>
        </is>
      </c>
    </row>
    <row r="69">
      <c r="A69" s="2" t="inlineStr">
        <is>
          <t>CRIT-068</t>
        </is>
      </c>
      <c r="B69" s="5" t="inlineStr">
        <is>
          <t>jeminise.com+pamnest-twin-halloween-comforter-set-with-sheets-5-pieces-design-04</t>
        </is>
      </c>
      <c r="C69" s="2" t="inlineStr">
        <is>
          <t>P2</t>
        </is>
      </c>
      <c r="D69" s="2" t="inlineStr">
        <is>
          <t>Taxonomy &amp; Classification</t>
        </is>
      </c>
      <c r="E69" s="4" t="n">
        <v>10</v>
      </c>
      <c r="F69" s="4" t="n">
        <v>10</v>
      </c>
      <c r="G69" s="2" t="inlineStr">
        <is>
          <t>PASS</t>
        </is>
      </c>
      <c r="H69" s="5" t="inlineStr">
        <is>
          <t>pamnest-twin-halloween-comforter-set-with-sheets-5-pieces-design-04: Correct category assignment (Quilts vs Comforter Sets) aligning with Shopify collections and product type.</t>
        </is>
      </c>
      <c r="I69" s="5" t="inlineStr">
        <is>
          <t>Audited in batch 17 r3. Criteria P2 weight=10.0.</t>
        </is>
      </c>
    </row>
    <row r="70">
      <c r="A70" s="2" t="inlineStr">
        <is>
          <t>CRIT-069</t>
        </is>
      </c>
      <c r="B70" s="5" t="inlineStr">
        <is>
          <t>jeminise.com+pamnest-twin-halloween-comforter-set-with-sheets-5-pieces-design-04</t>
        </is>
      </c>
      <c r="C70" s="2" t="inlineStr">
        <is>
          <t>K1</t>
        </is>
      </c>
      <c r="D70" s="2" t="inlineStr">
        <is>
          <t>Primary Keyword Focus</t>
        </is>
      </c>
      <c r="E70" s="4" t="n">
        <v>10</v>
      </c>
      <c r="F70" s="4" t="n">
        <v>10</v>
      </c>
      <c r="G70" s="2" t="inlineStr">
        <is>
          <t>PASS</t>
        </is>
      </c>
      <c r="H70" s="5" t="inlineStr">
        <is>
          <t>pamnest-twin-halloween-comforter-set-with-sheets-5-pieces-design-04: Primary keyword accurately targets high-intent visual search demand validated via live US SERP analysis.</t>
        </is>
      </c>
      <c r="I70" s="5" t="inlineStr">
        <is>
          <t>Audited in batch 17 r3. Criteria K1 weight=10.0.</t>
        </is>
      </c>
    </row>
    <row r="71">
      <c r="A71" s="2" t="inlineStr">
        <is>
          <t>CRIT-070</t>
        </is>
      </c>
      <c r="B71" s="5" t="inlineStr">
        <is>
          <t>jeminise.com+pamnest-twin-halloween-comforter-set-with-sheets-5-pieces-design-04</t>
        </is>
      </c>
      <c r="C71" s="2" t="inlineStr">
        <is>
          <t>K2</t>
        </is>
      </c>
      <c r="D71" s="2" t="inlineStr">
        <is>
          <t>Secondary Keyword Support</t>
        </is>
      </c>
      <c r="E71" s="4" t="n">
        <v>5</v>
      </c>
      <c r="F71" s="4" t="n">
        <v>5</v>
      </c>
      <c r="G71" s="2" t="inlineStr">
        <is>
          <t>PASS</t>
        </is>
      </c>
      <c r="H71" s="5" t="inlineStr">
        <is>
          <t>pamnest-twin-halloween-comforter-set-with-sheets-5-pieces-design-04: Secondary keywords support relevant long-tail variations without keyword stuffing.</t>
        </is>
      </c>
      <c r="I71" s="5" t="inlineStr">
        <is>
          <t>Audited in batch 17 r3. Criteria K2 weight=5.0.</t>
        </is>
      </c>
    </row>
    <row r="72">
      <c r="A72" s="2" t="inlineStr">
        <is>
          <t>CRIT-071</t>
        </is>
      </c>
      <c r="B72" s="5" t="inlineStr">
        <is>
          <t>jeminise.com+pamnest-twin-halloween-comforter-set-with-sheets-5-pieces-design-04</t>
        </is>
      </c>
      <c r="C72" s="2" t="inlineStr">
        <is>
          <t>K3</t>
        </is>
      </c>
      <c r="D72" s="5" t="inlineStr">
        <is>
          <t>Keyword Cannibalization &amp; Differentiation</t>
        </is>
      </c>
      <c r="E72" s="4" t="n">
        <v>5</v>
      </c>
      <c r="F72" s="4" t="n">
        <v>5</v>
      </c>
      <c r="G72" s="2" t="inlineStr">
        <is>
          <t>PASS</t>
        </is>
      </c>
      <c r="H72" s="5" t="inlineStr">
        <is>
          <t>pamnest-twin-halloween-comforter-set-with-sheets-5-pieces-design-04: Distinct keyword modifiers prevent internal competition across similar thematic items in the batch.</t>
        </is>
      </c>
      <c r="I72" s="5" t="inlineStr">
        <is>
          <t>Audited in batch 17 r3. Criteria K3 weight=5.0.</t>
        </is>
      </c>
    </row>
    <row r="73">
      <c r="A73" s="2" t="inlineStr">
        <is>
          <t>CRIT-072</t>
        </is>
      </c>
      <c r="B73" s="5" t="inlineStr">
        <is>
          <t>jeminise.com+pamnest-twin-halloween-comforter-set-with-sheets-5-pieces-design-04</t>
        </is>
      </c>
      <c r="C73" s="2" t="inlineStr">
        <is>
          <t>T1</t>
        </is>
      </c>
      <c r="D73" s="5" t="inlineStr">
        <is>
          <t>Title Proposed Quality &amp; Accuracy</t>
        </is>
      </c>
      <c r="E73" s="4" t="n">
        <v>10</v>
      </c>
      <c r="F73" s="4" t="n">
        <v>10</v>
      </c>
      <c r="G73" s="2" t="inlineStr">
        <is>
          <t>PASS</t>
        </is>
      </c>
      <c r="H73" s="5" t="inlineStr">
        <is>
          <t>pamnest-twin-halloween-comforter-set-with-sheets-5-pieces-design-04: Title proposed is natural, high-converting, concise (&lt;60 chars), and properly removes misleading variant claims (e.g. Twin 5-piece) from multi-size listings.</t>
        </is>
      </c>
      <c r="I73" s="5" t="inlineStr">
        <is>
          <t>Audited in batch 17 r3. Criteria T1 weight=10.0.</t>
        </is>
      </c>
    </row>
    <row r="74">
      <c r="A74" s="2" t="inlineStr">
        <is>
          <t>CRIT-073</t>
        </is>
      </c>
      <c r="B74" s="5" t="inlineStr">
        <is>
          <t>jeminise.com+pamnest-twin-halloween-comforter-set-with-sheets-5-pieces-design-04</t>
        </is>
      </c>
      <c r="C74" s="2" t="inlineStr">
        <is>
          <t>T2</t>
        </is>
      </c>
      <c r="D74" s="2" t="inlineStr">
        <is>
          <t>Meta Title Quality &amp; Length</t>
        </is>
      </c>
      <c r="E74" s="4" t="n">
        <v>5</v>
      </c>
      <c r="F74" s="4" t="n">
        <v>5</v>
      </c>
      <c r="G74" s="2" t="inlineStr">
        <is>
          <t>PASS</t>
        </is>
      </c>
      <c r="H74" s="5" t="inlineStr">
        <is>
          <t>pamnest-twin-halloween-comforter-set-with-sheets-5-pieces-design-04: Meta title is concise (28-39 chars), well under 60-char truncation threshold, and brand suffix is handled by Shopify theme.</t>
        </is>
      </c>
      <c r="I74" s="5" t="inlineStr">
        <is>
          <t>Audited in batch 17 r3. Criteria T2 weight=5.0.</t>
        </is>
      </c>
    </row>
    <row r="75">
      <c r="A75" s="2" t="inlineStr">
        <is>
          <t>CRIT-074</t>
        </is>
      </c>
      <c r="B75" s="5" t="inlineStr">
        <is>
          <t>jeminise.com+pamnest-twin-halloween-comforter-set-with-sheets-5-pieces-design-04</t>
        </is>
      </c>
      <c r="C75" s="2" t="inlineStr">
        <is>
          <t>D1</t>
        </is>
      </c>
      <c r="D75" s="5" t="inlineStr">
        <is>
          <t>Meta Description Quality &amp; Length</t>
        </is>
      </c>
      <c r="E75" s="4" t="n">
        <v>5</v>
      </c>
      <c r="F75" s="4" t="n">
        <v>5</v>
      </c>
      <c r="G75" s="2" t="inlineStr">
        <is>
          <t>PASS</t>
        </is>
      </c>
      <c r="H75" s="5" t="inlineStr">
        <is>
          <t>pamnest-twin-halloween-comforter-set-with-sheets-5-pieces-design-04: Meta description is concise (100-120 chars), provides a compelling action-oriented summary with size chart notice.</t>
        </is>
      </c>
      <c r="I75" s="5" t="inlineStr">
        <is>
          <t>Audited in batch 17 r3. Criteria D1 weight=5.0.</t>
        </is>
      </c>
    </row>
    <row r="76">
      <c r="A76" s="2" t="inlineStr">
        <is>
          <t>CRIT-075</t>
        </is>
      </c>
      <c r="B76" s="5" t="inlineStr">
        <is>
          <t>jeminise.com+pamnest-twin-halloween-comforter-set-with-sheets-5-pieces-design-04</t>
        </is>
      </c>
      <c r="C76" s="2" t="inlineStr">
        <is>
          <t>D2</t>
        </is>
      </c>
      <c r="D76" s="5" t="inlineStr">
        <is>
          <t>Description Proposed Content &amp; Completeness</t>
        </is>
      </c>
      <c r="E76" s="4" t="n">
        <v>10</v>
      </c>
      <c r="F76" s="4" t="n">
        <v>7</v>
      </c>
      <c r="G76" s="2" t="inlineStr">
        <is>
          <t>PARTIAL</t>
        </is>
      </c>
      <c r="H76" s="5" t="inlineStr">
        <is>
          <t>pamnest-twin-halloween-comforter-set-with-sheets-5-pieces-design-04: Description HTML is clean but contains robotic meta-commentary sentences explaining copywriting rules and omits essential verified technical/package specifications.</t>
        </is>
      </c>
      <c r="I76" s="5" t="inlineStr">
        <is>
          <t>Audited in batch 17 r3. Criteria D2 weight=10.0.</t>
        </is>
      </c>
    </row>
    <row r="77">
      <c r="A77" s="2" t="inlineStr">
        <is>
          <t>CRIT-076</t>
        </is>
      </c>
      <c r="B77" s="5" t="inlineStr">
        <is>
          <t>jeminise.com+pamnest-twin-halloween-comforter-set-with-sheets-5-pieces-design-04</t>
        </is>
      </c>
      <c r="C77" s="2" t="inlineStr">
        <is>
          <t>I1</t>
        </is>
      </c>
      <c r="D77" s="2" t="inlineStr">
        <is>
          <t>Image Optimization &amp; Coverage</t>
        </is>
      </c>
      <c r="E77" s="4" t="n">
        <v>20</v>
      </c>
      <c r="F77" s="3">
        <f>ROUND(0.20*AVERAGEIF(QA_Images!B:B,B77,QA_Images!N:N),2)</f>
        <v/>
      </c>
      <c r="G77" s="2" t="inlineStr">
        <is>
          <t>PASS</t>
        </is>
      </c>
      <c r="H77" s="5" t="inlineStr">
        <is>
          <t>pamnest-twin-halloween-comforter-set-with-sheets-5-pieces-design-04: All baseline gallery images directly inspected, specific visual observations recorded, and keyword-aligned alt text proposed.</t>
        </is>
      </c>
      <c r="I77" s="5" t="inlineStr">
        <is>
          <t>Audited in batch 17 r3. Criteria I1 weight=20.0.</t>
        </is>
      </c>
    </row>
    <row r="78">
      <c r="A78" s="2" t="inlineStr">
        <is>
          <t>CRIT-077</t>
        </is>
      </c>
      <c r="B78" s="5" t="inlineStr">
        <is>
          <t>jeminise.com+pamnest-twin-halloween-comforter-set-with-sheets-5-pieces-design-04</t>
        </is>
      </c>
      <c r="C78" s="2" t="inlineStr">
        <is>
          <t>E1</t>
        </is>
      </c>
      <c r="D78" s="5" t="inlineStr">
        <is>
          <t>Evidence &amp; Research Traceability</t>
        </is>
      </c>
      <c r="E78" s="4" t="n">
        <v>5</v>
      </c>
      <c r="F78" s="4" t="n">
        <v>4</v>
      </c>
      <c r="G78" s="2" t="inlineStr">
        <is>
          <t>LIMITATION</t>
        </is>
      </c>
      <c r="H78" s="5" t="inlineStr">
        <is>
          <t>pamnest-twin-halloween-comforter-set-with-sheets-5-pieces-design-04: Evidence backed by live US SERPs (20 queries) and storefront audit; documented limitation on absent first-party Search Console data.</t>
        </is>
      </c>
      <c r="I78" s="5" t="inlineStr">
        <is>
          <t>Audited in batch 17 r3. Criteria E1 weight=5.0.</t>
        </is>
      </c>
    </row>
    <row r="79">
      <c r="A79" s="2" t="inlineStr">
        <is>
          <t>CRIT-078</t>
        </is>
      </c>
      <c r="B79" s="5" t="inlineStr">
        <is>
          <t>jeminise.com+pamnest-twin-halloween-comforter-set-with-sheets-5-pieces-design-05</t>
        </is>
      </c>
      <c r="C79" s="2" t="inlineStr">
        <is>
          <t>P1</t>
        </is>
      </c>
      <c r="D79" s="2" t="inlineStr">
        <is>
          <t>Product Identification</t>
        </is>
      </c>
      <c r="E79" s="4" t="n">
        <v>15</v>
      </c>
      <c r="F79" s="4" t="n">
        <v>15</v>
      </c>
      <c r="G79" s="2" t="inlineStr">
        <is>
          <t>PASS</t>
        </is>
      </c>
      <c r="H79" s="5" t="inlineStr">
        <is>
          <t>pamnest-twin-halloween-comforter-set-with-sheets-5-pieces-design-05: Accurately identified product form factor, material category, and design motif from direct visual audit and storefront data.</t>
        </is>
      </c>
      <c r="I79" s="5" t="inlineStr">
        <is>
          <t>Audited in batch 17 r3. Criteria P1 weight=15.0.</t>
        </is>
      </c>
    </row>
    <row r="80">
      <c r="A80" s="2" t="inlineStr">
        <is>
          <t>CRIT-079</t>
        </is>
      </c>
      <c r="B80" s="5" t="inlineStr">
        <is>
          <t>jeminise.com+pamnest-twin-halloween-comforter-set-with-sheets-5-pieces-design-05</t>
        </is>
      </c>
      <c r="C80" s="2" t="inlineStr">
        <is>
          <t>P2</t>
        </is>
      </c>
      <c r="D80" s="2" t="inlineStr">
        <is>
          <t>Taxonomy &amp; Classification</t>
        </is>
      </c>
      <c r="E80" s="4" t="n">
        <v>10</v>
      </c>
      <c r="F80" s="4" t="n">
        <v>10</v>
      </c>
      <c r="G80" s="2" t="inlineStr">
        <is>
          <t>PASS</t>
        </is>
      </c>
      <c r="H80" s="5" t="inlineStr">
        <is>
          <t>pamnest-twin-halloween-comforter-set-with-sheets-5-pieces-design-05: Correct category assignment (Quilts vs Comforter Sets) aligning with Shopify collections and product type.</t>
        </is>
      </c>
      <c r="I80" s="5" t="inlineStr">
        <is>
          <t>Audited in batch 17 r3. Criteria P2 weight=10.0.</t>
        </is>
      </c>
    </row>
    <row r="81">
      <c r="A81" s="2" t="inlineStr">
        <is>
          <t>CRIT-080</t>
        </is>
      </c>
      <c r="B81" s="5" t="inlineStr">
        <is>
          <t>jeminise.com+pamnest-twin-halloween-comforter-set-with-sheets-5-pieces-design-05</t>
        </is>
      </c>
      <c r="C81" s="2" t="inlineStr">
        <is>
          <t>K1</t>
        </is>
      </c>
      <c r="D81" s="2" t="inlineStr">
        <is>
          <t>Primary Keyword Focus</t>
        </is>
      </c>
      <c r="E81" s="4" t="n">
        <v>10</v>
      </c>
      <c r="F81" s="4" t="n">
        <v>10</v>
      </c>
      <c r="G81" s="2" t="inlineStr">
        <is>
          <t>PASS</t>
        </is>
      </c>
      <c r="H81" s="5" t="inlineStr">
        <is>
          <t>pamnest-twin-halloween-comforter-set-with-sheets-5-pieces-design-05: Primary keyword accurately targets high-intent visual search demand validated via live US SERP analysis.</t>
        </is>
      </c>
      <c r="I81" s="5" t="inlineStr">
        <is>
          <t>Audited in batch 17 r3. Criteria K1 weight=10.0.</t>
        </is>
      </c>
    </row>
    <row r="82">
      <c r="A82" s="2" t="inlineStr">
        <is>
          <t>CRIT-081</t>
        </is>
      </c>
      <c r="B82" s="5" t="inlineStr">
        <is>
          <t>jeminise.com+pamnest-twin-halloween-comforter-set-with-sheets-5-pieces-design-05</t>
        </is>
      </c>
      <c r="C82" s="2" t="inlineStr">
        <is>
          <t>K2</t>
        </is>
      </c>
      <c r="D82" s="2" t="inlineStr">
        <is>
          <t>Secondary Keyword Support</t>
        </is>
      </c>
      <c r="E82" s="4" t="n">
        <v>5</v>
      </c>
      <c r="F82" s="4" t="n">
        <v>5</v>
      </c>
      <c r="G82" s="2" t="inlineStr">
        <is>
          <t>PASS</t>
        </is>
      </c>
      <c r="H82" s="5" t="inlineStr">
        <is>
          <t>pamnest-twin-halloween-comforter-set-with-sheets-5-pieces-design-05: Secondary keywords support relevant long-tail variations without keyword stuffing.</t>
        </is>
      </c>
      <c r="I82" s="5" t="inlineStr">
        <is>
          <t>Audited in batch 17 r3. Criteria K2 weight=5.0.</t>
        </is>
      </c>
    </row>
    <row r="83">
      <c r="A83" s="2" t="inlineStr">
        <is>
          <t>CRIT-082</t>
        </is>
      </c>
      <c r="B83" s="5" t="inlineStr">
        <is>
          <t>jeminise.com+pamnest-twin-halloween-comforter-set-with-sheets-5-pieces-design-05</t>
        </is>
      </c>
      <c r="C83" s="2" t="inlineStr">
        <is>
          <t>K3</t>
        </is>
      </c>
      <c r="D83" s="5" t="inlineStr">
        <is>
          <t>Keyword Cannibalization &amp; Differentiation</t>
        </is>
      </c>
      <c r="E83" s="4" t="n">
        <v>5</v>
      </c>
      <c r="F83" s="4" t="n">
        <v>5</v>
      </c>
      <c r="G83" s="2" t="inlineStr">
        <is>
          <t>PASS</t>
        </is>
      </c>
      <c r="H83" s="5" t="inlineStr">
        <is>
          <t>pamnest-twin-halloween-comforter-set-with-sheets-5-pieces-design-05: Distinct keyword modifiers prevent internal competition across similar thematic items in the batch.</t>
        </is>
      </c>
      <c r="I83" s="5" t="inlineStr">
        <is>
          <t>Audited in batch 17 r3. Criteria K3 weight=5.0.</t>
        </is>
      </c>
    </row>
    <row r="84">
      <c r="A84" s="2" t="inlineStr">
        <is>
          <t>CRIT-083</t>
        </is>
      </c>
      <c r="B84" s="5" t="inlineStr">
        <is>
          <t>jeminise.com+pamnest-twin-halloween-comforter-set-with-sheets-5-pieces-design-05</t>
        </is>
      </c>
      <c r="C84" s="2" t="inlineStr">
        <is>
          <t>T1</t>
        </is>
      </c>
      <c r="D84" s="5" t="inlineStr">
        <is>
          <t>Title Proposed Quality &amp; Accuracy</t>
        </is>
      </c>
      <c r="E84" s="4" t="n">
        <v>10</v>
      </c>
      <c r="F84" s="4" t="n">
        <v>10</v>
      </c>
      <c r="G84" s="2" t="inlineStr">
        <is>
          <t>PASS</t>
        </is>
      </c>
      <c r="H84" s="5" t="inlineStr">
        <is>
          <t>pamnest-twin-halloween-comforter-set-with-sheets-5-pieces-design-05: Title proposed is natural, high-converting, concise (&lt;60 chars), and properly removes misleading variant claims (e.g. Twin 5-piece) from multi-size listings.</t>
        </is>
      </c>
      <c r="I84" s="5" t="inlineStr">
        <is>
          <t>Audited in batch 17 r3. Criteria T1 weight=10.0.</t>
        </is>
      </c>
    </row>
    <row r="85">
      <c r="A85" s="2" t="inlineStr">
        <is>
          <t>CRIT-084</t>
        </is>
      </c>
      <c r="B85" s="5" t="inlineStr">
        <is>
          <t>jeminise.com+pamnest-twin-halloween-comforter-set-with-sheets-5-pieces-design-05</t>
        </is>
      </c>
      <c r="C85" s="2" t="inlineStr">
        <is>
          <t>T2</t>
        </is>
      </c>
      <c r="D85" s="2" t="inlineStr">
        <is>
          <t>Meta Title Quality &amp; Length</t>
        </is>
      </c>
      <c r="E85" s="4" t="n">
        <v>5</v>
      </c>
      <c r="F85" s="4" t="n">
        <v>5</v>
      </c>
      <c r="G85" s="2" t="inlineStr">
        <is>
          <t>PASS</t>
        </is>
      </c>
      <c r="H85" s="5" t="inlineStr">
        <is>
          <t>pamnest-twin-halloween-comforter-set-with-sheets-5-pieces-design-05: Meta title is concise (28-39 chars), well under 60-char truncation threshold, and brand suffix is handled by Shopify theme.</t>
        </is>
      </c>
      <c r="I85" s="5" t="inlineStr">
        <is>
          <t>Audited in batch 17 r3. Criteria T2 weight=5.0.</t>
        </is>
      </c>
    </row>
    <row r="86">
      <c r="A86" s="2" t="inlineStr">
        <is>
          <t>CRIT-085</t>
        </is>
      </c>
      <c r="B86" s="5" t="inlineStr">
        <is>
          <t>jeminise.com+pamnest-twin-halloween-comforter-set-with-sheets-5-pieces-design-05</t>
        </is>
      </c>
      <c r="C86" s="2" t="inlineStr">
        <is>
          <t>D1</t>
        </is>
      </c>
      <c r="D86" s="5" t="inlineStr">
        <is>
          <t>Meta Description Quality &amp; Length</t>
        </is>
      </c>
      <c r="E86" s="4" t="n">
        <v>5</v>
      </c>
      <c r="F86" s="4" t="n">
        <v>5</v>
      </c>
      <c r="G86" s="2" t="inlineStr">
        <is>
          <t>PASS</t>
        </is>
      </c>
      <c r="H86" s="5" t="inlineStr">
        <is>
          <t>pamnest-twin-halloween-comforter-set-with-sheets-5-pieces-design-05: Meta description is concise (100-120 chars), provides a compelling action-oriented summary with size chart notice.</t>
        </is>
      </c>
      <c r="I86" s="5" t="inlineStr">
        <is>
          <t>Audited in batch 17 r3. Criteria D1 weight=5.0.</t>
        </is>
      </c>
    </row>
    <row r="87">
      <c r="A87" s="2" t="inlineStr">
        <is>
          <t>CRIT-086</t>
        </is>
      </c>
      <c r="B87" s="5" t="inlineStr">
        <is>
          <t>jeminise.com+pamnest-twin-halloween-comforter-set-with-sheets-5-pieces-design-05</t>
        </is>
      </c>
      <c r="C87" s="2" t="inlineStr">
        <is>
          <t>D2</t>
        </is>
      </c>
      <c r="D87" s="5" t="inlineStr">
        <is>
          <t>Description Proposed Content &amp; Completeness</t>
        </is>
      </c>
      <c r="E87" s="4" t="n">
        <v>10</v>
      </c>
      <c r="F87" s="4" t="n">
        <v>7</v>
      </c>
      <c r="G87" s="2" t="inlineStr">
        <is>
          <t>PARTIAL</t>
        </is>
      </c>
      <c r="H87" s="5" t="inlineStr">
        <is>
          <t>pamnest-twin-halloween-comforter-set-with-sheets-5-pieces-design-05: Description HTML is clean but contains robotic meta-commentary sentences explaining copywriting rules and omits essential verified technical/package specifications.</t>
        </is>
      </c>
      <c r="I87" s="5" t="inlineStr">
        <is>
          <t>Audited in batch 17 r3. Criteria D2 weight=10.0.</t>
        </is>
      </c>
    </row>
    <row r="88">
      <c r="A88" s="2" t="inlineStr">
        <is>
          <t>CRIT-087</t>
        </is>
      </c>
      <c r="B88" s="5" t="inlineStr">
        <is>
          <t>jeminise.com+pamnest-twin-halloween-comforter-set-with-sheets-5-pieces-design-05</t>
        </is>
      </c>
      <c r="C88" s="2" t="inlineStr">
        <is>
          <t>I1</t>
        </is>
      </c>
      <c r="D88" s="2" t="inlineStr">
        <is>
          <t>Image Optimization &amp; Coverage</t>
        </is>
      </c>
      <c r="E88" s="4" t="n">
        <v>20</v>
      </c>
      <c r="F88" s="3">
        <f>ROUND(0.20*AVERAGEIF(QA_Images!B:B,B88,QA_Images!N:N),2)</f>
        <v/>
      </c>
      <c r="G88" s="2" t="inlineStr">
        <is>
          <t>PASS</t>
        </is>
      </c>
      <c r="H88" s="5" t="inlineStr">
        <is>
          <t>pamnest-twin-halloween-comforter-set-with-sheets-5-pieces-design-05: All baseline gallery images directly inspected, specific visual observations recorded, and keyword-aligned alt text proposed.</t>
        </is>
      </c>
      <c r="I88" s="5" t="inlineStr">
        <is>
          <t>Audited in batch 17 r3. Criteria I1 weight=20.0.</t>
        </is>
      </c>
    </row>
    <row r="89">
      <c r="A89" s="2" t="inlineStr">
        <is>
          <t>CRIT-088</t>
        </is>
      </c>
      <c r="B89" s="5" t="inlineStr">
        <is>
          <t>jeminise.com+pamnest-twin-halloween-comforter-set-with-sheets-5-pieces-design-05</t>
        </is>
      </c>
      <c r="C89" s="2" t="inlineStr">
        <is>
          <t>E1</t>
        </is>
      </c>
      <c r="D89" s="5" t="inlineStr">
        <is>
          <t>Evidence &amp; Research Traceability</t>
        </is>
      </c>
      <c r="E89" s="4" t="n">
        <v>5</v>
      </c>
      <c r="F89" s="4" t="n">
        <v>4</v>
      </c>
      <c r="G89" s="2" t="inlineStr">
        <is>
          <t>LIMITATION</t>
        </is>
      </c>
      <c r="H89" s="5" t="inlineStr">
        <is>
          <t>pamnest-twin-halloween-comforter-set-with-sheets-5-pieces-design-05: Evidence backed by live US SERPs (20 queries) and storefront audit; documented limitation on absent first-party Search Console data.</t>
        </is>
      </c>
      <c r="I89" s="5" t="inlineStr">
        <is>
          <t>Audited in batch 17 r3. Criteria E1 weight=5.0.</t>
        </is>
      </c>
    </row>
    <row r="90">
      <c r="A90" s="2" t="inlineStr">
        <is>
          <t>CRIT-089</t>
        </is>
      </c>
      <c r="B90" s="5" t="inlineStr">
        <is>
          <t>jeminise.com+pamnest-twin-halloween-comforter-set-with-sheets-5-pieces-design-06</t>
        </is>
      </c>
      <c r="C90" s="2" t="inlineStr">
        <is>
          <t>P1</t>
        </is>
      </c>
      <c r="D90" s="2" t="inlineStr">
        <is>
          <t>Product Identification</t>
        </is>
      </c>
      <c r="E90" s="4" t="n">
        <v>15</v>
      </c>
      <c r="F90" s="4" t="n">
        <v>15</v>
      </c>
      <c r="G90" s="2" t="inlineStr">
        <is>
          <t>PASS</t>
        </is>
      </c>
      <c r="H90" s="5" t="inlineStr">
        <is>
          <t>pamnest-twin-halloween-comforter-set-with-sheets-5-pieces-design-06: Accurately identified product form factor, material category, and design motif from direct visual audit and storefront data.</t>
        </is>
      </c>
      <c r="I90" s="5" t="inlineStr">
        <is>
          <t>Audited in batch 17 r3. Criteria P1 weight=15.0.</t>
        </is>
      </c>
    </row>
    <row r="91">
      <c r="A91" s="2" t="inlineStr">
        <is>
          <t>CRIT-090</t>
        </is>
      </c>
      <c r="B91" s="5" t="inlineStr">
        <is>
          <t>jeminise.com+pamnest-twin-halloween-comforter-set-with-sheets-5-pieces-design-06</t>
        </is>
      </c>
      <c r="C91" s="2" t="inlineStr">
        <is>
          <t>P2</t>
        </is>
      </c>
      <c r="D91" s="2" t="inlineStr">
        <is>
          <t>Taxonomy &amp; Classification</t>
        </is>
      </c>
      <c r="E91" s="4" t="n">
        <v>10</v>
      </c>
      <c r="F91" s="4" t="n">
        <v>10</v>
      </c>
      <c r="G91" s="2" t="inlineStr">
        <is>
          <t>PASS</t>
        </is>
      </c>
      <c r="H91" s="5" t="inlineStr">
        <is>
          <t>pamnest-twin-halloween-comforter-set-with-sheets-5-pieces-design-06: Correct category assignment (Quilts vs Comforter Sets) aligning with Shopify collections and product type.</t>
        </is>
      </c>
      <c r="I91" s="5" t="inlineStr">
        <is>
          <t>Audited in batch 17 r3. Criteria P2 weight=10.0.</t>
        </is>
      </c>
    </row>
    <row r="92">
      <c r="A92" s="2" t="inlineStr">
        <is>
          <t>CRIT-091</t>
        </is>
      </c>
      <c r="B92" s="5" t="inlineStr">
        <is>
          <t>jeminise.com+pamnest-twin-halloween-comforter-set-with-sheets-5-pieces-design-06</t>
        </is>
      </c>
      <c r="C92" s="2" t="inlineStr">
        <is>
          <t>K1</t>
        </is>
      </c>
      <c r="D92" s="2" t="inlineStr">
        <is>
          <t>Primary Keyword Focus</t>
        </is>
      </c>
      <c r="E92" s="4" t="n">
        <v>10</v>
      </c>
      <c r="F92" s="4" t="n">
        <v>10</v>
      </c>
      <c r="G92" s="2" t="inlineStr">
        <is>
          <t>PASS</t>
        </is>
      </c>
      <c r="H92" s="5" t="inlineStr">
        <is>
          <t>pamnest-twin-halloween-comforter-set-with-sheets-5-pieces-design-06: Primary keyword accurately targets high-intent visual search demand validated via live US SERP analysis.</t>
        </is>
      </c>
      <c r="I92" s="5" t="inlineStr">
        <is>
          <t>Audited in batch 17 r3. Criteria K1 weight=10.0.</t>
        </is>
      </c>
    </row>
    <row r="93">
      <c r="A93" s="2" t="inlineStr">
        <is>
          <t>CRIT-092</t>
        </is>
      </c>
      <c r="B93" s="5" t="inlineStr">
        <is>
          <t>jeminise.com+pamnest-twin-halloween-comforter-set-with-sheets-5-pieces-design-06</t>
        </is>
      </c>
      <c r="C93" s="2" t="inlineStr">
        <is>
          <t>K2</t>
        </is>
      </c>
      <c r="D93" s="2" t="inlineStr">
        <is>
          <t>Secondary Keyword Support</t>
        </is>
      </c>
      <c r="E93" s="4" t="n">
        <v>5</v>
      </c>
      <c r="F93" s="4" t="n">
        <v>5</v>
      </c>
      <c r="G93" s="2" t="inlineStr">
        <is>
          <t>PASS</t>
        </is>
      </c>
      <c r="H93" s="5" t="inlineStr">
        <is>
          <t>pamnest-twin-halloween-comforter-set-with-sheets-5-pieces-design-06: Secondary keywords support relevant long-tail variations without keyword stuffing.</t>
        </is>
      </c>
      <c r="I93" s="5" t="inlineStr">
        <is>
          <t>Audited in batch 17 r3. Criteria K2 weight=5.0.</t>
        </is>
      </c>
    </row>
    <row r="94">
      <c r="A94" s="2" t="inlineStr">
        <is>
          <t>CRIT-093</t>
        </is>
      </c>
      <c r="B94" s="5" t="inlineStr">
        <is>
          <t>jeminise.com+pamnest-twin-halloween-comforter-set-with-sheets-5-pieces-design-06</t>
        </is>
      </c>
      <c r="C94" s="2" t="inlineStr">
        <is>
          <t>K3</t>
        </is>
      </c>
      <c r="D94" s="5" t="inlineStr">
        <is>
          <t>Keyword Cannibalization &amp; Differentiation</t>
        </is>
      </c>
      <c r="E94" s="4" t="n">
        <v>5</v>
      </c>
      <c r="F94" s="4" t="n">
        <v>5</v>
      </c>
      <c r="G94" s="2" t="inlineStr">
        <is>
          <t>PASS</t>
        </is>
      </c>
      <c r="H94" s="5" t="inlineStr">
        <is>
          <t>pamnest-twin-halloween-comforter-set-with-sheets-5-pieces-design-06: Distinct keyword modifiers prevent internal competition across similar thematic items in the batch.</t>
        </is>
      </c>
      <c r="I94" s="5" t="inlineStr">
        <is>
          <t>Audited in batch 17 r3. Criteria K3 weight=5.0.</t>
        </is>
      </c>
    </row>
    <row r="95">
      <c r="A95" s="2" t="inlineStr">
        <is>
          <t>CRIT-094</t>
        </is>
      </c>
      <c r="B95" s="5" t="inlineStr">
        <is>
          <t>jeminise.com+pamnest-twin-halloween-comforter-set-with-sheets-5-pieces-design-06</t>
        </is>
      </c>
      <c r="C95" s="2" t="inlineStr">
        <is>
          <t>T1</t>
        </is>
      </c>
      <c r="D95" s="5" t="inlineStr">
        <is>
          <t>Title Proposed Quality &amp; Accuracy</t>
        </is>
      </c>
      <c r="E95" s="4" t="n">
        <v>10</v>
      </c>
      <c r="F95" s="4" t="n">
        <v>10</v>
      </c>
      <c r="G95" s="2" t="inlineStr">
        <is>
          <t>PASS</t>
        </is>
      </c>
      <c r="H95" s="5" t="inlineStr">
        <is>
          <t>pamnest-twin-halloween-comforter-set-with-sheets-5-pieces-design-06: Title proposed is natural, high-converting, concise (&lt;60 chars), and properly removes misleading variant claims (e.g. Twin 5-piece) from multi-size listings.</t>
        </is>
      </c>
      <c r="I95" s="5" t="inlineStr">
        <is>
          <t>Audited in batch 17 r3. Criteria T1 weight=10.0.</t>
        </is>
      </c>
    </row>
    <row r="96">
      <c r="A96" s="2" t="inlineStr">
        <is>
          <t>CRIT-095</t>
        </is>
      </c>
      <c r="B96" s="5" t="inlineStr">
        <is>
          <t>jeminise.com+pamnest-twin-halloween-comforter-set-with-sheets-5-pieces-design-06</t>
        </is>
      </c>
      <c r="C96" s="2" t="inlineStr">
        <is>
          <t>T2</t>
        </is>
      </c>
      <c r="D96" s="2" t="inlineStr">
        <is>
          <t>Meta Title Quality &amp; Length</t>
        </is>
      </c>
      <c r="E96" s="4" t="n">
        <v>5</v>
      </c>
      <c r="F96" s="4" t="n">
        <v>5</v>
      </c>
      <c r="G96" s="2" t="inlineStr">
        <is>
          <t>PASS</t>
        </is>
      </c>
      <c r="H96" s="5" t="inlineStr">
        <is>
          <t>pamnest-twin-halloween-comforter-set-with-sheets-5-pieces-design-06: Meta title is concise (28-39 chars), well under 60-char truncation threshold, and brand suffix is handled by Shopify theme.</t>
        </is>
      </c>
      <c r="I96" s="5" t="inlineStr">
        <is>
          <t>Audited in batch 17 r3. Criteria T2 weight=5.0.</t>
        </is>
      </c>
    </row>
    <row r="97">
      <c r="A97" s="2" t="inlineStr">
        <is>
          <t>CRIT-096</t>
        </is>
      </c>
      <c r="B97" s="5" t="inlineStr">
        <is>
          <t>jeminise.com+pamnest-twin-halloween-comforter-set-with-sheets-5-pieces-design-06</t>
        </is>
      </c>
      <c r="C97" s="2" t="inlineStr">
        <is>
          <t>D1</t>
        </is>
      </c>
      <c r="D97" s="5" t="inlineStr">
        <is>
          <t>Meta Description Quality &amp; Length</t>
        </is>
      </c>
      <c r="E97" s="4" t="n">
        <v>5</v>
      </c>
      <c r="F97" s="4" t="n">
        <v>5</v>
      </c>
      <c r="G97" s="2" t="inlineStr">
        <is>
          <t>PASS</t>
        </is>
      </c>
      <c r="H97" s="5" t="inlineStr">
        <is>
          <t>pamnest-twin-halloween-comforter-set-with-sheets-5-pieces-design-06: Meta description is concise (100-120 chars), provides a compelling action-oriented summary with size chart notice.</t>
        </is>
      </c>
      <c r="I97" s="5" t="inlineStr">
        <is>
          <t>Audited in batch 17 r3. Criteria D1 weight=5.0.</t>
        </is>
      </c>
    </row>
    <row r="98">
      <c r="A98" s="2" t="inlineStr">
        <is>
          <t>CRIT-097</t>
        </is>
      </c>
      <c r="B98" s="5" t="inlineStr">
        <is>
          <t>jeminise.com+pamnest-twin-halloween-comforter-set-with-sheets-5-pieces-design-06</t>
        </is>
      </c>
      <c r="C98" s="2" t="inlineStr">
        <is>
          <t>D2</t>
        </is>
      </c>
      <c r="D98" s="5" t="inlineStr">
        <is>
          <t>Description Proposed Content &amp; Completeness</t>
        </is>
      </c>
      <c r="E98" s="4" t="n">
        <v>10</v>
      </c>
      <c r="F98" s="4" t="n">
        <v>7</v>
      </c>
      <c r="G98" s="2" t="inlineStr">
        <is>
          <t>PARTIAL</t>
        </is>
      </c>
      <c r="H98" s="5" t="inlineStr">
        <is>
          <t>pamnest-twin-halloween-comforter-set-with-sheets-5-pieces-design-06: Description HTML is clean but contains robotic meta-commentary sentences explaining copywriting rules and omits essential verified technical/package specifications.</t>
        </is>
      </c>
      <c r="I98" s="5" t="inlineStr">
        <is>
          <t>Audited in batch 17 r3. Criteria D2 weight=10.0.</t>
        </is>
      </c>
    </row>
    <row r="99">
      <c r="A99" s="2" t="inlineStr">
        <is>
          <t>CRIT-098</t>
        </is>
      </c>
      <c r="B99" s="5" t="inlineStr">
        <is>
          <t>jeminise.com+pamnest-twin-halloween-comforter-set-with-sheets-5-pieces-design-06</t>
        </is>
      </c>
      <c r="C99" s="2" t="inlineStr">
        <is>
          <t>I1</t>
        </is>
      </c>
      <c r="D99" s="2" t="inlineStr">
        <is>
          <t>Image Optimization &amp; Coverage</t>
        </is>
      </c>
      <c r="E99" s="4" t="n">
        <v>20</v>
      </c>
      <c r="F99" s="3">
        <f>ROUND(0.20*AVERAGEIF(QA_Images!B:B,B99,QA_Images!N:N),2)</f>
        <v/>
      </c>
      <c r="G99" s="2" t="inlineStr">
        <is>
          <t>PASS</t>
        </is>
      </c>
      <c r="H99" s="5" t="inlineStr">
        <is>
          <t>pamnest-twin-halloween-comforter-set-with-sheets-5-pieces-design-06: All baseline gallery images directly inspected, specific visual observations recorded, and keyword-aligned alt text proposed.</t>
        </is>
      </c>
      <c r="I99" s="5" t="inlineStr">
        <is>
          <t>Audited in batch 17 r3. Criteria I1 weight=20.0.</t>
        </is>
      </c>
    </row>
    <row r="100">
      <c r="A100" s="2" t="inlineStr">
        <is>
          <t>CRIT-099</t>
        </is>
      </c>
      <c r="B100" s="5" t="inlineStr">
        <is>
          <t>jeminise.com+pamnest-twin-halloween-comforter-set-with-sheets-5-pieces-design-06</t>
        </is>
      </c>
      <c r="C100" s="2" t="inlineStr">
        <is>
          <t>E1</t>
        </is>
      </c>
      <c r="D100" s="5" t="inlineStr">
        <is>
          <t>Evidence &amp; Research Traceability</t>
        </is>
      </c>
      <c r="E100" s="4" t="n">
        <v>5</v>
      </c>
      <c r="F100" s="4" t="n">
        <v>4</v>
      </c>
      <c r="G100" s="2" t="inlineStr">
        <is>
          <t>LIMITATION</t>
        </is>
      </c>
      <c r="H100" s="5" t="inlineStr">
        <is>
          <t>pamnest-twin-halloween-comforter-set-with-sheets-5-pieces-design-06: Evidence backed by live US SERPs (20 queries) and storefront audit; documented limitation on absent first-party Search Console data.</t>
        </is>
      </c>
      <c r="I100" s="5" t="inlineStr">
        <is>
          <t>Audited in batch 17 r3. Criteria E1 weight=5.0.</t>
        </is>
      </c>
    </row>
    <row r="101">
      <c r="A101" s="2" t="inlineStr">
        <is>
          <t>CRIT-100</t>
        </is>
      </c>
      <c r="B101" s="5" t="inlineStr">
        <is>
          <t>jeminise.com+pamnest-twin-halloween-comforter-set-with-sheets-5-pieces-design-07</t>
        </is>
      </c>
      <c r="C101" s="2" t="inlineStr">
        <is>
          <t>P1</t>
        </is>
      </c>
      <c r="D101" s="2" t="inlineStr">
        <is>
          <t>Product Identification</t>
        </is>
      </c>
      <c r="E101" s="4" t="n">
        <v>15</v>
      </c>
      <c r="F101" s="4" t="n">
        <v>15</v>
      </c>
      <c r="G101" s="2" t="inlineStr">
        <is>
          <t>PASS</t>
        </is>
      </c>
      <c r="H101" s="5" t="inlineStr">
        <is>
          <t>pamnest-twin-halloween-comforter-set-with-sheets-5-pieces-design-07: Accurately identified product form factor, material category, and design motif from direct visual audit and storefront data.</t>
        </is>
      </c>
      <c r="I101" s="5" t="inlineStr">
        <is>
          <t>Audited in batch 17 r3. Criteria P1 weight=15.0.</t>
        </is>
      </c>
    </row>
    <row r="102">
      <c r="A102" s="2" t="inlineStr">
        <is>
          <t>CRIT-101</t>
        </is>
      </c>
      <c r="B102" s="5" t="inlineStr">
        <is>
          <t>jeminise.com+pamnest-twin-halloween-comforter-set-with-sheets-5-pieces-design-07</t>
        </is>
      </c>
      <c r="C102" s="2" t="inlineStr">
        <is>
          <t>P2</t>
        </is>
      </c>
      <c r="D102" s="2" t="inlineStr">
        <is>
          <t>Taxonomy &amp; Classification</t>
        </is>
      </c>
      <c r="E102" s="4" t="n">
        <v>10</v>
      </c>
      <c r="F102" s="4" t="n">
        <v>10</v>
      </c>
      <c r="G102" s="2" t="inlineStr">
        <is>
          <t>PASS</t>
        </is>
      </c>
      <c r="H102" s="5" t="inlineStr">
        <is>
          <t>pamnest-twin-halloween-comforter-set-with-sheets-5-pieces-design-07: Correct category assignment (Quilts vs Comforter Sets) aligning with Shopify collections and product type.</t>
        </is>
      </c>
      <c r="I102" s="5" t="inlineStr">
        <is>
          <t>Audited in batch 17 r3. Criteria P2 weight=10.0.</t>
        </is>
      </c>
    </row>
    <row r="103">
      <c r="A103" s="2" t="inlineStr">
        <is>
          <t>CRIT-102</t>
        </is>
      </c>
      <c r="B103" s="5" t="inlineStr">
        <is>
          <t>jeminise.com+pamnest-twin-halloween-comforter-set-with-sheets-5-pieces-design-07</t>
        </is>
      </c>
      <c r="C103" s="2" t="inlineStr">
        <is>
          <t>K1</t>
        </is>
      </c>
      <c r="D103" s="2" t="inlineStr">
        <is>
          <t>Primary Keyword Focus</t>
        </is>
      </c>
      <c r="E103" s="4" t="n">
        <v>10</v>
      </c>
      <c r="F103" s="4" t="n">
        <v>10</v>
      </c>
      <c r="G103" s="2" t="inlineStr">
        <is>
          <t>PASS</t>
        </is>
      </c>
      <c r="H103" s="5" t="inlineStr">
        <is>
          <t>pamnest-twin-halloween-comforter-set-with-sheets-5-pieces-design-07: Primary keyword accurately targets high-intent visual search demand validated via live US SERP analysis.</t>
        </is>
      </c>
      <c r="I103" s="5" t="inlineStr">
        <is>
          <t>Audited in batch 17 r3. Criteria K1 weight=10.0.</t>
        </is>
      </c>
    </row>
    <row r="104">
      <c r="A104" s="2" t="inlineStr">
        <is>
          <t>CRIT-103</t>
        </is>
      </c>
      <c r="B104" s="5" t="inlineStr">
        <is>
          <t>jeminise.com+pamnest-twin-halloween-comforter-set-with-sheets-5-pieces-design-07</t>
        </is>
      </c>
      <c r="C104" s="2" t="inlineStr">
        <is>
          <t>K2</t>
        </is>
      </c>
      <c r="D104" s="2" t="inlineStr">
        <is>
          <t>Secondary Keyword Support</t>
        </is>
      </c>
      <c r="E104" s="4" t="n">
        <v>5</v>
      </c>
      <c r="F104" s="4" t="n">
        <v>5</v>
      </c>
      <c r="G104" s="2" t="inlineStr">
        <is>
          <t>PASS</t>
        </is>
      </c>
      <c r="H104" s="5" t="inlineStr">
        <is>
          <t>pamnest-twin-halloween-comforter-set-with-sheets-5-pieces-design-07: Secondary keywords support relevant long-tail variations without keyword stuffing.</t>
        </is>
      </c>
      <c r="I104" s="5" t="inlineStr">
        <is>
          <t>Audited in batch 17 r3. Criteria K2 weight=5.0.</t>
        </is>
      </c>
    </row>
    <row r="105">
      <c r="A105" s="2" t="inlineStr">
        <is>
          <t>CRIT-104</t>
        </is>
      </c>
      <c r="B105" s="5" t="inlineStr">
        <is>
          <t>jeminise.com+pamnest-twin-halloween-comforter-set-with-sheets-5-pieces-design-07</t>
        </is>
      </c>
      <c r="C105" s="2" t="inlineStr">
        <is>
          <t>K3</t>
        </is>
      </c>
      <c r="D105" s="5" t="inlineStr">
        <is>
          <t>Keyword Cannibalization &amp; Differentiation</t>
        </is>
      </c>
      <c r="E105" s="4" t="n">
        <v>5</v>
      </c>
      <c r="F105" s="4" t="n">
        <v>5</v>
      </c>
      <c r="G105" s="2" t="inlineStr">
        <is>
          <t>PASS</t>
        </is>
      </c>
      <c r="H105" s="5" t="inlineStr">
        <is>
          <t>pamnest-twin-halloween-comforter-set-with-sheets-5-pieces-design-07: Distinct keyword modifiers prevent internal competition across similar thematic items in the batch.</t>
        </is>
      </c>
      <c r="I105" s="5" t="inlineStr">
        <is>
          <t>Audited in batch 17 r3. Criteria K3 weight=5.0.</t>
        </is>
      </c>
    </row>
    <row r="106">
      <c r="A106" s="2" t="inlineStr">
        <is>
          <t>CRIT-105</t>
        </is>
      </c>
      <c r="B106" s="5" t="inlineStr">
        <is>
          <t>jeminise.com+pamnest-twin-halloween-comforter-set-with-sheets-5-pieces-design-07</t>
        </is>
      </c>
      <c r="C106" s="2" t="inlineStr">
        <is>
          <t>T1</t>
        </is>
      </c>
      <c r="D106" s="5" t="inlineStr">
        <is>
          <t>Title Proposed Quality &amp; Accuracy</t>
        </is>
      </c>
      <c r="E106" s="4" t="n">
        <v>10</v>
      </c>
      <c r="F106" s="4" t="n">
        <v>10</v>
      </c>
      <c r="G106" s="2" t="inlineStr">
        <is>
          <t>PASS</t>
        </is>
      </c>
      <c r="H106" s="5" t="inlineStr">
        <is>
          <t>pamnest-twin-halloween-comforter-set-with-sheets-5-pieces-design-07: Title proposed is natural, high-converting, concise (&lt;60 chars), and properly removes misleading variant claims (e.g. Twin 5-piece) from multi-size listings.</t>
        </is>
      </c>
      <c r="I106" s="5" t="inlineStr">
        <is>
          <t>Audited in batch 17 r3. Criteria T1 weight=10.0.</t>
        </is>
      </c>
    </row>
    <row r="107">
      <c r="A107" s="2" t="inlineStr">
        <is>
          <t>CRIT-106</t>
        </is>
      </c>
      <c r="B107" s="5" t="inlineStr">
        <is>
          <t>jeminise.com+pamnest-twin-halloween-comforter-set-with-sheets-5-pieces-design-07</t>
        </is>
      </c>
      <c r="C107" s="2" t="inlineStr">
        <is>
          <t>T2</t>
        </is>
      </c>
      <c r="D107" s="2" t="inlineStr">
        <is>
          <t>Meta Title Quality &amp; Length</t>
        </is>
      </c>
      <c r="E107" s="4" t="n">
        <v>5</v>
      </c>
      <c r="F107" s="4" t="n">
        <v>5</v>
      </c>
      <c r="G107" s="2" t="inlineStr">
        <is>
          <t>PASS</t>
        </is>
      </c>
      <c r="H107" s="5" t="inlineStr">
        <is>
          <t>pamnest-twin-halloween-comforter-set-with-sheets-5-pieces-design-07: Meta title is concise (28-39 chars), well under 60-char truncation threshold, and brand suffix is handled by Shopify theme.</t>
        </is>
      </c>
      <c r="I107" s="5" t="inlineStr">
        <is>
          <t>Audited in batch 17 r3. Criteria T2 weight=5.0.</t>
        </is>
      </c>
    </row>
    <row r="108">
      <c r="A108" s="2" t="inlineStr">
        <is>
          <t>CRIT-107</t>
        </is>
      </c>
      <c r="B108" s="5" t="inlineStr">
        <is>
          <t>jeminise.com+pamnest-twin-halloween-comforter-set-with-sheets-5-pieces-design-07</t>
        </is>
      </c>
      <c r="C108" s="2" t="inlineStr">
        <is>
          <t>D1</t>
        </is>
      </c>
      <c r="D108" s="5" t="inlineStr">
        <is>
          <t>Meta Description Quality &amp; Length</t>
        </is>
      </c>
      <c r="E108" s="4" t="n">
        <v>5</v>
      </c>
      <c r="F108" s="4" t="n">
        <v>5</v>
      </c>
      <c r="G108" s="2" t="inlineStr">
        <is>
          <t>PASS</t>
        </is>
      </c>
      <c r="H108" s="5" t="inlineStr">
        <is>
          <t>pamnest-twin-halloween-comforter-set-with-sheets-5-pieces-design-07: Meta description is concise (100-120 chars), provides a compelling action-oriented summary with size chart notice.</t>
        </is>
      </c>
      <c r="I108" s="5" t="inlineStr">
        <is>
          <t>Audited in batch 17 r3. Criteria D1 weight=5.0.</t>
        </is>
      </c>
    </row>
    <row r="109">
      <c r="A109" s="2" t="inlineStr">
        <is>
          <t>CRIT-108</t>
        </is>
      </c>
      <c r="B109" s="5" t="inlineStr">
        <is>
          <t>jeminise.com+pamnest-twin-halloween-comforter-set-with-sheets-5-pieces-design-07</t>
        </is>
      </c>
      <c r="C109" s="2" t="inlineStr">
        <is>
          <t>D2</t>
        </is>
      </c>
      <c r="D109" s="5" t="inlineStr">
        <is>
          <t>Description Proposed Content &amp; Completeness</t>
        </is>
      </c>
      <c r="E109" s="4" t="n">
        <v>10</v>
      </c>
      <c r="F109" s="4" t="n">
        <v>7</v>
      </c>
      <c r="G109" s="2" t="inlineStr">
        <is>
          <t>PARTIAL</t>
        </is>
      </c>
      <c r="H109" s="5" t="inlineStr">
        <is>
          <t>pamnest-twin-halloween-comforter-set-with-sheets-5-pieces-design-07: Description HTML is clean but contains robotic meta-commentary sentences explaining copywriting rules and omits essential verified technical/package specifications.</t>
        </is>
      </c>
      <c r="I109" s="5" t="inlineStr">
        <is>
          <t>Audited in batch 17 r3. Criteria D2 weight=10.0.</t>
        </is>
      </c>
    </row>
    <row r="110">
      <c r="A110" s="2" t="inlineStr">
        <is>
          <t>CRIT-109</t>
        </is>
      </c>
      <c r="B110" s="5" t="inlineStr">
        <is>
          <t>jeminise.com+pamnest-twin-halloween-comforter-set-with-sheets-5-pieces-design-07</t>
        </is>
      </c>
      <c r="C110" s="2" t="inlineStr">
        <is>
          <t>I1</t>
        </is>
      </c>
      <c r="D110" s="2" t="inlineStr">
        <is>
          <t>Image Optimization &amp; Coverage</t>
        </is>
      </c>
      <c r="E110" s="4" t="n">
        <v>20</v>
      </c>
      <c r="F110" s="3">
        <f>ROUND(0.20*AVERAGEIF(QA_Images!B:B,B110,QA_Images!N:N),2)</f>
        <v/>
      </c>
      <c r="G110" s="2" t="inlineStr">
        <is>
          <t>PASS</t>
        </is>
      </c>
      <c r="H110" s="5" t="inlineStr">
        <is>
          <t>pamnest-twin-halloween-comforter-set-with-sheets-5-pieces-design-07: All baseline gallery images directly inspected, specific visual observations recorded, and keyword-aligned alt text proposed.</t>
        </is>
      </c>
      <c r="I110" s="5" t="inlineStr">
        <is>
          <t>Audited in batch 17 r3. Criteria I1 weight=20.0.</t>
        </is>
      </c>
    </row>
    <row r="111">
      <c r="A111" s="2" t="inlineStr">
        <is>
          <t>CRIT-110</t>
        </is>
      </c>
      <c r="B111" s="5" t="inlineStr">
        <is>
          <t>jeminise.com+pamnest-twin-halloween-comforter-set-with-sheets-5-pieces-design-07</t>
        </is>
      </c>
      <c r="C111" s="2" t="inlineStr">
        <is>
          <t>E1</t>
        </is>
      </c>
      <c r="D111" s="5" t="inlineStr">
        <is>
          <t>Evidence &amp; Research Traceability</t>
        </is>
      </c>
      <c r="E111" s="4" t="n">
        <v>5</v>
      </c>
      <c r="F111" s="4" t="n">
        <v>4</v>
      </c>
      <c r="G111" s="2" t="inlineStr">
        <is>
          <t>LIMITATION</t>
        </is>
      </c>
      <c r="H111" s="5" t="inlineStr">
        <is>
          <t>pamnest-twin-halloween-comforter-set-with-sheets-5-pieces-design-07: Evidence backed by live US SERPs (20 queries) and storefront audit; documented limitation on absent first-party Search Console data.</t>
        </is>
      </c>
      <c r="I111" s="5" t="inlineStr">
        <is>
          <t>Audited in batch 17 r3. Criteria E1 weight=5.0.</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3"/>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 width="42" customWidth="1" min="3" max="3"/>
    <col width="17" customWidth="1" min="4" max="4"/>
    <col width="16" customWidth="1" min="5" max="5"/>
    <col width="42" customWidth="1" min="6" max="6"/>
    <col width="19" customWidth="1" min="7" max="7"/>
    <col width="42" customWidth="1" min="8" max="8"/>
    <col width="21" customWidth="1" min="9" max="9"/>
    <col width="14" customWidth="1" min="10" max="10"/>
    <col width="14" customWidth="1" min="11" max="11"/>
    <col width="14" customWidth="1" min="12" max="12"/>
    <col width="14" customWidth="1" min="13" max="13"/>
    <col width="22" customWidth="1" min="14" max="14"/>
    <col width="20" customWidth="1" min="15" max="15"/>
    <col width="42" customWidth="1" min="16" max="16"/>
    <col width="42" customWidth="1" min="17" max="17"/>
  </cols>
  <sheetData>
    <row r="1">
      <c r="A1" s="1" t="inlineStr">
        <is>
          <t>qa_image_key</t>
        </is>
      </c>
      <c r="B1" s="1" t="inlineStr">
        <is>
          <t>product_key</t>
        </is>
      </c>
      <c r="C1" s="1" t="inlineStr">
        <is>
          <t>Handle</t>
        </is>
      </c>
      <c r="D1" s="1" t="inlineStr">
        <is>
          <t>image_number</t>
        </is>
      </c>
      <c r="E1" s="1" t="inlineStr">
        <is>
          <t>media_id</t>
        </is>
      </c>
      <c r="F1" s="1" t="inlineStr">
        <is>
          <t>image_url</t>
        </is>
      </c>
      <c r="G1" s="1" t="inlineStr">
        <is>
          <t>file_path</t>
        </is>
      </c>
      <c r="H1" s="1" t="inlineStr">
        <is>
          <t>sha256_hash</t>
        </is>
      </c>
      <c r="I1" s="1" t="inlineStr">
        <is>
          <t>image_dimensions</t>
        </is>
      </c>
      <c r="J1" s="1" t="inlineStr">
        <is>
          <t>IM1_score</t>
        </is>
      </c>
      <c r="K1" s="1" t="inlineStr">
        <is>
          <t>IM2_score</t>
        </is>
      </c>
      <c r="L1" s="1" t="inlineStr">
        <is>
          <t>IM3_score</t>
        </is>
      </c>
      <c r="M1" s="1" t="inlineStr">
        <is>
          <t>IM4_score</t>
        </is>
      </c>
      <c r="N1" s="1" t="inlineStr">
        <is>
          <t>total_image_score</t>
        </is>
      </c>
      <c r="O1" s="1" t="inlineStr">
        <is>
          <t>image_qa_status</t>
        </is>
      </c>
      <c r="P1" s="1" t="inlineStr">
        <is>
          <t>observed_details_audit</t>
        </is>
      </c>
      <c r="Q1" s="1" t="inlineStr">
        <is>
          <t>alt_text_audit</t>
        </is>
      </c>
    </row>
    <row r="2">
      <c r="A2" s="2" t="inlineStr">
        <is>
          <t>IMGQA-001</t>
        </is>
      </c>
      <c r="B2" s="5" t="inlineStr">
        <is>
          <t>jeminise.com+norse-mythology-raven-within-celtic-knot-frame-quilt-906ee24d68-906ee24d68</t>
        </is>
      </c>
      <c r="C2" s="5" t="inlineStr">
        <is>
          <t>norse-mythology-raven-within-celtic-knot-frame-quilt-906ee24d68-906ee24d68</t>
        </is>
      </c>
      <c r="D2" s="4" t="n">
        <v>1</v>
      </c>
      <c r="E2" s="2" t="inlineStr">
        <is>
          <t>47540522516679</t>
        </is>
      </c>
      <c r="F2" s="5" t="inlineStr">
        <is>
          <t>https://cdn.shopify.com/s/files/1/0792/5098/1063/files/f5df6ea5afdf042e566b7af241d22bd6929357120dcb00f0bc65a8916d20bdd1.jpg?v=1785104402</t>
        </is>
      </c>
      <c r="G2" s="2" t="inlineStr">
        <is>
          <t>images\161_01.jpg</t>
        </is>
      </c>
      <c r="H2" s="5" t="inlineStr">
        <is>
          <t>5f2e3952f9cfee8bfb3fa02b98d3fe9ba2f05643499c0504ff9bf49991b087d9</t>
        </is>
      </c>
      <c r="I2" s="2" t="inlineStr">
        <is>
          <t>1000x1000</t>
        </is>
      </c>
      <c r="J2" s="4" t="n">
        <v>40</v>
      </c>
      <c r="K2" s="4" t="n">
        <v>30</v>
      </c>
      <c r="L2" s="4" t="n">
        <v>20</v>
      </c>
      <c r="M2" s="4" t="n">
        <v>10</v>
      </c>
      <c r="N2" s="3">
        <f>SUM(J2:M2)</f>
        <v/>
      </c>
      <c r="O2" s="3">
        <f>IF(N2&gt;=85,"PASS",IF(N2&gt;=70,"REVISE","FAIL"))</f>
        <v/>
      </c>
      <c r="P2" s="5" t="inlineStr">
        <is>
          <t>Direct visual review verified: Bedroom mockup of blue raven quilt with Celtic knot frame, moon panel and matching shams.</t>
        </is>
      </c>
      <c r="Q2" s="5" t="inlineStr">
        <is>
          <t>Alt text verified: Blue raven Celtic knot quilt</t>
        </is>
      </c>
    </row>
    <row r="3">
      <c r="A3" s="2" t="inlineStr">
        <is>
          <t>IMGQA-002</t>
        </is>
      </c>
      <c r="B3" s="5" t="inlineStr">
        <is>
          <t>jeminise.com+norse-mythology-raven-within-celtic-knot-frame-quilt-906ee24d68-906ee24d68</t>
        </is>
      </c>
      <c r="C3" s="5" t="inlineStr">
        <is>
          <t>norse-mythology-raven-within-celtic-knot-frame-quilt-906ee24d68-906ee24d68</t>
        </is>
      </c>
      <c r="D3" s="4" t="n">
        <v>2</v>
      </c>
      <c r="E3" s="2" t="inlineStr">
        <is>
          <t>47540522549447</t>
        </is>
      </c>
      <c r="F3" s="5" t="inlineStr">
        <is>
          <t>https://cdn.shopify.com/s/files/1/0792/5098/1063/files/bbce88f2a66fabf46529458b35db7d33399da290b604d17e49b58d179adc7c2a.jpg?v=1785104402</t>
        </is>
      </c>
      <c r="G3" s="2" t="inlineStr">
        <is>
          <t>images\161_02.jpg</t>
        </is>
      </c>
      <c r="H3" s="5" t="inlineStr">
        <is>
          <t>45402a7b1c4420cca68969194e972cddbdf716be753b81a373687cdef4de4f8f</t>
        </is>
      </c>
      <c r="I3" s="2" t="inlineStr">
        <is>
          <t>1000x1000</t>
        </is>
      </c>
      <c r="J3" s="4" t="n">
        <v>40</v>
      </c>
      <c r="K3" s="4" t="n">
        <v>30</v>
      </c>
      <c r="L3" s="4" t="n">
        <v>20</v>
      </c>
      <c r="M3" s="4" t="n">
        <v>10</v>
      </c>
      <c r="N3" s="3">
        <f>SUM(J3:M3)</f>
        <v/>
      </c>
      <c r="O3" s="3">
        <f>IF(N3&gt;=85,"PASS",IF(N3&gt;=70,"REVISE","FAIL"))</f>
        <v/>
      </c>
      <c r="P3" s="5" t="inlineStr">
        <is>
          <t>Direct visual review verified: Feature mockup of Norse raven quilt with cozy, breathable, lightweight and washable icons.</t>
        </is>
      </c>
      <c r="Q3" s="5" t="inlineStr">
        <is>
          <t>Alt text verified: Blue raven quilt feature panel</t>
        </is>
      </c>
    </row>
    <row r="4">
      <c r="A4" s="2" t="inlineStr">
        <is>
          <t>IMGQA-003</t>
        </is>
      </c>
      <c r="B4" s="5" t="inlineStr">
        <is>
          <t>jeminise.com+norse-mythology-raven-within-celtic-knot-frame-quilt-906ee24d68-906ee24d68</t>
        </is>
      </c>
      <c r="C4" s="5" t="inlineStr">
        <is>
          <t>norse-mythology-raven-within-celtic-knot-frame-quilt-906ee24d68-906ee24d68</t>
        </is>
      </c>
      <c r="D4" s="4" t="n">
        <v>3</v>
      </c>
      <c r="E4" s="2" t="inlineStr">
        <is>
          <t>47540522582215</t>
        </is>
      </c>
      <c r="F4" s="5" t="inlineStr">
        <is>
          <t>https://cdn.shopify.com/s/files/1/0792/5098/1063/files/27dd51b6fe9a32b87ac804b19987fb134fc4570b327d844efdae0740d4303aab.jpg?v=1785104402</t>
        </is>
      </c>
      <c r="G4" s="2" t="inlineStr">
        <is>
          <t>images\161_03.jpg</t>
        </is>
      </c>
      <c r="H4" s="5" t="inlineStr">
        <is>
          <t>50afea49d61bc29a92a4df63f7ca1e547341fa8c7cf4d1ceb1cb69e9aa916042</t>
        </is>
      </c>
      <c r="I4" s="2" t="inlineStr">
        <is>
          <t>1000x1000</t>
        </is>
      </c>
      <c r="J4" s="4" t="n">
        <v>40</v>
      </c>
      <c r="K4" s="4" t="n">
        <v>30</v>
      </c>
      <c r="L4" s="4" t="n">
        <v>20</v>
      </c>
      <c r="M4" s="4" t="n">
        <v>10</v>
      </c>
      <c r="N4" s="3">
        <f>SUM(J4:M4)</f>
        <v/>
      </c>
      <c r="O4" s="3">
        <f>IF(N4&gt;=85,"PASS",IF(N4&gt;=70,"REVISE","FAIL"))</f>
        <v/>
      </c>
      <c r="P4" s="5" t="inlineStr">
        <is>
          <t>Direct visual review verified: All seasons panel showing blue raven Celtic knot quilt details and magnified texture circles.</t>
        </is>
      </c>
      <c r="Q4" s="5" t="inlineStr">
        <is>
          <t>Alt text verified: Norse raven Celtic knot detail panel</t>
        </is>
      </c>
    </row>
    <row r="5">
      <c r="A5" s="2" t="inlineStr">
        <is>
          <t>IMGQA-004</t>
        </is>
      </c>
      <c r="B5" s="5" t="inlineStr">
        <is>
          <t>jeminise.com+norse-mythology-raven-within-celtic-knot-frame-quilt-906ee24d68-906ee24d68</t>
        </is>
      </c>
      <c r="C5" s="5" t="inlineStr">
        <is>
          <t>norse-mythology-raven-within-celtic-knot-frame-quilt-906ee24d68-906ee24d68</t>
        </is>
      </c>
      <c r="D5" s="4" t="n">
        <v>4</v>
      </c>
      <c r="E5" s="2" t="inlineStr">
        <is>
          <t>47540522614983</t>
        </is>
      </c>
      <c r="F5" s="5" t="inlineStr">
        <is>
          <t>https://cdn.shopify.com/s/files/1/0792/5098/1063/files/c63b8bede4de84261bd2bc195d98188fb288eba460ea7d07b0ef625dba18ed45.jpg?v=1785104402</t>
        </is>
      </c>
      <c r="G5" s="2" t="inlineStr">
        <is>
          <t>images\161_04.jpg</t>
        </is>
      </c>
      <c r="H5" s="5" t="inlineStr">
        <is>
          <t>1ebfe3b8d9025b494acfd0ca4022f40fa6a0c8fa2f48b98c0ada0b86eb2641de</t>
        </is>
      </c>
      <c r="I5" s="2" t="inlineStr">
        <is>
          <t>1000x1000</t>
        </is>
      </c>
      <c r="J5" s="4" t="n">
        <v>40</v>
      </c>
      <c r="K5" s="4" t="n">
        <v>30</v>
      </c>
      <c r="L5" s="4" t="n">
        <v>20</v>
      </c>
      <c r="M5" s="4" t="n">
        <v>10</v>
      </c>
      <c r="N5" s="3">
        <f>SUM(J5:M5)</f>
        <v/>
      </c>
      <c r="O5" s="3">
        <f>IF(N5&gt;=85,"PASS",IF(N5&gt;=70,"REVISE","FAIL"))</f>
        <v/>
      </c>
      <c r="P5" s="5" t="inlineStr">
        <is>
          <t>Direct visual review verified: Precision stitching panel showing raven, moon and Celtic knot close-ups.</t>
        </is>
      </c>
      <c r="Q5" s="5" t="inlineStr">
        <is>
          <t>Alt text verified: Blue raven quilt stitching panel</t>
        </is>
      </c>
    </row>
    <row r="6">
      <c r="A6" s="2" t="inlineStr">
        <is>
          <t>IMGQA-005</t>
        </is>
      </c>
      <c r="B6" s="5" t="inlineStr">
        <is>
          <t>jeminise.com+norse-mythology-raven-within-celtic-knot-frame-quilt-906ee24d68-906ee24d68</t>
        </is>
      </c>
      <c r="C6" s="5" t="inlineStr">
        <is>
          <t>norse-mythology-raven-within-celtic-knot-frame-quilt-906ee24d68-906ee24d68</t>
        </is>
      </c>
      <c r="D6" s="4" t="n">
        <v>5</v>
      </c>
      <c r="E6" s="2" t="inlineStr">
        <is>
          <t>47540522647751</t>
        </is>
      </c>
      <c r="F6" s="5" t="inlineStr">
        <is>
          <t>https://cdn.shopify.com/s/files/1/0792/5098/1063/files/bbe527fc7f68c31328261559b7b766ec905010bb91f9515c6d557dd1b085f14b.jpg?v=1785104402</t>
        </is>
      </c>
      <c r="G6" s="2" t="inlineStr">
        <is>
          <t>images\161_05.jpg</t>
        </is>
      </c>
      <c r="H6" s="5" t="inlineStr">
        <is>
          <t>8b8ab476b72df5dece8b47ff68fe7f7c254464fac6c53140000397e0ccaf3c53</t>
        </is>
      </c>
      <c r="I6" s="2" t="inlineStr">
        <is>
          <t>1000x1000</t>
        </is>
      </c>
      <c r="J6" s="4" t="n">
        <v>40</v>
      </c>
      <c r="K6" s="4" t="n">
        <v>30</v>
      </c>
      <c r="L6" s="4" t="n">
        <v>20</v>
      </c>
      <c r="M6" s="4" t="n">
        <v>10</v>
      </c>
      <c r="N6" s="3">
        <f>SUM(J6:M6)</f>
        <v/>
      </c>
      <c r="O6" s="3">
        <f>IF(N6&gt;=85,"PASS",IF(N6&gt;=70,"REVISE","FAIL"))</f>
        <v/>
      </c>
      <c r="P6" s="5" t="inlineStr">
        <is>
          <t>Direct visual review verified: Layer panel showing microfiber woven top, filling microfiber and back microfiber.</t>
        </is>
      </c>
      <c r="Q6" s="5" t="inlineStr">
        <is>
          <t>Alt text verified: Raven quilt microfiber layer panel</t>
        </is>
      </c>
    </row>
    <row r="7">
      <c r="A7" s="2" t="inlineStr">
        <is>
          <t>IMGQA-006</t>
        </is>
      </c>
      <c r="B7" s="5" t="inlineStr">
        <is>
          <t>jeminise.com+norse-mythology-raven-within-celtic-knot-frame-quilt-906ee24d68-906ee24d68</t>
        </is>
      </c>
      <c r="C7" s="5" t="inlineStr">
        <is>
          <t>norse-mythology-raven-within-celtic-knot-frame-quilt-906ee24d68-906ee24d68</t>
        </is>
      </c>
      <c r="D7" s="4" t="n">
        <v>6</v>
      </c>
      <c r="E7" s="2" t="inlineStr">
        <is>
          <t>47540522680519</t>
        </is>
      </c>
      <c r="F7" s="5" t="inlineStr">
        <is>
          <t>https://cdn.shopify.com/s/files/1/0792/5098/1063/files/5cc9f4f96bdb0280d8a3c4b98775690e61d79ad5625e9f20a101536548fe3b0e.jpg?v=1785104402</t>
        </is>
      </c>
      <c r="G7" s="2" t="inlineStr">
        <is>
          <t>images\161_06.jpg</t>
        </is>
      </c>
      <c r="H7" s="5" t="inlineStr">
        <is>
          <t>6a3b322f6da7163f9772280430dde0229605bbf4dc984034eca74ee7b134a75a</t>
        </is>
      </c>
      <c r="I7" s="2" t="inlineStr">
        <is>
          <t>1200x1200</t>
        </is>
      </c>
      <c r="J7" s="4" t="n">
        <v>40</v>
      </c>
      <c r="K7" s="4" t="n">
        <v>30</v>
      </c>
      <c r="L7" s="4" t="n">
        <v>20</v>
      </c>
      <c r="M7" s="4" t="n">
        <v>10</v>
      </c>
      <c r="N7" s="3">
        <f>SUM(J7:M7)</f>
        <v/>
      </c>
      <c r="O7" s="3">
        <f>IF(N7&gt;=85,"PASS",IF(N7&gt;=70,"REVISE","FAIL"))</f>
        <v/>
      </c>
      <c r="P7" s="5" t="inlineStr">
        <is>
          <t>Direct visual review verified: Premium quilt set size chart showing available bed sizes and measurements.</t>
        </is>
      </c>
      <c r="Q7" s="5" t="inlineStr">
        <is>
          <t>Alt text verified: Quilt set size chart</t>
        </is>
      </c>
    </row>
    <row r="8">
      <c r="A8" s="2" t="inlineStr">
        <is>
          <t>IMGQA-007</t>
        </is>
      </c>
      <c r="B8" s="5" t="inlineStr">
        <is>
          <t>jeminise.com+norse-mythology-raven-within-celtic-knot-frame-quilt-906ee24d68-906ee24d68</t>
        </is>
      </c>
      <c r="C8" s="5" t="inlineStr">
        <is>
          <t>norse-mythology-raven-within-celtic-knot-frame-quilt-906ee24d68-906ee24d68</t>
        </is>
      </c>
      <c r="D8" s="4" t="n">
        <v>7</v>
      </c>
      <c r="E8" s="2" t="inlineStr">
        <is>
          <t>47540522713287</t>
        </is>
      </c>
      <c r="F8" s="5" t="inlineStr">
        <is>
          <t>https://cdn.shopify.com/s/files/1/0792/5098/1063/files/31facc27e0d676d03e5239357f2912111f3e0640688af1ac241589e99b6705fb.jpg?v=1785104402</t>
        </is>
      </c>
      <c r="G8" s="2" t="inlineStr">
        <is>
          <t>images\161_07.jpg</t>
        </is>
      </c>
      <c r="H8" s="5" t="inlineStr">
        <is>
          <t>ecd93b622c766abf2c6d708d77408dedeb63c129220b99f56a5244f09ec16214</t>
        </is>
      </c>
      <c r="I8" s="2" t="inlineStr">
        <is>
          <t>1200x1200</t>
        </is>
      </c>
      <c r="J8" s="4" t="n">
        <v>40</v>
      </c>
      <c r="K8" s="4" t="n">
        <v>30</v>
      </c>
      <c r="L8" s="4" t="n">
        <v>20</v>
      </c>
      <c r="M8" s="4" t="n">
        <v>10</v>
      </c>
      <c r="N8" s="3">
        <f>SUM(J8:M8)</f>
        <v/>
      </c>
      <c r="O8" s="3">
        <f>IF(N8&gt;=85,"PASS",IF(N8&gt;=70,"REVISE","FAIL"))</f>
        <v/>
      </c>
      <c r="P8" s="5" t="inlineStr">
        <is>
          <t>Direct visual review verified: Fabric detail panel showing blue raven Celtic knot print and quilt surface close-ups.</t>
        </is>
      </c>
      <c r="Q8" s="5" t="inlineStr">
        <is>
          <t>Alt text verified: Blue raven Celtic quilt fabric panel</t>
        </is>
      </c>
    </row>
    <row r="9">
      <c r="A9" s="2" t="inlineStr">
        <is>
          <t>IMGQA-008</t>
        </is>
      </c>
      <c r="B9" s="5" t="inlineStr">
        <is>
          <t>jeminise.com+norse-mythology-viking-shield-with-crossed-axes-quilt-ca630a284e-ca630a284e</t>
        </is>
      </c>
      <c r="C9" s="5" t="inlineStr">
        <is>
          <t>norse-mythology-viking-shield-with-crossed-axes-quilt-ca630a284e-ca630a284e</t>
        </is>
      </c>
      <c r="D9" s="4" t="n">
        <v>1</v>
      </c>
      <c r="E9" s="2" t="inlineStr">
        <is>
          <t>47540537688263</t>
        </is>
      </c>
      <c r="F9" s="5" t="inlineStr">
        <is>
          <t>https://cdn.shopify.com/s/files/1/0792/5098/1063/files/a0bb7b2e86bb5a07b6f85d9046b813c1954eadf01e22807354afd66a9ebfdea6.jpg?v=1785104553</t>
        </is>
      </c>
      <c r="G9" s="2" t="inlineStr">
        <is>
          <t>images\162_01.jpg</t>
        </is>
      </c>
      <c r="H9" s="5" t="inlineStr">
        <is>
          <t>5010ad7f41130dfeff8a19435ee269e7b39d6f6b4778a6627dd6f02631ca1448</t>
        </is>
      </c>
      <c r="I9" s="2" t="inlineStr">
        <is>
          <t>1000x1000</t>
        </is>
      </c>
      <c r="J9" s="4" t="n">
        <v>40</v>
      </c>
      <c r="K9" s="4" t="n">
        <v>30</v>
      </c>
      <c r="L9" s="4" t="n">
        <v>20</v>
      </c>
      <c r="M9" s="4" t="n">
        <v>10</v>
      </c>
      <c r="N9" s="3">
        <f>SUM(J9:M9)</f>
        <v/>
      </c>
      <c r="O9" s="3">
        <f>IF(N9&gt;=85,"PASS",IF(N9&gt;=70,"REVISE","FAIL"))</f>
        <v/>
      </c>
      <c r="P9" s="5" t="inlineStr">
        <is>
          <t>Direct visual review verified: Bedroom mockup of black Valhalla Viking shield quilt with crossed axes and matching shams.</t>
        </is>
      </c>
      <c r="Q9" s="5" t="inlineStr">
        <is>
          <t>Alt text verified: Valhalla Viking shield quilt</t>
        </is>
      </c>
    </row>
    <row r="10">
      <c r="A10" s="2" t="inlineStr">
        <is>
          <t>IMGQA-009</t>
        </is>
      </c>
      <c r="B10" s="5" t="inlineStr">
        <is>
          <t>jeminise.com+norse-mythology-viking-shield-with-crossed-axes-quilt-ca630a284e-ca630a284e</t>
        </is>
      </c>
      <c r="C10" s="5" t="inlineStr">
        <is>
          <t>norse-mythology-viking-shield-with-crossed-axes-quilt-ca630a284e-ca630a284e</t>
        </is>
      </c>
      <c r="D10" s="4" t="n">
        <v>2</v>
      </c>
      <c r="E10" s="2" t="inlineStr">
        <is>
          <t>47540537721031</t>
        </is>
      </c>
      <c r="F10" s="5" t="inlineStr">
        <is>
          <t>https://cdn.shopify.com/s/files/1/0792/5098/1063/files/cdc35c826f340b6635063d4154a0b5dfe33f71c7ea05f07fdfc6546f09c22e28.jpg?v=1785104553</t>
        </is>
      </c>
      <c r="G10" s="2" t="inlineStr">
        <is>
          <t>images\162_02.jpg</t>
        </is>
      </c>
      <c r="H10" s="5" t="inlineStr">
        <is>
          <t>b780f1c2a1a631706ac39c588d420c8721f546fd3fc03ab4a8cde4017456e7c6</t>
        </is>
      </c>
      <c r="I10" s="2" t="inlineStr">
        <is>
          <t>1200x1200</t>
        </is>
      </c>
      <c r="J10" s="4" t="n">
        <v>40</v>
      </c>
      <c r="K10" s="4" t="n">
        <v>30</v>
      </c>
      <c r="L10" s="4" t="n">
        <v>20</v>
      </c>
      <c r="M10" s="4" t="n">
        <v>10</v>
      </c>
      <c r="N10" s="3">
        <f>SUM(J10:M10)</f>
        <v/>
      </c>
      <c r="O10" s="3">
        <f>IF(N10&gt;=85,"PASS",IF(N10&gt;=70,"REVISE","FAIL"))</f>
        <v/>
      </c>
      <c r="P10" s="5" t="inlineStr">
        <is>
          <t>Direct visual review verified: Feature mockup of Viking shield quilt with cozy, breathable, lightweight and washable icons.</t>
        </is>
      </c>
      <c r="Q10" s="5" t="inlineStr">
        <is>
          <t>Alt text verified: Viking shield quilt feature panel</t>
        </is>
      </c>
    </row>
    <row r="11">
      <c r="A11" s="2" t="inlineStr">
        <is>
          <t>IMGQA-010</t>
        </is>
      </c>
      <c r="B11" s="5" t="inlineStr">
        <is>
          <t>jeminise.com+norse-mythology-viking-shield-with-crossed-axes-quilt-ca630a284e-ca630a284e</t>
        </is>
      </c>
      <c r="C11" s="5" t="inlineStr">
        <is>
          <t>norse-mythology-viking-shield-with-crossed-axes-quilt-ca630a284e-ca630a284e</t>
        </is>
      </c>
      <c r="D11" s="4" t="n">
        <v>3</v>
      </c>
      <c r="E11" s="2" t="inlineStr">
        <is>
          <t>47540537753799</t>
        </is>
      </c>
      <c r="F11" s="5" t="inlineStr">
        <is>
          <t>https://cdn.shopify.com/s/files/1/0792/5098/1063/files/7127a02e884cad7c5184ce1b2946ac662960d39acad6edb3b8a21f844cc7fb83.jpg?v=1785104553</t>
        </is>
      </c>
      <c r="G11" s="2" t="inlineStr">
        <is>
          <t>images\162_03.jpg</t>
        </is>
      </c>
      <c r="H11" s="5" t="inlineStr">
        <is>
          <t>41afb4c92d4cf29d2ad3187cec72ec16f2171cc7f58a62794e269c4cae36a378</t>
        </is>
      </c>
      <c r="I11" s="2" t="inlineStr">
        <is>
          <t>1200x1200</t>
        </is>
      </c>
      <c r="J11" s="4" t="n">
        <v>40</v>
      </c>
      <c r="K11" s="4" t="n">
        <v>30</v>
      </c>
      <c r="L11" s="4" t="n">
        <v>20</v>
      </c>
      <c r="M11" s="4" t="n">
        <v>10</v>
      </c>
      <c r="N11" s="3">
        <f>SUM(J11:M11)</f>
        <v/>
      </c>
      <c r="O11" s="3">
        <f>IF(N11&gt;=85,"PASS",IF(N11&gt;=70,"REVISE","FAIL"))</f>
        <v/>
      </c>
      <c r="P11" s="5" t="inlineStr">
        <is>
          <t>Direct visual review verified: All seasons panel showing Valhalla shield, crossed axes and runic background details.</t>
        </is>
      </c>
      <c r="Q11" s="5" t="inlineStr">
        <is>
          <t>Alt text verified: Valhalla shield quilt detail panel</t>
        </is>
      </c>
    </row>
    <row r="12">
      <c r="A12" s="2" t="inlineStr">
        <is>
          <t>IMGQA-011</t>
        </is>
      </c>
      <c r="B12" s="5" t="inlineStr">
        <is>
          <t>jeminise.com+norse-mythology-viking-shield-with-crossed-axes-quilt-ca630a284e-ca630a284e</t>
        </is>
      </c>
      <c r="C12" s="5" t="inlineStr">
        <is>
          <t>norse-mythology-viking-shield-with-crossed-axes-quilt-ca630a284e-ca630a284e</t>
        </is>
      </c>
      <c r="D12" s="4" t="n">
        <v>4</v>
      </c>
      <c r="E12" s="2" t="inlineStr">
        <is>
          <t>47540537786567</t>
        </is>
      </c>
      <c r="F12" s="5" t="inlineStr">
        <is>
          <t>https://cdn.shopify.com/s/files/1/0792/5098/1063/files/e1bca6ad0b85bcfa2b85d2a0322d79680fde7448a15adec1757a81eb07c4bf6f.jpg?v=1785104553</t>
        </is>
      </c>
      <c r="G12" s="2" t="inlineStr">
        <is>
          <t>images\162_04.jpg</t>
        </is>
      </c>
      <c r="H12" s="5" t="inlineStr">
        <is>
          <t>a41a44134043c9136539f8e607535e3d11b3acb18100bb96cec2da445f2abd0f</t>
        </is>
      </c>
      <c r="I12" s="2" t="inlineStr">
        <is>
          <t>1200x1200</t>
        </is>
      </c>
      <c r="J12" s="4" t="n">
        <v>40</v>
      </c>
      <c r="K12" s="4" t="n">
        <v>30</v>
      </c>
      <c r="L12" s="4" t="n">
        <v>20</v>
      </c>
      <c r="M12" s="4" t="n">
        <v>10</v>
      </c>
      <c r="N12" s="3">
        <f>SUM(J12:M12)</f>
        <v/>
      </c>
      <c r="O12" s="3">
        <f>IF(N12&gt;=85,"PASS",IF(N12&gt;=70,"REVISE","FAIL"))</f>
        <v/>
      </c>
      <c r="P12" s="5" t="inlineStr">
        <is>
          <t>Direct visual review verified: Precision stitching panel showing Viking shield, crossed axes and black fabric close-ups.</t>
        </is>
      </c>
      <c r="Q12" s="5" t="inlineStr">
        <is>
          <t>Alt text verified: Viking shield quilt stitching panel</t>
        </is>
      </c>
    </row>
    <row r="13">
      <c r="A13" s="2" t="inlineStr">
        <is>
          <t>IMGQA-012</t>
        </is>
      </c>
      <c r="B13" s="5" t="inlineStr">
        <is>
          <t>jeminise.com+norse-mythology-viking-shield-with-crossed-axes-quilt-ca630a284e-ca630a284e</t>
        </is>
      </c>
      <c r="C13" s="5" t="inlineStr">
        <is>
          <t>norse-mythology-viking-shield-with-crossed-axes-quilt-ca630a284e-ca630a284e</t>
        </is>
      </c>
      <c r="D13" s="4" t="n">
        <v>5</v>
      </c>
      <c r="E13" s="2" t="inlineStr">
        <is>
          <t>47540537819335</t>
        </is>
      </c>
      <c r="F13" s="5" t="inlineStr">
        <is>
          <t>https://cdn.shopify.com/s/files/1/0792/5098/1063/files/77fb3f8c371cf27dd16588f3cf56fb24c12deaa2922c16412de893b0e53890dd.jpg?v=1785104553</t>
        </is>
      </c>
      <c r="G13" s="2" t="inlineStr">
        <is>
          <t>images\162_05.jpg</t>
        </is>
      </c>
      <c r="H13" s="5" t="inlineStr">
        <is>
          <t>022469ee5c53116cfe68e563776876b274b93c35fcee1527e5772890999a92a5</t>
        </is>
      </c>
      <c r="I13" s="2" t="inlineStr">
        <is>
          <t>1200x1200</t>
        </is>
      </c>
      <c r="J13" s="4" t="n">
        <v>40</v>
      </c>
      <c r="K13" s="4" t="n">
        <v>30</v>
      </c>
      <c r="L13" s="4" t="n">
        <v>20</v>
      </c>
      <c r="M13" s="4" t="n">
        <v>10</v>
      </c>
      <c r="N13" s="3">
        <f>SUM(J13:M13)</f>
        <v/>
      </c>
      <c r="O13" s="3">
        <f>IF(N13&gt;=85,"PASS",IF(N13&gt;=70,"REVISE","FAIL"))</f>
        <v/>
      </c>
      <c r="P13" s="5" t="inlineStr">
        <is>
          <t>Direct visual review verified: Layer panel showing microfiber woven top, filling microfiber and back microfiber.</t>
        </is>
      </c>
      <c r="Q13" s="5" t="inlineStr">
        <is>
          <t>Alt text verified: Viking shield quilt microfiber layer panel</t>
        </is>
      </c>
    </row>
    <row r="14">
      <c r="A14" s="2" t="inlineStr">
        <is>
          <t>IMGQA-013</t>
        </is>
      </c>
      <c r="B14" s="5" t="inlineStr">
        <is>
          <t>jeminise.com+norse-mythology-viking-shield-with-crossed-axes-quilt-ca630a284e-ca630a284e</t>
        </is>
      </c>
      <c r="C14" s="5" t="inlineStr">
        <is>
          <t>norse-mythology-viking-shield-with-crossed-axes-quilt-ca630a284e-ca630a284e</t>
        </is>
      </c>
      <c r="D14" s="4" t="n">
        <v>6</v>
      </c>
      <c r="E14" s="2" t="inlineStr">
        <is>
          <t>47540537852103</t>
        </is>
      </c>
      <c r="F14" s="5" t="inlineStr">
        <is>
          <t>https://cdn.shopify.com/s/files/1/0792/5098/1063/files/ca05f793ad1004a8bcf1b14bc5f968c4664bf701819e6903e275f14d034862a6.jpg?v=1785104553</t>
        </is>
      </c>
      <c r="G14" s="2" t="inlineStr">
        <is>
          <t>images\162_06.jpg</t>
        </is>
      </c>
      <c r="H14" s="5" t="inlineStr">
        <is>
          <t>84f9b1437ed7cf29c5bd3e8670f1dc69484c8566cd13fa309647552b8e571c6f</t>
        </is>
      </c>
      <c r="I14" s="2" t="inlineStr">
        <is>
          <t>1200x1200</t>
        </is>
      </c>
      <c r="J14" s="4" t="n">
        <v>40</v>
      </c>
      <c r="K14" s="4" t="n">
        <v>30</v>
      </c>
      <c r="L14" s="4" t="n">
        <v>20</v>
      </c>
      <c r="M14" s="4" t="n">
        <v>10</v>
      </c>
      <c r="N14" s="3">
        <f>SUM(J14:M14)</f>
        <v/>
      </c>
      <c r="O14" s="3">
        <f>IF(N14&gt;=85,"PASS",IF(N14&gt;=70,"REVISE","FAIL"))</f>
        <v/>
      </c>
      <c r="P14" s="5" t="inlineStr">
        <is>
          <t>Direct visual review verified: Premium quilt set size chart showing available bed sizes and measurements.</t>
        </is>
      </c>
      <c r="Q14" s="5" t="inlineStr">
        <is>
          <t>Alt text verified: Quilt set size chart for black Valhalla Viking shield crossed axes quilt</t>
        </is>
      </c>
    </row>
    <row r="15">
      <c r="A15" s="2" t="inlineStr">
        <is>
          <t>IMGQA-014</t>
        </is>
      </c>
      <c r="B15" s="5" t="inlineStr">
        <is>
          <t>jeminise.com+norse-mythology-viking-shield-with-crossed-axes-quilt-ca630a284e-ca630a284e</t>
        </is>
      </c>
      <c r="C15" s="5" t="inlineStr">
        <is>
          <t>norse-mythology-viking-shield-with-crossed-axes-quilt-ca630a284e-ca630a284e</t>
        </is>
      </c>
      <c r="D15" s="4" t="n">
        <v>7</v>
      </c>
      <c r="E15" s="2" t="inlineStr">
        <is>
          <t>47540537884871</t>
        </is>
      </c>
      <c r="F15" s="5" t="inlineStr">
        <is>
          <t>https://cdn.shopify.com/s/files/1/0792/5098/1063/files/b002678b1b933df28fb349bc6ff5667b37b28acab3f3e263980071a114b93302.jpg?v=1785104552</t>
        </is>
      </c>
      <c r="G15" s="2" t="inlineStr">
        <is>
          <t>images\162_07.jpg</t>
        </is>
      </c>
      <c r="H15" s="5" t="inlineStr">
        <is>
          <t>e00737bd21cbc4629256b07cc5e47b44b21178025f4dfb8775b2f14a88ad5809</t>
        </is>
      </c>
      <c r="I15" s="2" t="inlineStr">
        <is>
          <t>1200x1200</t>
        </is>
      </c>
      <c r="J15" s="4" t="n">
        <v>40</v>
      </c>
      <c r="K15" s="4" t="n">
        <v>30</v>
      </c>
      <c r="L15" s="4" t="n">
        <v>20</v>
      </c>
      <c r="M15" s="4" t="n">
        <v>10</v>
      </c>
      <c r="N15" s="3">
        <f>SUM(J15:M15)</f>
        <v/>
      </c>
      <c r="O15" s="3">
        <f>IF(N15&gt;=85,"PASS",IF(N15&gt;=70,"REVISE","FAIL"))</f>
        <v/>
      </c>
      <c r="P15" s="5" t="inlineStr">
        <is>
          <t>Direct visual review verified: Fabric detail panel showing black Valhalla shield quilt print and quilt surface close-ups.</t>
        </is>
      </c>
      <c r="Q15" s="5" t="inlineStr">
        <is>
          <t>Alt text verified: Valhalla Viking quilt fabric panel</t>
        </is>
      </c>
    </row>
    <row r="16">
      <c r="A16" s="2" t="inlineStr">
        <is>
          <t>IMGQA-015</t>
        </is>
      </c>
      <c r="B16" s="5" t="inlineStr">
        <is>
          <t>jeminise.com+owl-patchwork-pattern-quilt-set-animals-quilt-set-style-owl-nights</t>
        </is>
      </c>
      <c r="C16" s="5" t="inlineStr">
        <is>
          <t>owl-patchwork-pattern-quilt-set-animals-quilt-set-style-owl-nights</t>
        </is>
      </c>
      <c r="D16" s="4" t="n">
        <v>1</v>
      </c>
      <c r="E16" s="2" t="inlineStr">
        <is>
          <t>47933462872263</t>
        </is>
      </c>
      <c r="F16" s="5" t="inlineStr">
        <is>
          <t>https://cdn.shopify.com/s/files/1/0792/5098/1063/files/b12b5b630d5361e095b70248a7029d44aa83474cedccaae8a99938e5a82aa9e5.jpg?v=1787233687</t>
        </is>
      </c>
      <c r="G16" s="2" t="inlineStr">
        <is>
          <t>images\163_01.jpg</t>
        </is>
      </c>
      <c r="H16" s="5" t="inlineStr">
        <is>
          <t>7138dfe66afc3b8b7eeb314b221fde7a551a1ab49a73821ac810e671b220ebb8</t>
        </is>
      </c>
      <c r="I16" s="2" t="inlineStr">
        <is>
          <t>1200x1200</t>
        </is>
      </c>
      <c r="J16" s="4" t="n">
        <v>40</v>
      </c>
      <c r="K16" s="4" t="n">
        <v>30</v>
      </c>
      <c r="L16" s="4" t="n">
        <v>20</v>
      </c>
      <c r="M16" s="4" t="n">
        <v>10</v>
      </c>
      <c r="N16" s="3">
        <f>SUM(J16:M16)</f>
        <v/>
      </c>
      <c r="O16" s="3">
        <f>IF(N16&gt;=85,"PASS",IF(N16&gt;=70,"REVISE","FAIL"))</f>
        <v/>
      </c>
      <c r="P16" s="5" t="inlineStr">
        <is>
          <t>Direct visual review verified: Bedroom mockup of blue gold owl night quilt set with matching shams.</t>
        </is>
      </c>
      <c r="Q16" s="5" t="inlineStr">
        <is>
          <t>Alt text verified: Blue gold owl night quilt set</t>
        </is>
      </c>
    </row>
    <row r="17">
      <c r="A17" s="2" t="inlineStr">
        <is>
          <t>IMGQA-016</t>
        </is>
      </c>
      <c r="B17" s="5" t="inlineStr">
        <is>
          <t>jeminise.com+owl-patchwork-pattern-quilt-set-animals-quilt-set-style-owl-nights</t>
        </is>
      </c>
      <c r="C17" s="5" t="inlineStr">
        <is>
          <t>owl-patchwork-pattern-quilt-set-animals-quilt-set-style-owl-nights</t>
        </is>
      </c>
      <c r="D17" s="4" t="n">
        <v>2</v>
      </c>
      <c r="E17" s="2" t="inlineStr">
        <is>
          <t>47933462905031</t>
        </is>
      </c>
      <c r="F17" s="5" t="inlineStr">
        <is>
          <t>https://cdn.shopify.com/s/files/1/0792/5098/1063/files/41113dc58569ae2adc6d3dde435731253d18a0408ae05d7000f8517dee0c01a4.jpg?v=1787233687</t>
        </is>
      </c>
      <c r="G17" s="2" t="inlineStr">
        <is>
          <t>images\163_02.jpg</t>
        </is>
      </c>
      <c r="H17" s="5" t="inlineStr">
        <is>
          <t>cd31251b5b8f32de988065f660f0353db2c45b880c9f3620314b74dd3928e704</t>
        </is>
      </c>
      <c r="I17" s="2" t="inlineStr">
        <is>
          <t>1200x1200</t>
        </is>
      </c>
      <c r="J17" s="4" t="n">
        <v>40</v>
      </c>
      <c r="K17" s="4" t="n">
        <v>30</v>
      </c>
      <c r="L17" s="4" t="n">
        <v>20</v>
      </c>
      <c r="M17" s="4" t="n">
        <v>10</v>
      </c>
      <c r="N17" s="3">
        <f>SUM(J17:M17)</f>
        <v/>
      </c>
      <c r="O17" s="3">
        <f>IF(N17&gt;=85,"PASS",IF(N17&gt;=70,"REVISE","FAIL"))</f>
        <v/>
      </c>
      <c r="P17" s="5" t="inlineStr">
        <is>
          <t>Direct visual review verified: Feature mockup of owl moon quilt with cozy, breathable, lightweight and washable icons.</t>
        </is>
      </c>
      <c r="Q17" s="5" t="inlineStr">
        <is>
          <t>Alt text verified: Owl moon quilt feature panel</t>
        </is>
      </c>
    </row>
    <row r="18">
      <c r="A18" s="2" t="inlineStr">
        <is>
          <t>IMGQA-017</t>
        </is>
      </c>
      <c r="B18" s="5" t="inlineStr">
        <is>
          <t>jeminise.com+owl-patchwork-pattern-quilt-set-animals-quilt-set-style-owl-nights</t>
        </is>
      </c>
      <c r="C18" s="5" t="inlineStr">
        <is>
          <t>owl-patchwork-pattern-quilt-set-animals-quilt-set-style-owl-nights</t>
        </is>
      </c>
      <c r="D18" s="4" t="n">
        <v>3</v>
      </c>
      <c r="E18" s="2" t="inlineStr">
        <is>
          <t>47933462937799</t>
        </is>
      </c>
      <c r="F18" s="5" t="inlineStr">
        <is>
          <t>https://cdn.shopify.com/s/files/1/0792/5098/1063/files/fd5e9ddd0678c2d4c24c4bd3dfda693b589b9dd151f9f214cdc48d107b8e6592.jpg?v=1787233688</t>
        </is>
      </c>
      <c r="G18" s="2" t="inlineStr">
        <is>
          <t>images\163_03.jpg</t>
        </is>
      </c>
      <c r="H18" s="5" t="inlineStr">
        <is>
          <t>59594c7bc02be5bdacb92b4688b2bab04a4d4ce43bd553322ffee957262032e7</t>
        </is>
      </c>
      <c r="I18" s="2" t="inlineStr">
        <is>
          <t>1200x1200</t>
        </is>
      </c>
      <c r="J18" s="4" t="n">
        <v>40</v>
      </c>
      <c r="K18" s="4" t="n">
        <v>30</v>
      </c>
      <c r="L18" s="4" t="n">
        <v>20</v>
      </c>
      <c r="M18" s="4" t="n">
        <v>10</v>
      </c>
      <c r="N18" s="3">
        <f>SUM(J18:M18)</f>
        <v/>
      </c>
      <c r="O18" s="3">
        <f>IF(N18&gt;=85,"PASS",IF(N18&gt;=70,"REVISE","FAIL"))</f>
        <v/>
      </c>
      <c r="P18" s="5" t="inlineStr">
        <is>
          <t>Direct visual review verified: All seasons panel showing owl, moon frame and starry blue patchwork details.</t>
        </is>
      </c>
      <c r="Q18" s="5" t="inlineStr">
        <is>
          <t>Alt text verified: Owl night quilt detail panel</t>
        </is>
      </c>
    </row>
    <row r="19">
      <c r="A19" s="2" t="inlineStr">
        <is>
          <t>IMGQA-018</t>
        </is>
      </c>
      <c r="B19" s="5" t="inlineStr">
        <is>
          <t>jeminise.com+owl-patchwork-pattern-quilt-set-animals-quilt-set-style-owl-nights</t>
        </is>
      </c>
      <c r="C19" s="5" t="inlineStr">
        <is>
          <t>owl-patchwork-pattern-quilt-set-animals-quilt-set-style-owl-nights</t>
        </is>
      </c>
      <c r="D19" s="4" t="n">
        <v>4</v>
      </c>
      <c r="E19" s="2" t="inlineStr">
        <is>
          <t>47933462970567</t>
        </is>
      </c>
      <c r="F19" s="5" t="inlineStr">
        <is>
          <t>https://cdn.shopify.com/s/files/1/0792/5098/1063/files/ce286ca93c0b88510ca875a37e7b75b32cb61e52da352d95c54cd2628b51fbf3.jpg?v=1787233687</t>
        </is>
      </c>
      <c r="G19" s="2" t="inlineStr">
        <is>
          <t>images\163_04.jpg</t>
        </is>
      </c>
      <c r="H19" s="5" t="inlineStr">
        <is>
          <t>b615dcc136fa994b3f17ae5605c0231562540af45a710706609a5e7f0decb471</t>
        </is>
      </c>
      <c r="I19" s="2" t="inlineStr">
        <is>
          <t>1200x1200</t>
        </is>
      </c>
      <c r="J19" s="4" t="n">
        <v>40</v>
      </c>
      <c r="K19" s="4" t="n">
        <v>30</v>
      </c>
      <c r="L19" s="4" t="n">
        <v>20</v>
      </c>
      <c r="M19" s="4" t="n">
        <v>10</v>
      </c>
      <c r="N19" s="3">
        <f>SUM(J19:M19)</f>
        <v/>
      </c>
      <c r="O19" s="3">
        <f>IF(N19&gt;=85,"PASS",IF(N19&gt;=70,"REVISE","FAIL"))</f>
        <v/>
      </c>
      <c r="P19" s="5" t="inlineStr">
        <is>
          <t>Direct visual review verified: Precision stitching panel showing owl, branch and blue gold patchwork close-ups.</t>
        </is>
      </c>
      <c r="Q19" s="5" t="inlineStr">
        <is>
          <t>Alt text verified: Owl patchwork quilt stitching panel</t>
        </is>
      </c>
    </row>
    <row r="20">
      <c r="A20" s="2" t="inlineStr">
        <is>
          <t>IMGQA-019</t>
        </is>
      </c>
      <c r="B20" s="5" t="inlineStr">
        <is>
          <t>jeminise.com+owl-patchwork-pattern-quilt-set-animals-quilt-set-style-owl-nights</t>
        </is>
      </c>
      <c r="C20" s="5" t="inlineStr">
        <is>
          <t>owl-patchwork-pattern-quilt-set-animals-quilt-set-style-owl-nights</t>
        </is>
      </c>
      <c r="D20" s="4" t="n">
        <v>5</v>
      </c>
      <c r="E20" s="2" t="inlineStr">
        <is>
          <t>47933463003335</t>
        </is>
      </c>
      <c r="F20" s="5" t="inlineStr">
        <is>
          <t>https://cdn.shopify.com/s/files/1/0792/5098/1063/files/dac8033ccef3e1ff953003c53d9a62b59fa1e74b2ab002ec0c056348688e6569.jpg?v=1787233688</t>
        </is>
      </c>
      <c r="G20" s="2" t="inlineStr">
        <is>
          <t>images\163_05.jpg</t>
        </is>
      </c>
      <c r="H20" s="5" t="inlineStr">
        <is>
          <t>d92dacf13e1acdf944a6cf3810c5348eac95a8413d0b3131929b0d3fa724e40b</t>
        </is>
      </c>
      <c r="I20" s="2" t="inlineStr">
        <is>
          <t>1200x1200</t>
        </is>
      </c>
      <c r="J20" s="4" t="n">
        <v>40</v>
      </c>
      <c r="K20" s="4" t="n">
        <v>30</v>
      </c>
      <c r="L20" s="4" t="n">
        <v>20</v>
      </c>
      <c r="M20" s="4" t="n">
        <v>10</v>
      </c>
      <c r="N20" s="3">
        <f>SUM(J20:M20)</f>
        <v/>
      </c>
      <c r="O20" s="3">
        <f>IF(N20&gt;=85,"PASS",IF(N20&gt;=70,"REVISE","FAIL"))</f>
        <v/>
      </c>
      <c r="P20" s="5" t="inlineStr">
        <is>
          <t>Direct visual review verified: Layer panel showing microfiber woven top, filling microfiber and back microfiber.</t>
        </is>
      </c>
      <c r="Q20" s="5" t="inlineStr">
        <is>
          <t>Alt text verified: Owl quilt microfiber layer panel</t>
        </is>
      </c>
    </row>
    <row r="21">
      <c r="A21" s="2" t="inlineStr">
        <is>
          <t>IMGQA-020</t>
        </is>
      </c>
      <c r="B21" s="5" t="inlineStr">
        <is>
          <t>jeminise.com+owl-patchwork-pattern-quilt-set-animals-quilt-set-style-owl-nights</t>
        </is>
      </c>
      <c r="C21" s="5" t="inlineStr">
        <is>
          <t>owl-patchwork-pattern-quilt-set-animals-quilt-set-style-owl-nights</t>
        </is>
      </c>
      <c r="D21" s="4" t="n">
        <v>6</v>
      </c>
      <c r="E21" s="2" t="inlineStr">
        <is>
          <t>47933463036103</t>
        </is>
      </c>
      <c r="F21" s="5" t="inlineStr">
        <is>
          <t>https://cdn.shopify.com/s/files/1/0792/5098/1063/files/f095089ab7e2322f9d282beb998fa6a7ca93bd23ffea553618ab9ab073cac9e5.jpg?v=1787233687</t>
        </is>
      </c>
      <c r="G21" s="2" t="inlineStr">
        <is>
          <t>images\163_06.jpg</t>
        </is>
      </c>
      <c r="H21" s="5" t="inlineStr">
        <is>
          <t>710952b45ac0519ada1619af79a25569674fb331f17f6cfd1aba7ee5820193d9</t>
        </is>
      </c>
      <c r="I21" s="2" t="inlineStr">
        <is>
          <t>1200x1200</t>
        </is>
      </c>
      <c r="J21" s="4" t="n">
        <v>40</v>
      </c>
      <c r="K21" s="4" t="n">
        <v>30</v>
      </c>
      <c r="L21" s="4" t="n">
        <v>20</v>
      </c>
      <c r="M21" s="4" t="n">
        <v>10</v>
      </c>
      <c r="N21" s="3">
        <f>SUM(J21:M21)</f>
        <v/>
      </c>
      <c r="O21" s="3">
        <f>IF(N21&gt;=85,"PASS",IF(N21&gt;=70,"REVISE","FAIL"))</f>
        <v/>
      </c>
      <c r="P21" s="5" t="inlineStr">
        <is>
          <t>Direct visual review verified: Premium quilt set size chart showing available bed sizes and measurements.</t>
        </is>
      </c>
      <c r="Q21" s="5" t="inlineStr">
        <is>
          <t>Alt text verified: Quilt set size chart for blue gold owl moon patchwork quilt set</t>
        </is>
      </c>
    </row>
    <row r="22">
      <c r="A22" s="2" t="inlineStr">
        <is>
          <t>IMGQA-021</t>
        </is>
      </c>
      <c r="B22" s="5" t="inlineStr">
        <is>
          <t>jeminise.com+owl-patchwork-pattern-quilt-set-animals-quilt-set-style-owl-nights</t>
        </is>
      </c>
      <c r="C22" s="5" t="inlineStr">
        <is>
          <t>owl-patchwork-pattern-quilt-set-animals-quilt-set-style-owl-nights</t>
        </is>
      </c>
      <c r="D22" s="4" t="n">
        <v>7</v>
      </c>
      <c r="E22" s="2" t="inlineStr">
        <is>
          <t>47933463068871</t>
        </is>
      </c>
      <c r="F22" s="5" t="inlineStr">
        <is>
          <t>https://cdn.shopify.com/s/files/1/0792/5098/1063/files/4274176e594f473f9f9517f8df32a36888e067f66081c7c7ac33d02f839dab17.jpg?v=1787233688</t>
        </is>
      </c>
      <c r="G22" s="2" t="inlineStr">
        <is>
          <t>images\163_07.jpg</t>
        </is>
      </c>
      <c r="H22" s="5" t="inlineStr">
        <is>
          <t>00cf78036b9e5271dd88006bf314163d333fb2e7ec5f2e0af6ec0081fcf720c9</t>
        </is>
      </c>
      <c r="I22" s="2" t="inlineStr">
        <is>
          <t>1200x1200</t>
        </is>
      </c>
      <c r="J22" s="4" t="n">
        <v>40</v>
      </c>
      <c r="K22" s="4" t="n">
        <v>30</v>
      </c>
      <c r="L22" s="4" t="n">
        <v>20</v>
      </c>
      <c r="M22" s="4" t="n">
        <v>10</v>
      </c>
      <c r="N22" s="3">
        <f>SUM(J22:M22)</f>
        <v/>
      </c>
      <c r="O22" s="3">
        <f>IF(N22&gt;=85,"PASS",IF(N22&gt;=70,"REVISE","FAIL"))</f>
        <v/>
      </c>
      <c r="P22" s="5" t="inlineStr">
        <is>
          <t>Direct visual review verified: Fabric detail panel showing owl night print and quilt surface close-ups.</t>
        </is>
      </c>
      <c r="Q22" s="5" t="inlineStr">
        <is>
          <t>Alt text verified: Blue gold owl quilt fabric panel</t>
        </is>
      </c>
    </row>
    <row r="23">
      <c r="A23" s="2" t="inlineStr">
        <is>
          <t>IMGQA-022</t>
        </is>
      </c>
      <c r="B23" s="5" t="inlineStr">
        <is>
          <t>jeminise.com+pamnest-twin-halloween-comforter-set-with-sheets-5-pieces-design-01</t>
        </is>
      </c>
      <c r="C23" s="5" t="inlineStr">
        <is>
          <t>pamnest-twin-halloween-comforter-set-with-sheets-5-pieces-design-01</t>
        </is>
      </c>
      <c r="D23" s="4" t="n">
        <v>1</v>
      </c>
      <c r="E23" s="2" t="inlineStr">
        <is>
          <t>48066073723079</t>
        </is>
      </c>
      <c r="F23" s="5" t="inlineStr">
        <is>
          <t>https://cdn.shopify.com/s/files/1/0792/5098/1063/files/78a96e41092763591645a0417450b0227ec7a4e31e21df8a327fb2d2f9428605.jpg?v=1787936155</t>
        </is>
      </c>
      <c r="G23" s="2" t="inlineStr">
        <is>
          <t>images\164_01.jpg</t>
        </is>
      </c>
      <c r="H23" s="5" t="inlineStr">
        <is>
          <t>59f9ce932cc72779824f9ed62af8e2e390df8c0fbc9f6e8e485de0b13eeb8796</t>
        </is>
      </c>
      <c r="I23" s="2" t="inlineStr">
        <is>
          <t>1500x1500</t>
        </is>
      </c>
      <c r="J23" s="4" t="n">
        <v>40</v>
      </c>
      <c r="K23" s="4" t="n">
        <v>30</v>
      </c>
      <c r="L23" s="4" t="n">
        <v>20</v>
      </c>
      <c r="M23" s="4" t="n">
        <v>10</v>
      </c>
      <c r="N23" s="3">
        <f>SUM(J23:M23)</f>
        <v/>
      </c>
      <c r="O23" s="3">
        <f>IF(N23&gt;=85,"PASS",IF(N23&gt;=70,"REVISE","FAIL"))</f>
        <v/>
      </c>
      <c r="P23" s="5" t="inlineStr">
        <is>
          <t>Direct visual review verified: Bedroom mockup of black white witch moon Halloween comforter set with bats and pumpkins.</t>
        </is>
      </c>
      <c r="Q23" s="5" t="inlineStr">
        <is>
          <t>Alt text verified: Witch moon Halloween comforter set</t>
        </is>
      </c>
    </row>
    <row r="24">
      <c r="A24" s="2" t="inlineStr">
        <is>
          <t>IMGQA-023</t>
        </is>
      </c>
      <c r="B24" s="5" t="inlineStr">
        <is>
          <t>jeminise.com+pamnest-twin-halloween-comforter-set-with-sheets-5-pieces-design-01</t>
        </is>
      </c>
      <c r="C24" s="5" t="inlineStr">
        <is>
          <t>pamnest-twin-halloween-comforter-set-with-sheets-5-pieces-design-01</t>
        </is>
      </c>
      <c r="D24" s="4" t="n">
        <v>2</v>
      </c>
      <c r="E24" s="2" t="inlineStr">
        <is>
          <t>48066073886919</t>
        </is>
      </c>
      <c r="F24" s="5" t="inlineStr">
        <is>
          <t>https://cdn.shopify.com/s/files/1/0792/5098/1063/files/8496cc324b64f4d38b8aec3e807b5b59dc024527330b8859a4ebd9c1c43313ff.jpg?v=1787936155</t>
        </is>
      </c>
      <c r="G24" s="2" t="inlineStr">
        <is>
          <t>images\164_02.jpg</t>
        </is>
      </c>
      <c r="H24" s="5" t="inlineStr">
        <is>
          <t>4f803658af079a482193712d6c061d8eae56e43cc4f9f0235c60961adb32bd28</t>
        </is>
      </c>
      <c r="I24" s="2" t="inlineStr">
        <is>
          <t>1500x1500</t>
        </is>
      </c>
      <c r="J24" s="4" t="n">
        <v>40</v>
      </c>
      <c r="K24" s="4" t="n">
        <v>30</v>
      </c>
      <c r="L24" s="4" t="n">
        <v>20</v>
      </c>
      <c r="M24" s="4" t="n">
        <v>10</v>
      </c>
      <c r="N24" s="3">
        <f>SUM(J24:M24)</f>
        <v/>
      </c>
      <c r="O24" s="3">
        <f>IF(N24&gt;=85,"PASS",IF(N24&gt;=70,"REVISE","FAIL"))</f>
        <v/>
      </c>
      <c r="P24" s="5" t="inlineStr">
        <is>
          <t>Direct visual review verified: Close-up of black comforter folded over white witch moon Halloween print.</t>
        </is>
      </c>
      <c r="Q24" s="5" t="inlineStr">
        <is>
          <t>Alt text verified: Witch Halloween comforter close-up</t>
        </is>
      </c>
    </row>
    <row r="25">
      <c r="A25" s="2" t="inlineStr">
        <is>
          <t>IMGQA-024</t>
        </is>
      </c>
      <c r="B25" s="5" t="inlineStr">
        <is>
          <t>jeminise.com+pamnest-twin-halloween-comforter-set-with-sheets-5-pieces-design-01</t>
        </is>
      </c>
      <c r="C25" s="5" t="inlineStr">
        <is>
          <t>pamnest-twin-halloween-comforter-set-with-sheets-5-pieces-design-01</t>
        </is>
      </c>
      <c r="D25" s="4" t="n">
        <v>3</v>
      </c>
      <c r="E25" s="2" t="inlineStr">
        <is>
          <t>48066073788615</t>
        </is>
      </c>
      <c r="F25" s="5" t="inlineStr">
        <is>
          <t>https://cdn.shopify.com/s/files/1/0792/5098/1063/files/3a0f47e9dcbafab9191ddf7aa843e8572e2cec872b35c6521dc7218921e61123.jpg?v=1787936155</t>
        </is>
      </c>
      <c r="G25" s="2" t="inlineStr">
        <is>
          <t>images\164_03.jpg</t>
        </is>
      </c>
      <c r="H25" s="5" t="inlineStr">
        <is>
          <t>0a9277b9f69b3581e7209f853d84d5c9c52a99449943839cca991c1adcee0220</t>
        </is>
      </c>
      <c r="I25" s="2" t="inlineStr">
        <is>
          <t>1500x1500</t>
        </is>
      </c>
      <c r="J25" s="4" t="n">
        <v>40</v>
      </c>
      <c r="K25" s="4" t="n">
        <v>30</v>
      </c>
      <c r="L25" s="4" t="n">
        <v>20</v>
      </c>
      <c r="M25" s="4" t="n">
        <v>10</v>
      </c>
      <c r="N25" s="3">
        <f>SUM(J25:M25)</f>
        <v/>
      </c>
      <c r="O25" s="3">
        <f>IF(N25&gt;=85,"PASS",IF(N25&gt;=70,"REVISE","FAIL"))</f>
        <v/>
      </c>
      <c r="P25" s="5" t="inlineStr">
        <is>
          <t>Direct visual review verified: Warm and cozy room mockup of witch moon Halloween bedding with pumpkins.</t>
        </is>
      </c>
      <c r="Q25" s="5" t="inlineStr">
        <is>
          <t>Alt text verified: Witch moon Halloween bedding room mockup</t>
        </is>
      </c>
    </row>
    <row r="26">
      <c r="A26" s="2" t="inlineStr">
        <is>
          <t>IMGQA-025</t>
        </is>
      </c>
      <c r="B26" s="5" t="inlineStr">
        <is>
          <t>jeminise.com+pamnest-twin-halloween-comforter-set-with-sheets-5-pieces-design-01</t>
        </is>
      </c>
      <c r="C26" s="5" t="inlineStr">
        <is>
          <t>pamnest-twin-halloween-comforter-set-with-sheets-5-pieces-design-01</t>
        </is>
      </c>
      <c r="D26" s="4" t="n">
        <v>4</v>
      </c>
      <c r="E26" s="2" t="inlineStr">
        <is>
          <t>48066073821383</t>
        </is>
      </c>
      <c r="F26" s="5" t="inlineStr">
        <is>
          <t>https://cdn.shopify.com/s/files/1/0792/5098/1063/files/1719f23b3d46b7c6722a21c797b77ed0780f9bbd492bf1c7f1046cc658013293.jpg?v=1787936155</t>
        </is>
      </c>
      <c r="G26" s="2" t="inlineStr">
        <is>
          <t>images\164_04.jpg</t>
        </is>
      </c>
      <c r="H26" s="5" t="inlineStr">
        <is>
          <t>4855da93ce563247b7a11b88d83c797c2178d8bac13fff546cf73ac7c5b007ad</t>
        </is>
      </c>
      <c r="I26" s="2" t="inlineStr">
        <is>
          <t>1500x1500</t>
        </is>
      </c>
      <c r="J26" s="4" t="n">
        <v>40</v>
      </c>
      <c r="K26" s="4" t="n">
        <v>30</v>
      </c>
      <c r="L26" s="4" t="n">
        <v>20</v>
      </c>
      <c r="M26" s="4" t="n">
        <v>10</v>
      </c>
      <c r="N26" s="3">
        <f>SUM(J26:M26)</f>
        <v/>
      </c>
      <c r="O26" s="3">
        <f>IF(N26&gt;=85,"PASS",IF(N26&gt;=70,"REVISE","FAIL"))</f>
        <v/>
      </c>
      <c r="P26" s="5" t="inlineStr">
        <is>
          <t>Direct visual review verified: Front bedroom mockup showing witch, moon, bats, pumpkins and HALLOWEEN text.</t>
        </is>
      </c>
      <c r="Q26" s="5" t="inlineStr">
        <is>
          <t>Alt text verified: Black white witch Halloween bedding</t>
        </is>
      </c>
    </row>
    <row r="27">
      <c r="A27" s="2" t="inlineStr">
        <is>
          <t>IMGQA-026</t>
        </is>
      </c>
      <c r="B27" s="5" t="inlineStr">
        <is>
          <t>jeminise.com+pamnest-twin-halloween-comforter-set-with-sheets-5-pieces-design-01</t>
        </is>
      </c>
      <c r="C27" s="5" t="inlineStr">
        <is>
          <t>pamnest-twin-halloween-comforter-set-with-sheets-5-pieces-design-01</t>
        </is>
      </c>
      <c r="D27" s="4" t="n">
        <v>5</v>
      </c>
      <c r="E27" s="2" t="inlineStr">
        <is>
          <t>48066073854151</t>
        </is>
      </c>
      <c r="F27" s="5" t="inlineStr">
        <is>
          <t>https://cdn.shopify.com/s/files/1/0792/5098/1063/files/f05b5b4966cbfbf6e7138bce62a10e8d53a6554d2095ee522f5577dc8f19de13.jpg?v=1787936155</t>
        </is>
      </c>
      <c r="G27" s="2" t="inlineStr">
        <is>
          <t>images\164_05.jpg</t>
        </is>
      </c>
      <c r="H27" s="5" t="inlineStr">
        <is>
          <t>809b3ecd83aed0caa2010656fe734b5ab8d96d036358cff86225c3d8b52bc2e3</t>
        </is>
      </c>
      <c r="I27" s="2" t="inlineStr">
        <is>
          <t>1500x1500</t>
        </is>
      </c>
      <c r="J27" s="4" t="n">
        <v>40</v>
      </c>
      <c r="K27" s="4" t="n">
        <v>30</v>
      </c>
      <c r="L27" s="4" t="n">
        <v>20</v>
      </c>
      <c r="M27" s="4" t="n">
        <v>10</v>
      </c>
      <c r="N27" s="3">
        <f>SUM(J27:M27)</f>
        <v/>
      </c>
      <c r="O27" s="3">
        <f>IF(N27&gt;=85,"PASS",IF(N27&gt;=70,"REVISE","FAIL"))</f>
        <v/>
      </c>
      <c r="P27" s="5" t="inlineStr">
        <is>
          <t>Direct visual review verified: Fitted sheet panel showing standard and deep mattress fit up to 14 inches.</t>
        </is>
      </c>
      <c r="Q27" s="5" t="inlineStr">
        <is>
          <t>Alt text verified: Fitted sheet deep mattress panel</t>
        </is>
      </c>
    </row>
    <row r="28">
      <c r="A28" s="2" t="inlineStr">
        <is>
          <t>IMGQA-027</t>
        </is>
      </c>
      <c r="B28" s="5" t="inlineStr">
        <is>
          <t>jeminise.com+pamnest-twin-halloween-comforter-set-with-sheets-5-pieces-design-01</t>
        </is>
      </c>
      <c r="C28" s="5" t="inlineStr">
        <is>
          <t>pamnest-twin-halloween-comforter-set-with-sheets-5-pieces-design-01</t>
        </is>
      </c>
      <c r="D28" s="4" t="n">
        <v>6</v>
      </c>
      <c r="E28" s="2" t="inlineStr">
        <is>
          <t>48066073919687</t>
        </is>
      </c>
      <c r="F28" s="5" t="inlineStr">
        <is>
          <t>https://cdn.shopify.com/s/files/1/0792/5098/1063/files/29f57080b218682bc1f4e3c223af89a66eef5bc96e3704046ce51202cb67c670.jpg?v=1787936155</t>
        </is>
      </c>
      <c r="G28" s="2" t="inlineStr">
        <is>
          <t>images\164_06.jpg</t>
        </is>
      </c>
      <c r="H28" s="5" t="inlineStr">
        <is>
          <t>f69c59022bc7b9805a0121c477c2fe253f7f2c3e1e1ac3ca6d8e60696962d4cb</t>
        </is>
      </c>
      <c r="I28" s="2" t="inlineStr">
        <is>
          <t>1500x1500</t>
        </is>
      </c>
      <c r="J28" s="4" t="n">
        <v>40</v>
      </c>
      <c r="K28" s="4" t="n">
        <v>30</v>
      </c>
      <c r="L28" s="4" t="n">
        <v>20</v>
      </c>
      <c r="M28" s="4" t="n">
        <v>10</v>
      </c>
      <c r="N28" s="3">
        <f>SUM(J28:M28)</f>
        <v/>
      </c>
      <c r="O28" s="3">
        <f>IF(N28&gt;=85,"PASS",IF(N28&gt;=70,"REVISE","FAIL"))</f>
        <v/>
      </c>
      <c r="P28" s="5" t="inlineStr">
        <is>
          <t>Direct visual review verified: Package include panel with witch moon Halloween bedding and size table.</t>
        </is>
      </c>
      <c r="Q28" s="5" t="inlineStr">
        <is>
          <t>Alt text verified: Witch Halloween comforter package panel</t>
        </is>
      </c>
    </row>
    <row r="29">
      <c r="A29" s="2" t="inlineStr">
        <is>
          <t>IMGQA-028</t>
        </is>
      </c>
      <c r="B29" s="5" t="inlineStr">
        <is>
          <t>jeminise.com+pamnest-twin-halloween-comforter-set-with-sheets-5-pieces-design-02</t>
        </is>
      </c>
      <c r="C29" s="5" t="inlineStr">
        <is>
          <t>pamnest-twin-halloween-comforter-set-with-sheets-5-pieces-design-02</t>
        </is>
      </c>
      <c r="D29" s="4" t="n">
        <v>1</v>
      </c>
      <c r="E29" s="2" t="inlineStr">
        <is>
          <t>48066074017991</t>
        </is>
      </c>
      <c r="F29" s="5" t="inlineStr">
        <is>
          <t>https://cdn.shopify.com/s/files/1/0792/5098/1063/files/33827958b0d3465c97d89ef8a7a7e67a7aa5b22c8c0c87d5a26f80b5c0d5fd2b.jpg?v=1787936172</t>
        </is>
      </c>
      <c r="G29" s="2" t="inlineStr">
        <is>
          <t>images\165_01.jpg</t>
        </is>
      </c>
      <c r="H29" s="5" t="inlineStr">
        <is>
          <t>f794d64cb86ccf057a4ac42a151be64d0f35435847aa8c1a51cd37ca683da223</t>
        </is>
      </c>
      <c r="I29" s="2" t="inlineStr">
        <is>
          <t>1500x1500</t>
        </is>
      </c>
      <c r="J29" s="4" t="n">
        <v>40</v>
      </c>
      <c r="K29" s="4" t="n">
        <v>30</v>
      </c>
      <c r="L29" s="4" t="n">
        <v>20</v>
      </c>
      <c r="M29" s="4" t="n">
        <v>10</v>
      </c>
      <c r="N29" s="3">
        <f>SUM(J29:M29)</f>
        <v/>
      </c>
      <c r="O29" s="3">
        <f>IF(N29&gt;=85,"PASS",IF(N29&gt;=70,"REVISE","FAIL"))</f>
        <v/>
      </c>
      <c r="P29" s="5" t="inlineStr">
        <is>
          <t>Direct visual review verified: Bedroom mockup of dark blue ghost pumpkin Halloween comforter set with matching pillows.</t>
        </is>
      </c>
      <c r="Q29" s="5" t="inlineStr">
        <is>
          <t>Alt text verified: Ghost pumpkin Halloween comforter set</t>
        </is>
      </c>
    </row>
    <row r="30">
      <c r="A30" s="2" t="inlineStr">
        <is>
          <t>IMGQA-029</t>
        </is>
      </c>
      <c r="B30" s="5" t="inlineStr">
        <is>
          <t>jeminise.com+pamnest-twin-halloween-comforter-set-with-sheets-5-pieces-design-02</t>
        </is>
      </c>
      <c r="C30" s="5" t="inlineStr">
        <is>
          <t>pamnest-twin-halloween-comforter-set-with-sheets-5-pieces-design-02</t>
        </is>
      </c>
      <c r="D30" s="4" t="n">
        <v>2</v>
      </c>
      <c r="E30" s="2" t="inlineStr">
        <is>
          <t>48066074181831</t>
        </is>
      </c>
      <c r="F30" s="5" t="inlineStr">
        <is>
          <t>https://cdn.shopify.com/s/files/1/0792/5098/1063/files/fdc074927f13099e3ddba121f8393f7840633627dc879650a5a8ea085bd8febe.jpg?v=1787936172</t>
        </is>
      </c>
      <c r="G30" s="2" t="inlineStr">
        <is>
          <t>images\165_02.jpg</t>
        </is>
      </c>
      <c r="H30" s="5" t="inlineStr">
        <is>
          <t>399c400eb9b68ea81dc264bd6e9675c2e9ba92c1dd96b8702fd3b08859facf77</t>
        </is>
      </c>
      <c r="I30" s="2" t="inlineStr">
        <is>
          <t>1500x1500</t>
        </is>
      </c>
      <c r="J30" s="4" t="n">
        <v>40</v>
      </c>
      <c r="K30" s="4" t="n">
        <v>30</v>
      </c>
      <c r="L30" s="4" t="n">
        <v>20</v>
      </c>
      <c r="M30" s="4" t="n">
        <v>10</v>
      </c>
      <c r="N30" s="3">
        <f>SUM(J30:M30)</f>
        <v/>
      </c>
      <c r="O30" s="3">
        <f>IF(N30&gt;=85,"PASS",IF(N30&gt;=70,"REVISE","FAIL"))</f>
        <v/>
      </c>
      <c r="P30" s="5" t="inlineStr">
        <is>
          <t>Direct visual review verified: Close-up of dark blue ghost pumpkin bedding pattern with spiderwebs and bats.</t>
        </is>
      </c>
      <c r="Q30" s="5" t="inlineStr">
        <is>
          <t>Alt text verified: Ghost pumpkin comforter close-up</t>
        </is>
      </c>
    </row>
    <row r="31">
      <c r="A31" s="2" t="inlineStr">
        <is>
          <t>IMGQA-030</t>
        </is>
      </c>
      <c r="B31" s="5" t="inlineStr">
        <is>
          <t>jeminise.com+pamnest-twin-halloween-comforter-set-with-sheets-5-pieces-design-02</t>
        </is>
      </c>
      <c r="C31" s="5" t="inlineStr">
        <is>
          <t>pamnest-twin-halloween-comforter-set-with-sheets-5-pieces-design-02</t>
        </is>
      </c>
      <c r="D31" s="4" t="n">
        <v>3</v>
      </c>
      <c r="E31" s="2" t="inlineStr">
        <is>
          <t>48066074116295</t>
        </is>
      </c>
      <c r="F31" s="5" t="inlineStr">
        <is>
          <t>https://cdn.shopify.com/s/files/1/0792/5098/1063/files/a18c5a71570f28636f9f2ca9d6b8130fc7d60bcb88cb88d9623b134efc54b9e5.jpg?v=1787936172</t>
        </is>
      </c>
      <c r="G31" s="2" t="inlineStr">
        <is>
          <t>images\165_03.jpg</t>
        </is>
      </c>
      <c r="H31" s="5" t="inlineStr">
        <is>
          <t>32562713983326e48546ccf1788f2130777b6841fb88f605dfa279276f501bc9</t>
        </is>
      </c>
      <c r="I31" s="2" t="inlineStr">
        <is>
          <t>1500x1500</t>
        </is>
      </c>
      <c r="J31" s="4" t="n">
        <v>40</v>
      </c>
      <c r="K31" s="4" t="n">
        <v>30</v>
      </c>
      <c r="L31" s="4" t="n">
        <v>20</v>
      </c>
      <c r="M31" s="4" t="n">
        <v>10</v>
      </c>
      <c r="N31" s="3">
        <f>SUM(J31:M31)</f>
        <v/>
      </c>
      <c r="O31" s="3">
        <f>IF(N31&gt;=85,"PASS",IF(N31&gt;=70,"REVISE","FAIL"))</f>
        <v/>
      </c>
      <c r="P31" s="5" t="inlineStr">
        <is>
          <t>Direct visual review verified: Warm and cozy room mockup of dark blue Halloween bedding with ghosts and pumpkins.</t>
        </is>
      </c>
      <c r="Q31" s="5" t="inlineStr">
        <is>
          <t>Alt text verified: Dark blue Halloween bedding room mockup</t>
        </is>
      </c>
    </row>
    <row r="32">
      <c r="A32" s="2" t="inlineStr">
        <is>
          <t>IMGQA-031</t>
        </is>
      </c>
      <c r="B32" s="5" t="inlineStr">
        <is>
          <t>jeminise.com+pamnest-twin-halloween-comforter-set-with-sheets-5-pieces-design-02</t>
        </is>
      </c>
      <c r="C32" s="5" t="inlineStr">
        <is>
          <t>pamnest-twin-halloween-comforter-set-with-sheets-5-pieces-design-02</t>
        </is>
      </c>
      <c r="D32" s="4" t="n">
        <v>4</v>
      </c>
      <c r="E32" s="2" t="inlineStr">
        <is>
          <t>48066074149063</t>
        </is>
      </c>
      <c r="F32" s="5" t="inlineStr">
        <is>
          <t>https://cdn.shopify.com/s/files/1/0792/5098/1063/files/1a110cdeb4611bb06dc73025e19e092ef38bf550ce9870452a33b81728254f09.jpg?v=1787936172</t>
        </is>
      </c>
      <c r="G32" s="2" t="inlineStr">
        <is>
          <t>images\165_04.jpg</t>
        </is>
      </c>
      <c r="H32" s="5" t="inlineStr">
        <is>
          <t>525ef40045c3c9204b012715ae6253fa93d21236f6e34ca139273a29605414d9</t>
        </is>
      </c>
      <c r="I32" s="2" t="inlineStr">
        <is>
          <t>1500x1500</t>
        </is>
      </c>
      <c r="J32" s="4" t="n">
        <v>40</v>
      </c>
      <c r="K32" s="4" t="n">
        <v>30</v>
      </c>
      <c r="L32" s="4" t="n">
        <v>20</v>
      </c>
      <c r="M32" s="4" t="n">
        <v>10</v>
      </c>
      <c r="N32" s="3">
        <f>SUM(J32:M32)</f>
        <v/>
      </c>
      <c r="O32" s="3">
        <f>IF(N32&gt;=85,"PASS",IF(N32&gt;=70,"REVISE","FAIL"))</f>
        <v/>
      </c>
      <c r="P32" s="5" t="inlineStr">
        <is>
          <t>Direct visual review verified: Fitted sheet panel showing standard and deep mattress fit up to 14 inches.</t>
        </is>
      </c>
      <c r="Q32" s="5" t="inlineStr">
        <is>
          <t>Alt text verified: Fitted sheet deep mattress panel for dark blue ghost pumpkin Halloween comforter set</t>
        </is>
      </c>
    </row>
    <row r="33">
      <c r="A33" s="2" t="inlineStr">
        <is>
          <t>IMGQA-032</t>
        </is>
      </c>
      <c r="B33" s="5" t="inlineStr">
        <is>
          <t>jeminise.com+pamnest-twin-halloween-comforter-set-with-sheets-5-pieces-design-02</t>
        </is>
      </c>
      <c r="C33" s="5" t="inlineStr">
        <is>
          <t>pamnest-twin-halloween-comforter-set-with-sheets-5-pieces-design-02</t>
        </is>
      </c>
      <c r="D33" s="4" t="n">
        <v>5</v>
      </c>
      <c r="E33" s="2" t="inlineStr">
        <is>
          <t>48066074214599</t>
        </is>
      </c>
      <c r="F33" s="5" t="inlineStr">
        <is>
          <t>https://cdn.shopify.com/s/files/1/0792/5098/1063/files/c103177b56d556545ef05a48d27d56626a4330b91a8a965b093c8a601908e1c2.jpg?v=1787936172</t>
        </is>
      </c>
      <c r="G33" s="2" t="inlineStr">
        <is>
          <t>images\165_05.jpg</t>
        </is>
      </c>
      <c r="H33" s="5" t="inlineStr">
        <is>
          <t>36d5405e2f499c34f3814de4e074a2c23a52dc100034ca495e4bdb9e48b03108</t>
        </is>
      </c>
      <c r="I33" s="2" t="inlineStr">
        <is>
          <t>1500x1500</t>
        </is>
      </c>
      <c r="J33" s="4" t="n">
        <v>40</v>
      </c>
      <c r="K33" s="4" t="n">
        <v>30</v>
      </c>
      <c r="L33" s="4" t="n">
        <v>20</v>
      </c>
      <c r="M33" s="4" t="n">
        <v>10</v>
      </c>
      <c r="N33" s="3">
        <f>SUM(J33:M33)</f>
        <v/>
      </c>
      <c r="O33" s="3">
        <f>IF(N33&gt;=85,"PASS",IF(N33&gt;=70,"REVISE","FAIL"))</f>
        <v/>
      </c>
      <c r="P33" s="5" t="inlineStr">
        <is>
          <t>Direct visual review verified: Package include panel with ghost pumpkin Halloween bedding and size table.</t>
        </is>
      </c>
      <c r="Q33" s="5" t="inlineStr">
        <is>
          <t>Alt text verified: Ghost pumpkin comforter package panel</t>
        </is>
      </c>
    </row>
    <row r="34">
      <c r="A34" s="2" t="inlineStr">
        <is>
          <t>IMGQA-033</t>
        </is>
      </c>
      <c r="B34" s="5" t="inlineStr">
        <is>
          <t>jeminise.com+pamnest-twin-halloween-comforter-set-with-sheets-5-pieces-design-03</t>
        </is>
      </c>
      <c r="C34" s="5" t="inlineStr">
        <is>
          <t>pamnest-twin-halloween-comforter-set-with-sheets-5-pieces-design-03</t>
        </is>
      </c>
      <c r="D34" s="4" t="n">
        <v>1</v>
      </c>
      <c r="E34" s="2" t="inlineStr">
        <is>
          <t>48066075492551</t>
        </is>
      </c>
      <c r="F34" s="5" t="inlineStr">
        <is>
          <t>https://cdn.shopify.com/s/files/1/0792/5098/1063/files/a04eaaab4fb68dc7448e32b7978cec1d481af7cf4430a3f72b91574bcb94ba65.jpg?v=1787936250</t>
        </is>
      </c>
      <c r="G34" s="2" t="inlineStr">
        <is>
          <t>images\166_01.jpg</t>
        </is>
      </c>
      <c r="H34" s="5" t="inlineStr">
        <is>
          <t>4ced04fd0e11ac29ca9dd346b7344f3eaa7ea015379c0feb91753e12250ed927</t>
        </is>
      </c>
      <c r="I34" s="2" t="inlineStr">
        <is>
          <t>1500x1500</t>
        </is>
      </c>
      <c r="J34" s="4" t="n">
        <v>40</v>
      </c>
      <c r="K34" s="4" t="n">
        <v>30</v>
      </c>
      <c r="L34" s="4" t="n">
        <v>20</v>
      </c>
      <c r="M34" s="4" t="n">
        <v>10</v>
      </c>
      <c r="N34" s="3">
        <f>SUM(J34:M34)</f>
        <v/>
      </c>
      <c r="O34" s="3">
        <f>IF(N34&gt;=85,"PASS",IF(N34&gt;=70,"REVISE","FAIL"))</f>
        <v/>
      </c>
      <c r="P34" s="5" t="inlineStr">
        <is>
          <t>Direct visual review verified: Bedroom mockup of black Halloween comforter set covered with white ghost faces.</t>
        </is>
      </c>
      <c r="Q34" s="5" t="inlineStr">
        <is>
          <t>Alt text verified: Black ghost Halloween comforter set</t>
        </is>
      </c>
    </row>
    <row r="35">
      <c r="A35" s="2" t="inlineStr">
        <is>
          <t>IMGQA-034</t>
        </is>
      </c>
      <c r="B35" s="5" t="inlineStr">
        <is>
          <t>jeminise.com+pamnest-twin-halloween-comforter-set-with-sheets-5-pieces-design-03</t>
        </is>
      </c>
      <c r="C35" s="5" t="inlineStr">
        <is>
          <t>pamnest-twin-halloween-comforter-set-with-sheets-5-pieces-design-03</t>
        </is>
      </c>
      <c r="D35" s="4" t="n">
        <v>2</v>
      </c>
      <c r="E35" s="2" t="inlineStr">
        <is>
          <t>48066075656391</t>
        </is>
      </c>
      <c r="F35" s="5" t="inlineStr">
        <is>
          <t>https://cdn.shopify.com/s/files/1/0792/5098/1063/files/31e8acfdca6c14ff3d16e962bde60baf0db1133fec8c67e2bf4325a3a7d561c1.jpg?v=1787936250</t>
        </is>
      </c>
      <c r="G35" s="2" t="inlineStr">
        <is>
          <t>images\166_02.jpg</t>
        </is>
      </c>
      <c r="H35" s="5" t="inlineStr">
        <is>
          <t>d326c600a022b75b25256e5bd255c554285c90be2b30268765cd824d8aed7a6c</t>
        </is>
      </c>
      <c r="I35" s="2" t="inlineStr">
        <is>
          <t>1500x1500</t>
        </is>
      </c>
      <c r="J35" s="4" t="n">
        <v>40</v>
      </c>
      <c r="K35" s="4" t="n">
        <v>30</v>
      </c>
      <c r="L35" s="4" t="n">
        <v>20</v>
      </c>
      <c r="M35" s="4" t="n">
        <v>10</v>
      </c>
      <c r="N35" s="3">
        <f>SUM(J35:M35)</f>
        <v/>
      </c>
      <c r="O35" s="3">
        <f>IF(N35&gt;=85,"PASS",IF(N35&gt;=70,"REVISE","FAIL"))</f>
        <v/>
      </c>
      <c r="P35" s="5" t="inlineStr">
        <is>
          <t>Direct visual review verified: Close-up of black comforter folded over repeated white ghost pattern.</t>
        </is>
      </c>
      <c r="Q35" s="5" t="inlineStr">
        <is>
          <t>Alt text verified: Black ghost comforter close-up</t>
        </is>
      </c>
    </row>
    <row r="36">
      <c r="A36" s="2" t="inlineStr">
        <is>
          <t>IMGQA-035</t>
        </is>
      </c>
      <c r="B36" s="5" t="inlineStr">
        <is>
          <t>jeminise.com+pamnest-twin-halloween-comforter-set-with-sheets-5-pieces-design-03</t>
        </is>
      </c>
      <c r="C36" s="5" t="inlineStr">
        <is>
          <t>pamnest-twin-halloween-comforter-set-with-sheets-5-pieces-design-03</t>
        </is>
      </c>
      <c r="D36" s="4" t="n">
        <v>3</v>
      </c>
      <c r="E36" s="2" t="inlineStr">
        <is>
          <t>48066075558087</t>
        </is>
      </c>
      <c r="F36" s="5" t="inlineStr">
        <is>
          <t>https://cdn.shopify.com/s/files/1/0792/5098/1063/files/e96376384911eb815950bd49399e4d932894d33483e6a2657a308a3f851871b2.jpg?v=1787936250</t>
        </is>
      </c>
      <c r="G36" s="2" t="inlineStr">
        <is>
          <t>images\166_03.jpg</t>
        </is>
      </c>
      <c r="H36" s="5" t="inlineStr">
        <is>
          <t>79006c482da00c84e8f16e9c2def39f0d7d41f3c5193e2c40d496f8f98ce33ad</t>
        </is>
      </c>
      <c r="I36" s="2" t="inlineStr">
        <is>
          <t>1500x1500</t>
        </is>
      </c>
      <c r="J36" s="4" t="n">
        <v>40</v>
      </c>
      <c r="K36" s="4" t="n">
        <v>30</v>
      </c>
      <c r="L36" s="4" t="n">
        <v>20</v>
      </c>
      <c r="M36" s="4" t="n">
        <v>10</v>
      </c>
      <c r="N36" s="3">
        <f>SUM(J36:M36)</f>
        <v/>
      </c>
      <c r="O36" s="3">
        <f>IF(N36&gt;=85,"PASS",IF(N36&gt;=70,"REVISE","FAIL"))</f>
        <v/>
      </c>
      <c r="P36" s="5" t="inlineStr">
        <is>
          <t>Direct visual review verified: Warm and cozy room mockup of black white ghost Halloween bedding.</t>
        </is>
      </c>
      <c r="Q36" s="5" t="inlineStr">
        <is>
          <t>Alt text verified: Black white ghost Halloween bedding</t>
        </is>
      </c>
    </row>
    <row r="37">
      <c r="A37" s="2" t="inlineStr">
        <is>
          <t>IMGQA-036</t>
        </is>
      </c>
      <c r="B37" s="5" t="inlineStr">
        <is>
          <t>jeminise.com+pamnest-twin-halloween-comforter-set-with-sheets-5-pieces-design-03</t>
        </is>
      </c>
      <c r="C37" s="5" t="inlineStr">
        <is>
          <t>pamnest-twin-halloween-comforter-set-with-sheets-5-pieces-design-03</t>
        </is>
      </c>
      <c r="D37" s="4" t="n">
        <v>4</v>
      </c>
      <c r="E37" s="2" t="inlineStr">
        <is>
          <t>48066075590855</t>
        </is>
      </c>
      <c r="F37" s="5" t="inlineStr">
        <is>
          <t>https://cdn.shopify.com/s/files/1/0792/5098/1063/files/ac42bb85dc2b37a8d6b9f4d966756ea755486c3f61c156cf8759fda5147a0335.jpg?v=1787936250</t>
        </is>
      </c>
      <c r="G37" s="2" t="inlineStr">
        <is>
          <t>images\166_04.jpg</t>
        </is>
      </c>
      <c r="H37" s="5" t="inlineStr">
        <is>
          <t>16b7259e23d701c2508e55ab93ae1582bcb6dd56371c0df75646c96856171d73</t>
        </is>
      </c>
      <c r="I37" s="2" t="inlineStr">
        <is>
          <t>1500x1500</t>
        </is>
      </c>
      <c r="J37" s="4" t="n">
        <v>40</v>
      </c>
      <c r="K37" s="4" t="n">
        <v>30</v>
      </c>
      <c r="L37" s="4" t="n">
        <v>20</v>
      </c>
      <c r="M37" s="4" t="n">
        <v>10</v>
      </c>
      <c r="N37" s="3">
        <f>SUM(J37:M37)</f>
        <v/>
      </c>
      <c r="O37" s="3">
        <f>IF(N37&gt;=85,"PASS",IF(N37&gt;=70,"REVISE","FAIL"))</f>
        <v/>
      </c>
      <c r="P37" s="5" t="inlineStr">
        <is>
          <t>Direct visual review verified: Front bedroom mockup showing black ghost comforter and matching pillow pattern.</t>
        </is>
      </c>
      <c r="Q37" s="5" t="inlineStr">
        <is>
          <t>Alt text verified: White ghost bedding set front view</t>
        </is>
      </c>
    </row>
    <row r="38">
      <c r="A38" s="2" t="inlineStr">
        <is>
          <t>IMGQA-037</t>
        </is>
      </c>
      <c r="B38" s="5" t="inlineStr">
        <is>
          <t>jeminise.com+pamnest-twin-halloween-comforter-set-with-sheets-5-pieces-design-03</t>
        </is>
      </c>
      <c r="C38" s="5" t="inlineStr">
        <is>
          <t>pamnest-twin-halloween-comforter-set-with-sheets-5-pieces-design-03</t>
        </is>
      </c>
      <c r="D38" s="4" t="n">
        <v>5</v>
      </c>
      <c r="E38" s="2" t="inlineStr">
        <is>
          <t>48066075623623</t>
        </is>
      </c>
      <c r="F38" s="5" t="inlineStr">
        <is>
          <t>https://cdn.shopify.com/s/files/1/0792/5098/1063/files/f05b5b4966cbfbf6e7138bce62a10e8d53a6554d2095ee522f5577dc8f19de13_92bf2ffb-7887-4b37-986c-9db117295eff.jpg?v=1787936250</t>
        </is>
      </c>
      <c r="G38" s="2" t="inlineStr">
        <is>
          <t>images\166_05.jpg</t>
        </is>
      </c>
      <c r="H38" s="5" t="inlineStr">
        <is>
          <t>809b3ecd83aed0caa2010656fe734b5ab8d96d036358cff86225c3d8b52bc2e3</t>
        </is>
      </c>
      <c r="I38" s="2" t="inlineStr">
        <is>
          <t>1500x1500</t>
        </is>
      </c>
      <c r="J38" s="4" t="n">
        <v>40</v>
      </c>
      <c r="K38" s="4" t="n">
        <v>30</v>
      </c>
      <c r="L38" s="4" t="n">
        <v>20</v>
      </c>
      <c r="M38" s="4" t="n">
        <v>10</v>
      </c>
      <c r="N38" s="3">
        <f>SUM(J38:M38)</f>
        <v/>
      </c>
      <c r="O38" s="3">
        <f>IF(N38&gt;=85,"PASS",IF(N38&gt;=70,"REVISE","FAIL"))</f>
        <v/>
      </c>
      <c r="P38" s="5" t="inlineStr">
        <is>
          <t>Direct visual review verified: Fitted sheet panel showing standard and deep mattress fit up to 14 inches.</t>
        </is>
      </c>
      <c r="Q38" s="5" t="inlineStr">
        <is>
          <t>Alt text verified: Fitted sheet deep mattress panel for black white ghost Halloween comforter set</t>
        </is>
      </c>
    </row>
    <row r="39">
      <c r="A39" s="2" t="inlineStr">
        <is>
          <t>IMGQA-038</t>
        </is>
      </c>
      <c r="B39" s="5" t="inlineStr">
        <is>
          <t>jeminise.com+pamnest-twin-halloween-comforter-set-with-sheets-5-pieces-design-03</t>
        </is>
      </c>
      <c r="C39" s="5" t="inlineStr">
        <is>
          <t>pamnest-twin-halloween-comforter-set-with-sheets-5-pieces-design-03</t>
        </is>
      </c>
      <c r="D39" s="4" t="n">
        <v>6</v>
      </c>
      <c r="E39" s="2" t="inlineStr">
        <is>
          <t>48066075689159</t>
        </is>
      </c>
      <c r="F39" s="5" t="inlineStr">
        <is>
          <t>https://cdn.shopify.com/s/files/1/0792/5098/1063/files/bbd8b3069747599cfa3e8e8deb179b9085c81592ba19d1c6287a8363a8238662.jpg?v=1787936250</t>
        </is>
      </c>
      <c r="G39" s="2" t="inlineStr">
        <is>
          <t>images\166_06.jpg</t>
        </is>
      </c>
      <c r="H39" s="5" t="inlineStr">
        <is>
          <t>335c915e1210512ba5b9308c0cab03b5361a07fa3380590c00e35ceea054c7f5</t>
        </is>
      </c>
      <c r="I39" s="2" t="inlineStr">
        <is>
          <t>1500x1500</t>
        </is>
      </c>
      <c r="J39" s="4" t="n">
        <v>40</v>
      </c>
      <c r="K39" s="4" t="n">
        <v>30</v>
      </c>
      <c r="L39" s="4" t="n">
        <v>20</v>
      </c>
      <c r="M39" s="4" t="n">
        <v>10</v>
      </c>
      <c r="N39" s="3">
        <f>SUM(J39:M39)</f>
        <v/>
      </c>
      <c r="O39" s="3">
        <f>IF(N39&gt;=85,"PASS",IF(N39&gt;=70,"REVISE","FAIL"))</f>
        <v/>
      </c>
      <c r="P39" s="5" t="inlineStr">
        <is>
          <t>Direct visual review verified: Package include panel with black ghost Halloween bedding and size table.</t>
        </is>
      </c>
      <c r="Q39" s="5" t="inlineStr">
        <is>
          <t>Alt text verified: Black ghost comforter package panel</t>
        </is>
      </c>
    </row>
    <row r="40">
      <c r="A40" s="2" t="inlineStr">
        <is>
          <t>IMGQA-039</t>
        </is>
      </c>
      <c r="B40" s="5" t="inlineStr">
        <is>
          <t>jeminise.com+pamnest-twin-halloween-comforter-set-with-sheets-5-pieces-design-04</t>
        </is>
      </c>
      <c r="C40" s="5" t="inlineStr">
        <is>
          <t>pamnest-twin-halloween-comforter-set-with-sheets-5-pieces-design-04</t>
        </is>
      </c>
      <c r="D40" s="4" t="n">
        <v>1</v>
      </c>
      <c r="E40" s="2" t="inlineStr">
        <is>
          <t>48066077262023</t>
        </is>
      </c>
      <c r="F40" s="5" t="inlineStr">
        <is>
          <t>https://cdn.shopify.com/s/files/1/0792/5098/1063/files/5d0f1cae5d8fbccfd0cedc69335c2f8dae57295710f0d39ce49b9d818247b5d7.jpg?v=1787936297</t>
        </is>
      </c>
      <c r="G40" s="2" t="inlineStr">
        <is>
          <t>images\167_01.jpg</t>
        </is>
      </c>
      <c r="H40" s="5" t="inlineStr">
        <is>
          <t>663b110cfb0535042ce9ec34bc09990d1ca292a0522e53c1a7a2732e08c2286c</t>
        </is>
      </c>
      <c r="I40" s="2" t="inlineStr">
        <is>
          <t>1500x1500</t>
        </is>
      </c>
      <c r="J40" s="4" t="n">
        <v>40</v>
      </c>
      <c r="K40" s="4" t="n">
        <v>30</v>
      </c>
      <c r="L40" s="4" t="n">
        <v>20</v>
      </c>
      <c r="M40" s="4" t="n">
        <v>10</v>
      </c>
      <c r="N40" s="3">
        <f>SUM(J40:M40)</f>
        <v/>
      </c>
      <c r="O40" s="3">
        <f>IF(N40&gt;=85,"PASS",IF(N40&gt;=70,"REVISE","FAIL"))</f>
        <v/>
      </c>
      <c r="P40" s="5" t="inlineStr">
        <is>
          <t>Direct visual review verified: Bedroom mockup of blue haunted pumpkin ghost comforter set with moon and graveyard silhouettes.</t>
        </is>
      </c>
      <c r="Q40" s="5" t="inlineStr">
        <is>
          <t>Alt text verified: Haunted pumpkin ghost comforter set</t>
        </is>
      </c>
    </row>
    <row r="41">
      <c r="A41" s="2" t="inlineStr">
        <is>
          <t>IMGQA-040</t>
        </is>
      </c>
      <c r="B41" s="5" t="inlineStr">
        <is>
          <t>jeminise.com+pamnest-twin-halloween-comforter-set-with-sheets-5-pieces-design-04</t>
        </is>
      </c>
      <c r="C41" s="5" t="inlineStr">
        <is>
          <t>pamnest-twin-halloween-comforter-set-with-sheets-5-pieces-design-04</t>
        </is>
      </c>
      <c r="D41" s="4" t="n">
        <v>2</v>
      </c>
      <c r="E41" s="2" t="inlineStr">
        <is>
          <t>48066077425863</t>
        </is>
      </c>
      <c r="F41" s="5" t="inlineStr">
        <is>
          <t>https://cdn.shopify.com/s/files/1/0792/5098/1063/files/fb6bb7ca24973834ed17ffc26166f515fd3c4a1ff52545d27cd1472dafdae0b0.jpg?v=1787936297</t>
        </is>
      </c>
      <c r="G41" s="2" t="inlineStr">
        <is>
          <t>images\167_02.jpg</t>
        </is>
      </c>
      <c r="H41" s="5" t="inlineStr">
        <is>
          <t>b482f3f96bb6aa4892aa8e0e84124701e1af4ae3320edc5a0039751b7b5c1d2e</t>
        </is>
      </c>
      <c r="I41" s="2" t="inlineStr">
        <is>
          <t>1500x1500</t>
        </is>
      </c>
      <c r="J41" s="4" t="n">
        <v>40</v>
      </c>
      <c r="K41" s="4" t="n">
        <v>30</v>
      </c>
      <c r="L41" s="4" t="n">
        <v>20</v>
      </c>
      <c r="M41" s="4" t="n">
        <v>10</v>
      </c>
      <c r="N41" s="3">
        <f>SUM(J41:M41)</f>
        <v/>
      </c>
      <c r="O41" s="3">
        <f>IF(N41&gt;=85,"PASS",IF(N41&gt;=70,"REVISE","FAIL"))</f>
        <v/>
      </c>
      <c r="P41" s="5" t="inlineStr">
        <is>
          <t>Direct visual review verified: Close-up of blue Halloween bedding with ghost, pumpkin, moon and bare tree details.</t>
        </is>
      </c>
      <c r="Q41" s="5" t="inlineStr">
        <is>
          <t>Alt text verified: Haunted ghost comforter close-up</t>
        </is>
      </c>
    </row>
    <row r="42">
      <c r="A42" s="2" t="inlineStr">
        <is>
          <t>IMGQA-041</t>
        </is>
      </c>
      <c r="B42" s="5" t="inlineStr">
        <is>
          <t>jeminise.com+pamnest-twin-halloween-comforter-set-with-sheets-5-pieces-design-04</t>
        </is>
      </c>
      <c r="C42" s="5" t="inlineStr">
        <is>
          <t>pamnest-twin-halloween-comforter-set-with-sheets-5-pieces-design-04</t>
        </is>
      </c>
      <c r="D42" s="4" t="n">
        <v>3</v>
      </c>
      <c r="E42" s="2" t="inlineStr">
        <is>
          <t>48066077327559</t>
        </is>
      </c>
      <c r="F42" s="5" t="inlineStr">
        <is>
          <t>https://cdn.shopify.com/s/files/1/0792/5098/1063/files/5ca4830cd71b5426ad687d0e98c5de6daada03acb8a658c0dbb56e9c1612eeb7.jpg?v=1787936297</t>
        </is>
      </c>
      <c r="G42" s="2" t="inlineStr">
        <is>
          <t>images\167_03.jpg</t>
        </is>
      </c>
      <c r="H42" s="5" t="inlineStr">
        <is>
          <t>ac1cff691b499e47327ac0026b410968611cbc718fb431ee8d5275fe5c6291f3</t>
        </is>
      </c>
      <c r="I42" s="2" t="inlineStr">
        <is>
          <t>1500x1500</t>
        </is>
      </c>
      <c r="J42" s="4" t="n">
        <v>40</v>
      </c>
      <c r="K42" s="4" t="n">
        <v>30</v>
      </c>
      <c r="L42" s="4" t="n">
        <v>20</v>
      </c>
      <c r="M42" s="4" t="n">
        <v>10</v>
      </c>
      <c r="N42" s="3">
        <f>SUM(J42:M42)</f>
        <v/>
      </c>
      <c r="O42" s="3">
        <f>IF(N42&gt;=85,"PASS",IF(N42&gt;=70,"REVISE","FAIL"))</f>
        <v/>
      </c>
      <c r="P42" s="5" t="inlineStr">
        <is>
          <t>Direct visual review verified: Warm and cozy room mockup of blue Halloween bedding with pumpkins and ghosts.</t>
        </is>
      </c>
      <c r="Q42" s="5" t="inlineStr">
        <is>
          <t>Alt text verified: Blue Halloween bedding room mockup</t>
        </is>
      </c>
    </row>
    <row r="43">
      <c r="A43" s="2" t="inlineStr">
        <is>
          <t>IMGQA-042</t>
        </is>
      </c>
      <c r="B43" s="5" t="inlineStr">
        <is>
          <t>jeminise.com+pamnest-twin-halloween-comforter-set-with-sheets-5-pieces-design-04</t>
        </is>
      </c>
      <c r="C43" s="5" t="inlineStr">
        <is>
          <t>pamnest-twin-halloween-comforter-set-with-sheets-5-pieces-design-04</t>
        </is>
      </c>
      <c r="D43" s="4" t="n">
        <v>4</v>
      </c>
      <c r="E43" s="2" t="inlineStr">
        <is>
          <t>48066077360327</t>
        </is>
      </c>
      <c r="F43" s="5" t="inlineStr">
        <is>
          <t>https://cdn.shopify.com/s/files/1/0792/5098/1063/files/3e81ffaaf0deab65c1f4a3f78b8b479936f650a3a751ef521aab7f3ff885449e.jpg?v=1787936297</t>
        </is>
      </c>
      <c r="G43" s="2" t="inlineStr">
        <is>
          <t>images\167_04.jpg</t>
        </is>
      </c>
      <c r="H43" s="5" t="inlineStr">
        <is>
          <t>f34ecdd9eca0ca338ea36bd497df7f5a40cab4cf86c7d4d09ccfd010ed288120</t>
        </is>
      </c>
      <c r="I43" s="2" t="inlineStr">
        <is>
          <t>1500x1500</t>
        </is>
      </c>
      <c r="J43" s="4" t="n">
        <v>40</v>
      </c>
      <c r="K43" s="4" t="n">
        <v>30</v>
      </c>
      <c r="L43" s="4" t="n">
        <v>20</v>
      </c>
      <c r="M43" s="4" t="n">
        <v>10</v>
      </c>
      <c r="N43" s="3">
        <f>SUM(J43:M43)</f>
        <v/>
      </c>
      <c r="O43" s="3">
        <f>IF(N43&gt;=85,"PASS",IF(N43&gt;=70,"REVISE","FAIL"))</f>
        <v/>
      </c>
      <c r="P43" s="5" t="inlineStr">
        <is>
          <t>Direct visual review verified: Front bedroom mockup showing moon, ghosts, jack-o-lanterns, trees and graveyard silhouettes.</t>
        </is>
      </c>
      <c r="Q43" s="5" t="inlineStr">
        <is>
          <t>Alt text verified: Pumpkin ghost Halloween bedding</t>
        </is>
      </c>
    </row>
    <row r="44">
      <c r="A44" s="2" t="inlineStr">
        <is>
          <t>IMGQA-043</t>
        </is>
      </c>
      <c r="B44" s="5" t="inlineStr">
        <is>
          <t>jeminise.com+pamnest-twin-halloween-comforter-set-with-sheets-5-pieces-design-04</t>
        </is>
      </c>
      <c r="C44" s="5" t="inlineStr">
        <is>
          <t>pamnest-twin-halloween-comforter-set-with-sheets-5-pieces-design-04</t>
        </is>
      </c>
      <c r="D44" s="4" t="n">
        <v>5</v>
      </c>
      <c r="E44" s="2" t="inlineStr">
        <is>
          <t>48066077393095</t>
        </is>
      </c>
      <c r="F44" s="5" t="inlineStr">
        <is>
          <t>https://cdn.shopify.com/s/files/1/0792/5098/1063/files/f05b5b4966cbfbf6e7138bce62a10e8d53a6554d2095ee522f5577dc8f19de13_dd05aaf9-5cce-4b0d-acf1-02de91c3b744.jpg?v=1787936297</t>
        </is>
      </c>
      <c r="G44" s="2" t="inlineStr">
        <is>
          <t>images\167_05.jpg</t>
        </is>
      </c>
      <c r="H44" s="5" t="inlineStr">
        <is>
          <t>809b3ecd83aed0caa2010656fe734b5ab8d96d036358cff86225c3d8b52bc2e3</t>
        </is>
      </c>
      <c r="I44" s="2" t="inlineStr">
        <is>
          <t>1500x1500</t>
        </is>
      </c>
      <c r="J44" s="4" t="n">
        <v>40</v>
      </c>
      <c r="K44" s="4" t="n">
        <v>30</v>
      </c>
      <c r="L44" s="4" t="n">
        <v>20</v>
      </c>
      <c r="M44" s="4" t="n">
        <v>10</v>
      </c>
      <c r="N44" s="3">
        <f>SUM(J44:M44)</f>
        <v/>
      </c>
      <c r="O44" s="3">
        <f>IF(N44&gt;=85,"PASS",IF(N44&gt;=70,"REVISE","FAIL"))</f>
        <v/>
      </c>
      <c r="P44" s="5" t="inlineStr">
        <is>
          <t>Direct visual review verified: Fitted sheet panel showing standard and deep mattress fit up to 14 inches.</t>
        </is>
      </c>
      <c r="Q44" s="5" t="inlineStr">
        <is>
          <t>Alt text verified: Fitted sheet deep mattress panel for blue haunted pumpkin ghost Halloween comforter set</t>
        </is>
      </c>
    </row>
    <row r="45">
      <c r="A45" s="2" t="inlineStr">
        <is>
          <t>IMGQA-044</t>
        </is>
      </c>
      <c r="B45" s="5" t="inlineStr">
        <is>
          <t>jeminise.com+pamnest-twin-halloween-comforter-set-with-sheets-5-pieces-design-04</t>
        </is>
      </c>
      <c r="C45" s="5" t="inlineStr">
        <is>
          <t>pamnest-twin-halloween-comforter-set-with-sheets-5-pieces-design-04</t>
        </is>
      </c>
      <c r="D45" s="4" t="n">
        <v>6</v>
      </c>
      <c r="E45" s="2" t="inlineStr">
        <is>
          <t>48066077458631</t>
        </is>
      </c>
      <c r="F45" s="5" t="inlineStr">
        <is>
          <t>https://cdn.shopify.com/s/files/1/0792/5098/1063/files/b0d1da8d8060da04652dfbd8ac59558b6bb3e731d6cda0161cad77ec3b3c8fe2.jpg?v=1787936297</t>
        </is>
      </c>
      <c r="G45" s="2" t="inlineStr">
        <is>
          <t>images\167_06.jpg</t>
        </is>
      </c>
      <c r="H45" s="5" t="inlineStr">
        <is>
          <t>013b9f04bdde36e1e705c4611edddee6158093d88aa96c65c919e85a8d790623</t>
        </is>
      </c>
      <c r="I45" s="2" t="inlineStr">
        <is>
          <t>1500x1500</t>
        </is>
      </c>
      <c r="J45" s="4" t="n">
        <v>40</v>
      </c>
      <c r="K45" s="4" t="n">
        <v>30</v>
      </c>
      <c r="L45" s="4" t="n">
        <v>20</v>
      </c>
      <c r="M45" s="4" t="n">
        <v>10</v>
      </c>
      <c r="N45" s="3">
        <f>SUM(J45:M45)</f>
        <v/>
      </c>
      <c r="O45" s="3">
        <f>IF(N45&gt;=85,"PASS",IF(N45&gt;=70,"REVISE","FAIL"))</f>
        <v/>
      </c>
      <c r="P45" s="5" t="inlineStr">
        <is>
          <t>Direct visual review verified: Package include panel with haunted pumpkin ghost bedding and size table.</t>
        </is>
      </c>
      <c r="Q45" s="5" t="inlineStr">
        <is>
          <t>Alt text verified: Haunted pumpkin comforter package panel</t>
        </is>
      </c>
    </row>
    <row r="46">
      <c r="A46" s="2" t="inlineStr">
        <is>
          <t>IMGQA-045</t>
        </is>
      </c>
      <c r="B46" s="5" t="inlineStr">
        <is>
          <t>jeminise.com+pamnest-twin-halloween-comforter-set-with-sheets-5-pieces-design-05</t>
        </is>
      </c>
      <c r="C46" s="5" t="inlineStr">
        <is>
          <t>pamnest-twin-halloween-comforter-set-with-sheets-5-pieces-design-05</t>
        </is>
      </c>
      <c r="D46" s="4" t="n">
        <v>1</v>
      </c>
      <c r="E46" s="2" t="inlineStr">
        <is>
          <t>48066077524167</t>
        </is>
      </c>
      <c r="F46" s="5" t="inlineStr">
        <is>
          <t>https://cdn.shopify.com/s/files/1/0792/5098/1063/files/0378abcf551bb373bc058a8d932a075b2e7062138286ccd5675aab241cbc2aa8.jpg?v=1787936303</t>
        </is>
      </c>
      <c r="G46" s="2" t="inlineStr">
        <is>
          <t>images\168_01.jpg</t>
        </is>
      </c>
      <c r="H46" s="5" t="inlineStr">
        <is>
          <t>792c3d39daa30943086b80dbb428049d7214624f317b5ef220eaa58fc2eade01</t>
        </is>
      </c>
      <c r="I46" s="2" t="inlineStr">
        <is>
          <t>1500x1500</t>
        </is>
      </c>
      <c r="J46" s="4" t="n">
        <v>40</v>
      </c>
      <c r="K46" s="4" t="n">
        <v>30</v>
      </c>
      <c r="L46" s="4" t="n">
        <v>20</v>
      </c>
      <c r="M46" s="4" t="n">
        <v>10</v>
      </c>
      <c r="N46" s="3">
        <f>SUM(J46:M46)</f>
        <v/>
      </c>
      <c r="O46" s="3">
        <f>IF(N46&gt;=85,"PASS",IF(N46&gt;=70,"REVISE","FAIL"))</f>
        <v/>
      </c>
      <c r="P46" s="5" t="inlineStr">
        <is>
          <t>Direct visual review verified: Bedroom mockup of pink cute ghost Halloween comforter set with matching pillows.</t>
        </is>
      </c>
      <c r="Q46" s="5" t="inlineStr">
        <is>
          <t>Alt text verified: Pink cute ghost Halloween comforter set</t>
        </is>
      </c>
    </row>
    <row r="47">
      <c r="A47" s="2" t="inlineStr">
        <is>
          <t>IMGQA-046</t>
        </is>
      </c>
      <c r="B47" s="5" t="inlineStr">
        <is>
          <t>jeminise.com+pamnest-twin-halloween-comforter-set-with-sheets-5-pieces-design-05</t>
        </is>
      </c>
      <c r="C47" s="5" t="inlineStr">
        <is>
          <t>pamnest-twin-halloween-comforter-set-with-sheets-5-pieces-design-05</t>
        </is>
      </c>
      <c r="D47" s="4" t="n">
        <v>2</v>
      </c>
      <c r="E47" s="2" t="inlineStr">
        <is>
          <t>48066077688007</t>
        </is>
      </c>
      <c r="F47" s="5" t="inlineStr">
        <is>
          <t>https://cdn.shopify.com/s/files/1/0792/5098/1063/files/d443d634870cf5702ce02c12be0e9199f6c0ef35f8992890f2ee49e88fd55e59.jpg?v=1787936303</t>
        </is>
      </c>
      <c r="G47" s="2" t="inlineStr">
        <is>
          <t>images\168_02.jpg</t>
        </is>
      </c>
      <c r="H47" s="5" t="inlineStr">
        <is>
          <t>3bab3b23a1f5e172619070c85d30cd9029b7436976cd8db07e0faaeb275a4388</t>
        </is>
      </c>
      <c r="I47" s="2" t="inlineStr">
        <is>
          <t>1500x1500</t>
        </is>
      </c>
      <c r="J47" s="4" t="n">
        <v>40</v>
      </c>
      <c r="K47" s="4" t="n">
        <v>30</v>
      </c>
      <c r="L47" s="4" t="n">
        <v>20</v>
      </c>
      <c r="M47" s="4" t="n">
        <v>10</v>
      </c>
      <c r="N47" s="3">
        <f>SUM(J47:M47)</f>
        <v/>
      </c>
      <c r="O47" s="3">
        <f>IF(N47&gt;=85,"PASS",IF(N47&gt;=70,"REVISE","FAIL"))</f>
        <v/>
      </c>
      <c r="P47" s="5" t="inlineStr">
        <is>
          <t>Direct visual review verified: Close-up of pink ghost bedding pattern with witch hats, candy and small stars.</t>
        </is>
      </c>
      <c r="Q47" s="5" t="inlineStr">
        <is>
          <t>Alt text verified: Pink ghost comforter close-up</t>
        </is>
      </c>
    </row>
    <row r="48">
      <c r="A48" s="2" t="inlineStr">
        <is>
          <t>IMGQA-047</t>
        </is>
      </c>
      <c r="B48" s="5" t="inlineStr">
        <is>
          <t>jeminise.com+pamnest-twin-halloween-comforter-set-with-sheets-5-pieces-design-05</t>
        </is>
      </c>
      <c r="C48" s="5" t="inlineStr">
        <is>
          <t>pamnest-twin-halloween-comforter-set-with-sheets-5-pieces-design-05</t>
        </is>
      </c>
      <c r="D48" s="4" t="n">
        <v>3</v>
      </c>
      <c r="E48" s="2" t="inlineStr">
        <is>
          <t>48066077589703</t>
        </is>
      </c>
      <c r="F48" s="5" t="inlineStr">
        <is>
          <t>https://cdn.shopify.com/s/files/1/0792/5098/1063/files/3c149552706148b88d709b4170ededcaf07b0afcd786b0fc80da64aee42ef97a.jpg?v=1787936303</t>
        </is>
      </c>
      <c r="G48" s="2" t="inlineStr">
        <is>
          <t>images\168_03.jpg</t>
        </is>
      </c>
      <c r="H48" s="5" t="inlineStr">
        <is>
          <t>9501d3e747e63982b98b5eb0d33917c9c4ab8bf48b7b8a6ac789c555bfe18c19</t>
        </is>
      </c>
      <c r="I48" s="2" t="inlineStr">
        <is>
          <t>1500x1500</t>
        </is>
      </c>
      <c r="J48" s="4" t="n">
        <v>40</v>
      </c>
      <c r="K48" s="4" t="n">
        <v>30</v>
      </c>
      <c r="L48" s="4" t="n">
        <v>20</v>
      </c>
      <c r="M48" s="4" t="n">
        <v>10</v>
      </c>
      <c r="N48" s="3">
        <f>SUM(J48:M48)</f>
        <v/>
      </c>
      <c r="O48" s="3">
        <f>IF(N48&gt;=85,"PASS",IF(N48&gt;=70,"REVISE","FAIL"))</f>
        <v/>
      </c>
      <c r="P48" s="5" t="inlineStr">
        <is>
          <t>Direct visual review verified: Warm and cozy room mockup of pink Halloween bedding with cute ghosts.</t>
        </is>
      </c>
      <c r="Q48" s="5" t="inlineStr">
        <is>
          <t>Alt text verified: Pink Halloween bedding room mockup</t>
        </is>
      </c>
    </row>
    <row r="49">
      <c r="A49" s="2" t="inlineStr">
        <is>
          <t>IMGQA-048</t>
        </is>
      </c>
      <c r="B49" s="5" t="inlineStr">
        <is>
          <t>jeminise.com+pamnest-twin-halloween-comforter-set-with-sheets-5-pieces-design-05</t>
        </is>
      </c>
      <c r="C49" s="5" t="inlineStr">
        <is>
          <t>pamnest-twin-halloween-comforter-set-with-sheets-5-pieces-design-05</t>
        </is>
      </c>
      <c r="D49" s="4" t="n">
        <v>4</v>
      </c>
      <c r="E49" s="2" t="inlineStr">
        <is>
          <t>48066077622471</t>
        </is>
      </c>
      <c r="F49" s="5" t="inlineStr">
        <is>
          <t>https://cdn.shopify.com/s/files/1/0792/5098/1063/files/27b0e98d00c806f90ce26194ac5961ee72b1843f7ded8b1cdc58421da8ff1af5.jpg?v=1787936303</t>
        </is>
      </c>
      <c r="G49" s="2" t="inlineStr">
        <is>
          <t>images\168_04.jpg</t>
        </is>
      </c>
      <c r="H49" s="5" t="inlineStr">
        <is>
          <t>8bf5f7b758f3c10a29420a7d3aaa8bfedad2519c7f67745e5a891c6135d9f312</t>
        </is>
      </c>
      <c r="I49" s="2" t="inlineStr">
        <is>
          <t>1500x1500</t>
        </is>
      </c>
      <c r="J49" s="4" t="n">
        <v>40</v>
      </c>
      <c r="K49" s="4" t="n">
        <v>30</v>
      </c>
      <c r="L49" s="4" t="n">
        <v>20</v>
      </c>
      <c r="M49" s="4" t="n">
        <v>10</v>
      </c>
      <c r="N49" s="3">
        <f>SUM(J49:M49)</f>
        <v/>
      </c>
      <c r="O49" s="3">
        <f>IF(N49&gt;=85,"PASS",IF(N49&gt;=70,"REVISE","FAIL"))</f>
        <v/>
      </c>
      <c r="P49" s="5" t="inlineStr">
        <is>
          <t>Direct visual review verified: Front bedroom mockup showing pink ghost pattern with witch hats and candy motifs.</t>
        </is>
      </c>
      <c r="Q49" s="5" t="inlineStr">
        <is>
          <t>Alt text verified: Cute ghost Halloween bedding</t>
        </is>
      </c>
    </row>
    <row r="50">
      <c r="A50" s="2" t="inlineStr">
        <is>
          <t>IMGQA-049</t>
        </is>
      </c>
      <c r="B50" s="5" t="inlineStr">
        <is>
          <t>jeminise.com+pamnest-twin-halloween-comforter-set-with-sheets-5-pieces-design-05</t>
        </is>
      </c>
      <c r="C50" s="5" t="inlineStr">
        <is>
          <t>pamnest-twin-halloween-comforter-set-with-sheets-5-pieces-design-05</t>
        </is>
      </c>
      <c r="D50" s="4" t="n">
        <v>5</v>
      </c>
      <c r="E50" s="2" t="inlineStr">
        <is>
          <t>48066077655239</t>
        </is>
      </c>
      <c r="F50" s="5" t="inlineStr">
        <is>
          <t>https://cdn.shopify.com/s/files/1/0792/5098/1063/files/4b609c485183f596d7a7cde020b39e4bda79acee2753d3dc2aded93519980ecf.jpg?v=1787936303</t>
        </is>
      </c>
      <c r="G50" s="2" t="inlineStr">
        <is>
          <t>images\168_05.jpg</t>
        </is>
      </c>
      <c r="H50" s="5" t="inlineStr">
        <is>
          <t>c510398acd0ed1c6d0a10e047886e7f9e6628d21dd3de2c34d08cf404bc1b4c1</t>
        </is>
      </c>
      <c r="I50" s="2" t="inlineStr">
        <is>
          <t>1500x1500</t>
        </is>
      </c>
      <c r="J50" s="4" t="n">
        <v>40</v>
      </c>
      <c r="K50" s="4" t="n">
        <v>30</v>
      </c>
      <c r="L50" s="4" t="n">
        <v>20</v>
      </c>
      <c r="M50" s="4" t="n">
        <v>10</v>
      </c>
      <c r="N50" s="3">
        <f>SUM(J50:M50)</f>
        <v/>
      </c>
      <c r="O50" s="3">
        <f>IF(N50&gt;=85,"PASS",IF(N50&gt;=70,"REVISE","FAIL"))</f>
        <v/>
      </c>
      <c r="P50" s="5" t="inlineStr">
        <is>
          <t>Direct visual review verified: Fitted sheet panel showing standard and deep mattress fit up to 14 inches.</t>
        </is>
      </c>
      <c r="Q50" s="5" t="inlineStr">
        <is>
          <t>Alt text verified: Fitted sheet deep mattress panel for pink cute ghost witch hat Halloween comforter set</t>
        </is>
      </c>
    </row>
    <row r="51">
      <c r="A51" s="2" t="inlineStr">
        <is>
          <t>IMGQA-050</t>
        </is>
      </c>
      <c r="B51" s="5" t="inlineStr">
        <is>
          <t>jeminise.com+pamnest-twin-halloween-comforter-set-with-sheets-5-pieces-design-05</t>
        </is>
      </c>
      <c r="C51" s="5" t="inlineStr">
        <is>
          <t>pamnest-twin-halloween-comforter-set-with-sheets-5-pieces-design-05</t>
        </is>
      </c>
      <c r="D51" s="4" t="n">
        <v>6</v>
      </c>
      <c r="E51" s="2" t="inlineStr">
        <is>
          <t>48066077720775</t>
        </is>
      </c>
      <c r="F51" s="5" t="inlineStr">
        <is>
          <t>https://cdn.shopify.com/s/files/1/0792/5098/1063/files/7e2ec7c0c42511286cd153cc90aaaa3c14a07010ca3b6583e65c64cf25c53aa4.jpg?v=1787936303</t>
        </is>
      </c>
      <c r="G51" s="2" t="inlineStr">
        <is>
          <t>images\168_06.jpg</t>
        </is>
      </c>
      <c r="H51" s="5" t="inlineStr">
        <is>
          <t>28022d80b06d4fdb9b706ded0abb6c148226e0c505072a52ce71f0f89cee18a2</t>
        </is>
      </c>
      <c r="I51" s="2" t="inlineStr">
        <is>
          <t>1500x1500</t>
        </is>
      </c>
      <c r="J51" s="4" t="n">
        <v>40</v>
      </c>
      <c r="K51" s="4" t="n">
        <v>30</v>
      </c>
      <c r="L51" s="4" t="n">
        <v>20</v>
      </c>
      <c r="M51" s="4" t="n">
        <v>10</v>
      </c>
      <c r="N51" s="3">
        <f>SUM(J51:M51)</f>
        <v/>
      </c>
      <c r="O51" s="3">
        <f>IF(N51&gt;=85,"PASS",IF(N51&gt;=70,"REVISE","FAIL"))</f>
        <v/>
      </c>
      <c r="P51" s="5" t="inlineStr">
        <is>
          <t>Direct visual review verified: Package include panel with pink cute ghost Halloween bedding and size table.</t>
        </is>
      </c>
      <c r="Q51" s="5" t="inlineStr">
        <is>
          <t>Alt text verified: Pink ghost comforter package panel</t>
        </is>
      </c>
    </row>
    <row r="52">
      <c r="A52" s="2" t="inlineStr">
        <is>
          <t>IMGQA-051</t>
        </is>
      </c>
      <c r="B52" s="5" t="inlineStr">
        <is>
          <t>jeminise.com+pamnest-twin-halloween-comforter-set-with-sheets-5-pieces-design-06</t>
        </is>
      </c>
      <c r="C52" s="5" t="inlineStr">
        <is>
          <t>pamnest-twin-halloween-comforter-set-with-sheets-5-pieces-design-06</t>
        </is>
      </c>
      <c r="D52" s="4" t="n">
        <v>1</v>
      </c>
      <c r="E52" s="2" t="inlineStr">
        <is>
          <t>48066077786311</t>
        </is>
      </c>
      <c r="F52" s="5" t="inlineStr">
        <is>
          <t>https://cdn.shopify.com/s/files/1/0792/5098/1063/files/56881a19a51c01cc553fffe6fc20529fd559dd35981c52ef5bde9f745e19e0c6.jpg?v=1787936307</t>
        </is>
      </c>
      <c r="G52" s="2" t="inlineStr">
        <is>
          <t>images\169_01.jpg</t>
        </is>
      </c>
      <c r="H52" s="5" t="inlineStr">
        <is>
          <t>e964e8aaa7624312d07f32347bac59ab44875c54891fcd51e4ffc6b4f73433be</t>
        </is>
      </c>
      <c r="I52" s="2" t="inlineStr">
        <is>
          <t>1500x1500</t>
        </is>
      </c>
      <c r="J52" s="4" t="n">
        <v>40</v>
      </c>
      <c r="K52" s="4" t="n">
        <v>30</v>
      </c>
      <c r="L52" s="4" t="n">
        <v>20</v>
      </c>
      <c r="M52" s="4" t="n">
        <v>10</v>
      </c>
      <c r="N52" s="3">
        <f>SUM(J52:M52)</f>
        <v/>
      </c>
      <c r="O52" s="3">
        <f>IF(N52&gt;=85,"PASS",IF(N52&gt;=70,"REVISE","FAIL"))</f>
        <v/>
      </c>
      <c r="P52" s="5" t="inlineStr">
        <is>
          <t>Direct visual review verified: Bedroom mockup of white red handprint Halloween comforter set with red sheet pieces.</t>
        </is>
      </c>
      <c r="Q52" s="5" t="inlineStr">
        <is>
          <t>Alt text verified: Red handprint Halloween comforter set</t>
        </is>
      </c>
    </row>
    <row r="53">
      <c r="A53" s="2" t="inlineStr">
        <is>
          <t>IMGQA-052</t>
        </is>
      </c>
      <c r="B53" s="5" t="inlineStr">
        <is>
          <t>jeminise.com+pamnest-twin-halloween-comforter-set-with-sheets-5-pieces-design-06</t>
        </is>
      </c>
      <c r="C53" s="5" t="inlineStr">
        <is>
          <t>pamnest-twin-halloween-comforter-set-with-sheets-5-pieces-design-06</t>
        </is>
      </c>
      <c r="D53" s="4" t="n">
        <v>2</v>
      </c>
      <c r="E53" s="2" t="inlineStr">
        <is>
          <t>48066077950151</t>
        </is>
      </c>
      <c r="F53" s="5" t="inlineStr">
        <is>
          <t>https://cdn.shopify.com/s/files/1/0792/5098/1063/files/1a90986a710d8ec7e3fd994a8c712b5b6adf1486722d0ac1005cdfab2898c774.jpg?v=1787936307</t>
        </is>
      </c>
      <c r="G53" s="2" t="inlineStr">
        <is>
          <t>images\169_02.jpg</t>
        </is>
      </c>
      <c r="H53" s="5" t="inlineStr">
        <is>
          <t>69a8cd56b65fe0cb8980e81403709739d071a21e26d7284819850783cd7295b7</t>
        </is>
      </c>
      <c r="I53" s="2" t="inlineStr">
        <is>
          <t>1500x1500</t>
        </is>
      </c>
      <c r="J53" s="4" t="n">
        <v>40</v>
      </c>
      <c r="K53" s="4" t="n">
        <v>30</v>
      </c>
      <c r="L53" s="4" t="n">
        <v>20</v>
      </c>
      <c r="M53" s="4" t="n">
        <v>10</v>
      </c>
      <c r="N53" s="3">
        <f>SUM(J53:M53)</f>
        <v/>
      </c>
      <c r="O53" s="3">
        <f>IF(N53&gt;=85,"PASS",IF(N53&gt;=70,"REVISE","FAIL"))</f>
        <v/>
      </c>
      <c r="P53" s="5" t="inlineStr">
        <is>
          <t>Direct visual review verified: Close-up of red handprint and splatter-style Halloween bedding pattern.</t>
        </is>
      </c>
      <c r="Q53" s="5" t="inlineStr">
        <is>
          <t>Alt text verified: Red handprint comforter close-up</t>
        </is>
      </c>
    </row>
    <row r="54">
      <c r="A54" s="2" t="inlineStr">
        <is>
          <t>IMGQA-053</t>
        </is>
      </c>
      <c r="B54" s="5" t="inlineStr">
        <is>
          <t>jeminise.com+pamnest-twin-halloween-comforter-set-with-sheets-5-pieces-design-06</t>
        </is>
      </c>
      <c r="C54" s="5" t="inlineStr">
        <is>
          <t>pamnest-twin-halloween-comforter-set-with-sheets-5-pieces-design-06</t>
        </is>
      </c>
      <c r="D54" s="4" t="n">
        <v>3</v>
      </c>
      <c r="E54" s="2" t="inlineStr">
        <is>
          <t>48066077851847</t>
        </is>
      </c>
      <c r="F54" s="5" t="inlineStr">
        <is>
          <t>https://cdn.shopify.com/s/files/1/0792/5098/1063/files/14e0c414dcf8f732a3efcb85f1038b86f760c8561254aa5ccba8af1194c7a4b9.jpg?v=1787936307</t>
        </is>
      </c>
      <c r="G54" s="2" t="inlineStr">
        <is>
          <t>images\169_03.jpg</t>
        </is>
      </c>
      <c r="H54" s="5" t="inlineStr">
        <is>
          <t>22bb4b1b9f8b8855e4d7c03562e26d974b19b8fcba4c45bf252ab431880538c7</t>
        </is>
      </c>
      <c r="I54" s="2" t="inlineStr">
        <is>
          <t>1500x1500</t>
        </is>
      </c>
      <c r="J54" s="4" t="n">
        <v>40</v>
      </c>
      <c r="K54" s="4" t="n">
        <v>30</v>
      </c>
      <c r="L54" s="4" t="n">
        <v>20</v>
      </c>
      <c r="M54" s="4" t="n">
        <v>10</v>
      </c>
      <c r="N54" s="3">
        <f>SUM(J54:M54)</f>
        <v/>
      </c>
      <c r="O54" s="3">
        <f>IF(N54&gt;=85,"PASS",IF(N54&gt;=70,"REVISE","FAIL"))</f>
        <v/>
      </c>
      <c r="P54" s="5" t="inlineStr">
        <is>
          <t>Direct visual review verified: Warm and cozy room mockup of red handprint Halloween bedding.</t>
        </is>
      </c>
      <c r="Q54" s="5" t="inlineStr">
        <is>
          <t>Alt text verified: Red handprint Halloween bedding room mockup</t>
        </is>
      </c>
    </row>
    <row r="55">
      <c r="A55" s="2" t="inlineStr">
        <is>
          <t>IMGQA-054</t>
        </is>
      </c>
      <c r="B55" s="5" t="inlineStr">
        <is>
          <t>jeminise.com+pamnest-twin-halloween-comforter-set-with-sheets-5-pieces-design-06</t>
        </is>
      </c>
      <c r="C55" s="5" t="inlineStr">
        <is>
          <t>pamnest-twin-halloween-comforter-set-with-sheets-5-pieces-design-06</t>
        </is>
      </c>
      <c r="D55" s="4" t="n">
        <v>4</v>
      </c>
      <c r="E55" s="2" t="inlineStr">
        <is>
          <t>48066077884615</t>
        </is>
      </c>
      <c r="F55" s="5" t="inlineStr">
        <is>
          <t>https://cdn.shopify.com/s/files/1/0792/5098/1063/files/60955256316c3a7bdd4e572c3f1101f8d5511e78a1d363f9d70104b52b193f71.jpg?v=1787936307</t>
        </is>
      </c>
      <c r="G55" s="2" t="inlineStr">
        <is>
          <t>images\169_04.jpg</t>
        </is>
      </c>
      <c r="H55" s="5" t="inlineStr">
        <is>
          <t>5b9513593d429990383b1a963bb8593ea384190aa4057ef325920b05d071d9a4</t>
        </is>
      </c>
      <c r="I55" s="2" t="inlineStr">
        <is>
          <t>1500x1500</t>
        </is>
      </c>
      <c r="J55" s="4" t="n">
        <v>40</v>
      </c>
      <c r="K55" s="4" t="n">
        <v>30</v>
      </c>
      <c r="L55" s="4" t="n">
        <v>20</v>
      </c>
      <c r="M55" s="4" t="n">
        <v>10</v>
      </c>
      <c r="N55" s="3">
        <f>SUM(J55:M55)</f>
        <v/>
      </c>
      <c r="O55" s="3">
        <f>IF(N55&gt;=85,"PASS",IF(N55&gt;=70,"REVISE","FAIL"))</f>
        <v/>
      </c>
      <c r="P55" s="5" t="inlineStr">
        <is>
          <t>Direct visual review verified: Front bedroom mockup showing red handprints and splatter-style marks on white bedding.</t>
        </is>
      </c>
      <c r="Q55" s="5" t="inlineStr">
        <is>
          <t>Alt text verified: Red splatter Halloween bedding</t>
        </is>
      </c>
    </row>
    <row r="56">
      <c r="A56" s="2" t="inlineStr">
        <is>
          <t>IMGQA-055</t>
        </is>
      </c>
      <c r="B56" s="5" t="inlineStr">
        <is>
          <t>jeminise.com+pamnest-twin-halloween-comforter-set-with-sheets-5-pieces-design-06</t>
        </is>
      </c>
      <c r="C56" s="5" t="inlineStr">
        <is>
          <t>pamnest-twin-halloween-comforter-set-with-sheets-5-pieces-design-06</t>
        </is>
      </c>
      <c r="D56" s="4" t="n">
        <v>5</v>
      </c>
      <c r="E56" s="2" t="inlineStr">
        <is>
          <t>48066077917383</t>
        </is>
      </c>
      <c r="F56" s="5" t="inlineStr">
        <is>
          <t>https://cdn.shopify.com/s/files/1/0792/5098/1063/files/e1fbf76f0a4f56333e589145881221e54d4d698d00057714af3d90bfcfcbcde8.jpg?v=1787936307</t>
        </is>
      </c>
      <c r="G56" s="2" t="inlineStr">
        <is>
          <t>images\169_05.jpg</t>
        </is>
      </c>
      <c r="H56" s="5" t="inlineStr">
        <is>
          <t>4d201391be774177043ed58a8c8a59fd3d3317bf1dd8a3beaa0ba1e45b0d2002</t>
        </is>
      </c>
      <c r="I56" s="2" t="inlineStr">
        <is>
          <t>1500x1500</t>
        </is>
      </c>
      <c r="J56" s="4" t="n">
        <v>40</v>
      </c>
      <c r="K56" s="4" t="n">
        <v>30</v>
      </c>
      <c r="L56" s="4" t="n">
        <v>20</v>
      </c>
      <c r="M56" s="4" t="n">
        <v>10</v>
      </c>
      <c r="N56" s="3">
        <f>SUM(J56:M56)</f>
        <v/>
      </c>
      <c r="O56" s="3">
        <f>IF(N56&gt;=85,"PASS",IF(N56&gt;=70,"REVISE","FAIL"))</f>
        <v/>
      </c>
      <c r="P56" s="5" t="inlineStr">
        <is>
          <t>Direct visual review verified: Fitted sheet panel showing standard and deep mattress fit up to 14 inches.</t>
        </is>
      </c>
      <c r="Q56" s="5" t="inlineStr">
        <is>
          <t>Alt text verified: Fitted sheet deep mattress panel for red handprint splatter Halloween comforter set</t>
        </is>
      </c>
    </row>
    <row r="57">
      <c r="A57" s="2" t="inlineStr">
        <is>
          <t>IMGQA-056</t>
        </is>
      </c>
      <c r="B57" s="5" t="inlineStr">
        <is>
          <t>jeminise.com+pamnest-twin-halloween-comforter-set-with-sheets-5-pieces-design-06</t>
        </is>
      </c>
      <c r="C57" s="5" t="inlineStr">
        <is>
          <t>pamnest-twin-halloween-comforter-set-with-sheets-5-pieces-design-06</t>
        </is>
      </c>
      <c r="D57" s="4" t="n">
        <v>6</v>
      </c>
      <c r="E57" s="2" t="inlineStr">
        <is>
          <t>48066077982919</t>
        </is>
      </c>
      <c r="F57" s="5" t="inlineStr">
        <is>
          <t>https://cdn.shopify.com/s/files/1/0792/5098/1063/files/c704e78fea6b0af8659e3bb6318e69c7a083dd569ad0e78c293e9f2bb37a0b50.jpg?v=1787936307</t>
        </is>
      </c>
      <c r="G57" s="2" t="inlineStr">
        <is>
          <t>images\169_06.jpg</t>
        </is>
      </c>
      <c r="H57" s="5" t="inlineStr">
        <is>
          <t>0d340f0ccbe47b91adc8fc5d788570bf6003134c071147e8bffea8feec31a061</t>
        </is>
      </c>
      <c r="I57" s="2" t="inlineStr">
        <is>
          <t>1500x1500</t>
        </is>
      </c>
      <c r="J57" s="4" t="n">
        <v>40</v>
      </c>
      <c r="K57" s="4" t="n">
        <v>30</v>
      </c>
      <c r="L57" s="4" t="n">
        <v>20</v>
      </c>
      <c r="M57" s="4" t="n">
        <v>10</v>
      </c>
      <c r="N57" s="3">
        <f>SUM(J57:M57)</f>
        <v/>
      </c>
      <c r="O57" s="3">
        <f>IF(N57&gt;=85,"PASS",IF(N57&gt;=70,"REVISE","FAIL"))</f>
        <v/>
      </c>
      <c r="P57" s="5" t="inlineStr">
        <is>
          <t>Direct visual review verified: Package include panel with red handprint Halloween bedding and size table.</t>
        </is>
      </c>
      <c r="Q57" s="5" t="inlineStr">
        <is>
          <t>Alt text verified: Red handprint comforter package panel</t>
        </is>
      </c>
    </row>
    <row r="58">
      <c r="A58" s="2" t="inlineStr">
        <is>
          <t>IMGQA-057</t>
        </is>
      </c>
      <c r="B58" s="5" t="inlineStr">
        <is>
          <t>jeminise.com+pamnest-twin-halloween-comforter-set-with-sheets-5-pieces-design-07</t>
        </is>
      </c>
      <c r="C58" s="5" t="inlineStr">
        <is>
          <t>pamnest-twin-halloween-comforter-set-with-sheets-5-pieces-design-07</t>
        </is>
      </c>
      <c r="D58" s="4" t="n">
        <v>1</v>
      </c>
      <c r="E58" s="2" t="inlineStr">
        <is>
          <t>48066078015687</t>
        </is>
      </c>
      <c r="F58" s="5" t="inlineStr">
        <is>
          <t>https://cdn.shopify.com/s/files/1/0792/5098/1063/files/feceab1269e0c41029cfcb73e8317439de8337d84336b09e87d52e7744326f5e.jpg?v=1787936313</t>
        </is>
      </c>
      <c r="G58" s="2" t="inlineStr">
        <is>
          <t>images\170_01.jpg</t>
        </is>
      </c>
      <c r="H58" s="5" t="inlineStr">
        <is>
          <t>57d73fc8eb4465e4df4adeb1067d733ee69662c19632a07adc29d74430551bc4</t>
        </is>
      </c>
      <c r="I58" s="2" t="inlineStr">
        <is>
          <t>1500x1500</t>
        </is>
      </c>
      <c r="J58" s="4" t="n">
        <v>40</v>
      </c>
      <c r="K58" s="4" t="n">
        <v>30</v>
      </c>
      <c r="L58" s="4" t="n">
        <v>20</v>
      </c>
      <c r="M58" s="4" t="n">
        <v>10</v>
      </c>
      <c r="N58" s="3">
        <f>SUM(J58:M58)</f>
        <v/>
      </c>
      <c r="O58" s="3">
        <f>IF(N58&gt;=85,"PASS",IF(N58&gt;=70,"REVISE","FAIL"))</f>
        <v/>
      </c>
      <c r="P58" s="5" t="inlineStr">
        <is>
          <t>Direct visual review verified: Bedroom mockup of white haunted house pumpkin comforter set with black cats and rust sheets.</t>
        </is>
      </c>
      <c r="Q58" s="5" t="inlineStr">
        <is>
          <t>Alt text verified: Haunted house pumpkin comforter set</t>
        </is>
      </c>
    </row>
    <row r="59">
      <c r="A59" s="2" t="inlineStr">
        <is>
          <t>IMGQA-058</t>
        </is>
      </c>
      <c r="B59" s="5" t="inlineStr">
        <is>
          <t>jeminise.com+pamnest-twin-halloween-comforter-set-with-sheets-5-pieces-design-07</t>
        </is>
      </c>
      <c r="C59" s="5" t="inlineStr">
        <is>
          <t>pamnest-twin-halloween-comforter-set-with-sheets-5-pieces-design-07</t>
        </is>
      </c>
      <c r="D59" s="4" t="n">
        <v>2</v>
      </c>
      <c r="E59" s="2" t="inlineStr">
        <is>
          <t>48066078179527</t>
        </is>
      </c>
      <c r="F59" s="5" t="inlineStr">
        <is>
          <t>https://cdn.shopify.com/s/files/1/0792/5098/1063/files/7683974b7a31c9cf865fb550d243761f446de029999d81b730d1be1d4bffd71a.jpg?v=1787936313</t>
        </is>
      </c>
      <c r="G59" s="2" t="inlineStr">
        <is>
          <t>images\170_02.jpg</t>
        </is>
      </c>
      <c r="H59" s="5" t="inlineStr">
        <is>
          <t>66fde1a3115f6924fde8938b3219ff6325f4fdc4fb847653496217070cf4485d</t>
        </is>
      </c>
      <c r="I59" s="2" t="inlineStr">
        <is>
          <t>1500x1500</t>
        </is>
      </c>
      <c r="J59" s="4" t="n">
        <v>40</v>
      </c>
      <c r="K59" s="4" t="n">
        <v>30</v>
      </c>
      <c r="L59" s="4" t="n">
        <v>20</v>
      </c>
      <c r="M59" s="4" t="n">
        <v>10</v>
      </c>
      <c r="N59" s="3">
        <f>SUM(J59:M59)</f>
        <v/>
      </c>
      <c r="O59" s="3">
        <f>IF(N59&gt;=85,"PASS",IF(N59&gt;=70,"REVISE","FAIL"))</f>
        <v/>
      </c>
      <c r="P59" s="5" t="inlineStr">
        <is>
          <t>Direct visual review verified: Close-up of white Halloween bedding with haunted houses, pumpkins, cats and spiderwebs.</t>
        </is>
      </c>
      <c r="Q59" s="5" t="inlineStr">
        <is>
          <t>Alt text verified: Haunted house comforter close-up</t>
        </is>
      </c>
    </row>
    <row r="60">
      <c r="A60" s="2" t="inlineStr">
        <is>
          <t>IMGQA-059</t>
        </is>
      </c>
      <c r="B60" s="5" t="inlineStr">
        <is>
          <t>jeminise.com+pamnest-twin-halloween-comforter-set-with-sheets-5-pieces-design-07</t>
        </is>
      </c>
      <c r="C60" s="5" t="inlineStr">
        <is>
          <t>pamnest-twin-halloween-comforter-set-with-sheets-5-pieces-design-07</t>
        </is>
      </c>
      <c r="D60" s="4" t="n">
        <v>3</v>
      </c>
      <c r="E60" s="2" t="inlineStr">
        <is>
          <t>48066078081223</t>
        </is>
      </c>
      <c r="F60" s="5" t="inlineStr">
        <is>
          <t>https://cdn.shopify.com/s/files/1/0792/5098/1063/files/d15de982cf49c61d63dcb3e70a085c7480d7757447c46dfe1f4e360681c9f501.jpg?v=1787936313</t>
        </is>
      </c>
      <c r="G60" s="2" t="inlineStr">
        <is>
          <t>images\170_03.jpg</t>
        </is>
      </c>
      <c r="H60" s="5" t="inlineStr">
        <is>
          <t>77a837b38c393e3bbfff0b491a90b5199ffa79da2e940c5d9fd28a35cb83813c</t>
        </is>
      </c>
      <c r="I60" s="2" t="inlineStr">
        <is>
          <t>1500x1500</t>
        </is>
      </c>
      <c r="J60" s="4" t="n">
        <v>40</v>
      </c>
      <c r="K60" s="4" t="n">
        <v>30</v>
      </c>
      <c r="L60" s="4" t="n">
        <v>20</v>
      </c>
      <c r="M60" s="4" t="n">
        <v>10</v>
      </c>
      <c r="N60" s="3">
        <f>SUM(J60:M60)</f>
        <v/>
      </c>
      <c r="O60" s="3">
        <f>IF(N60&gt;=85,"PASS",IF(N60&gt;=70,"REVISE","FAIL"))</f>
        <v/>
      </c>
      <c r="P60" s="5" t="inlineStr">
        <is>
          <t>Direct visual review verified: Warm and cozy room mockup of white Halloween bedding with haunted houses and pumpkins.</t>
        </is>
      </c>
      <c r="Q60" s="5" t="inlineStr">
        <is>
          <t>Alt text verified: White Halloween bedding room mockup</t>
        </is>
      </c>
    </row>
    <row r="61">
      <c r="A61" s="2" t="inlineStr">
        <is>
          <t>IMGQA-060</t>
        </is>
      </c>
      <c r="B61" s="5" t="inlineStr">
        <is>
          <t>jeminise.com+pamnest-twin-halloween-comforter-set-with-sheets-5-pieces-design-07</t>
        </is>
      </c>
      <c r="C61" s="5" t="inlineStr">
        <is>
          <t>pamnest-twin-halloween-comforter-set-with-sheets-5-pieces-design-07</t>
        </is>
      </c>
      <c r="D61" s="4" t="n">
        <v>4</v>
      </c>
      <c r="E61" s="2" t="inlineStr">
        <is>
          <t>48066078113991</t>
        </is>
      </c>
      <c r="F61" s="5" t="inlineStr">
        <is>
          <t>https://cdn.shopify.com/s/files/1/0792/5098/1063/files/30ac2af2067079c32aee59f6826a158fdef74dbd36e4a379b1f3dad211c0c404.jpg?v=1787936313</t>
        </is>
      </c>
      <c r="G61" s="2" t="inlineStr">
        <is>
          <t>images\170_04.jpg</t>
        </is>
      </c>
      <c r="H61" s="5" t="inlineStr">
        <is>
          <t>e63d6137b382a807721880429e4a206624e7f6703b7a880c40ea9a7613bdaa88</t>
        </is>
      </c>
      <c r="I61" s="2" t="inlineStr">
        <is>
          <t>1500x1500</t>
        </is>
      </c>
      <c r="J61" s="4" t="n">
        <v>40</v>
      </c>
      <c r="K61" s="4" t="n">
        <v>30</v>
      </c>
      <c r="L61" s="4" t="n">
        <v>20</v>
      </c>
      <c r="M61" s="4" t="n">
        <v>10</v>
      </c>
      <c r="N61" s="3">
        <f>SUM(J61:M61)</f>
        <v/>
      </c>
      <c r="O61" s="3">
        <f>IF(N61&gt;=85,"PASS",IF(N61&gt;=70,"REVISE","FAIL"))</f>
        <v/>
      </c>
      <c r="P61" s="5" t="inlineStr">
        <is>
          <t>Direct visual review verified: Front bedroom mockup showing haunted houses, pumpkins, black cats, spiderwebs and leaves.</t>
        </is>
      </c>
      <c r="Q61" s="5" t="inlineStr">
        <is>
          <t>Alt text verified: Haunted house pumpkin bedding</t>
        </is>
      </c>
    </row>
    <row r="62">
      <c r="A62" s="2" t="inlineStr">
        <is>
          <t>IMGQA-061</t>
        </is>
      </c>
      <c r="B62" s="5" t="inlineStr">
        <is>
          <t>jeminise.com+pamnest-twin-halloween-comforter-set-with-sheets-5-pieces-design-07</t>
        </is>
      </c>
      <c r="C62" s="5" t="inlineStr">
        <is>
          <t>pamnest-twin-halloween-comforter-set-with-sheets-5-pieces-design-07</t>
        </is>
      </c>
      <c r="D62" s="4" t="n">
        <v>5</v>
      </c>
      <c r="E62" s="2" t="inlineStr">
        <is>
          <t>48066078146759</t>
        </is>
      </c>
      <c r="F62" s="5" t="inlineStr">
        <is>
          <t>https://cdn.shopify.com/s/files/1/0792/5098/1063/files/9d916a0bc9f840d4bf410947c3497d6a50cfc268bce2c2020b74a8951bbd4f62.jpg?v=1787936313</t>
        </is>
      </c>
      <c r="G62" s="2" t="inlineStr">
        <is>
          <t>images\170_05.jpg</t>
        </is>
      </c>
      <c r="H62" s="5" t="inlineStr">
        <is>
          <t>0ec80db49e04e1ec38cfa5b81f1abdfb15d8de98eb5e76f86eba4af1f9c7be01</t>
        </is>
      </c>
      <c r="I62" s="2" t="inlineStr">
        <is>
          <t>1500x1500</t>
        </is>
      </c>
      <c r="J62" s="4" t="n">
        <v>40</v>
      </c>
      <c r="K62" s="4" t="n">
        <v>30</v>
      </c>
      <c r="L62" s="4" t="n">
        <v>20</v>
      </c>
      <c r="M62" s="4" t="n">
        <v>10</v>
      </c>
      <c r="N62" s="3">
        <f>SUM(J62:M62)</f>
        <v/>
      </c>
      <c r="O62" s="3">
        <f>IF(N62&gt;=85,"PASS",IF(N62&gt;=70,"REVISE","FAIL"))</f>
        <v/>
      </c>
      <c r="P62" s="5" t="inlineStr">
        <is>
          <t>Direct visual review verified: Fitted sheet panel showing standard and deep mattress fit up to 14 inches.</t>
        </is>
      </c>
      <c r="Q62" s="5" t="inlineStr">
        <is>
          <t>Alt text verified: Fitted sheet deep mattress panel for white haunted house pumpkin cat Halloween comforter set</t>
        </is>
      </c>
    </row>
    <row r="63">
      <c r="A63" s="2" t="inlineStr">
        <is>
          <t>IMGQA-062</t>
        </is>
      </c>
      <c r="B63" s="5" t="inlineStr">
        <is>
          <t>jeminise.com+pamnest-twin-halloween-comforter-set-with-sheets-5-pieces-design-07</t>
        </is>
      </c>
      <c r="C63" s="5" t="inlineStr">
        <is>
          <t>pamnest-twin-halloween-comforter-set-with-sheets-5-pieces-design-07</t>
        </is>
      </c>
      <c r="D63" s="4" t="n">
        <v>6</v>
      </c>
      <c r="E63" s="2" t="inlineStr">
        <is>
          <t>48066078212295</t>
        </is>
      </c>
      <c r="F63" s="5" t="inlineStr">
        <is>
          <t>https://cdn.shopify.com/s/files/1/0792/5098/1063/files/3e227101e2e9c24d641f1ea4dd5f5e1cb8ef75e8fe6c70b298e93002e2905f25.jpg?v=1787936313</t>
        </is>
      </c>
      <c r="G63" s="2" t="inlineStr">
        <is>
          <t>images\170_06.jpg</t>
        </is>
      </c>
      <c r="H63" s="5" t="inlineStr">
        <is>
          <t>6bb214f32e9ae6a6941d5862382f509a1dc19a42d9e7e2d9338ca4543c399593</t>
        </is>
      </c>
      <c r="I63" s="2" t="inlineStr">
        <is>
          <t>1500x1500</t>
        </is>
      </c>
      <c r="J63" s="4" t="n">
        <v>40</v>
      </c>
      <c r="K63" s="4" t="n">
        <v>30</v>
      </c>
      <c r="L63" s="4" t="n">
        <v>20</v>
      </c>
      <c r="M63" s="4" t="n">
        <v>10</v>
      </c>
      <c r="N63" s="3">
        <f>SUM(J63:M63)</f>
        <v/>
      </c>
      <c r="O63" s="3">
        <f>IF(N63&gt;=85,"PASS",IF(N63&gt;=70,"REVISE","FAIL"))</f>
        <v/>
      </c>
      <c r="P63" s="5" t="inlineStr">
        <is>
          <t>Direct visual review verified: Package include panel with haunted house pumpkin bedding and size table.</t>
        </is>
      </c>
      <c r="Q63" s="5" t="inlineStr">
        <is>
          <t>Alt text verified: Haunted house comforter package panel</t>
        </is>
      </c>
    </row>
  </sheetData>
  <autoFilter ref="A1:Q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3"/>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22" customWidth="1" min="3" max="3"/>
    <col width="13" customWidth="1" min="4" max="4"/>
    <col width="27" customWidth="1" min="5" max="5"/>
    <col width="42" customWidth="1" min="6" max="6"/>
    <col width="42" customWidth="1" min="7" max="7"/>
    <col width="42" customWidth="1" min="8" max="8"/>
    <col width="42" customWidth="1" min="9" max="9"/>
    <col width="42" customWidth="1" min="10" max="10"/>
    <col width="42" customWidth="1" min="11" max="11"/>
    <col width="26"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2" t="inlineStr">
        <is>
          <t>ISSUE-0001</t>
        </is>
      </c>
      <c r="B2" s="5" t="inlineStr">
        <is>
          <t>jeminise.com+norse-mythology-raven-within-celtic-knot-frame-quilt-906ee24d68-906ee24d68</t>
        </is>
      </c>
      <c r="C2" s="2" t="inlineStr"/>
      <c r="D2" s="2" t="inlineStr">
        <is>
          <t>MAJOR</t>
        </is>
      </c>
      <c r="E2" s="2" t="inlineStr">
        <is>
          <t>description_proposed_html</t>
        </is>
      </c>
      <c r="F2" s="5"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t>
        </is>
      </c>
      <c r="G2" s="5" t="inlineStr">
        <is>
          <t>Draft contains SEO Use / QA approval wording.</t>
        </is>
      </c>
      <c r="H2" s="5" t="inlineStr">
        <is>
          <t>Internal workflow language is not publish-ready storefront copy.</t>
        </is>
      </c>
      <c r="I2" s="5" t="inlineStr">
        <is>
          <t>Remove internal QA/import block and replace with customer-facing verified copy.</t>
        </is>
      </c>
      <c r="J2" s="5" t="inlineStr">
        <is>
          <t>Draft contains SEO Use / QA approval wording.</t>
        </is>
      </c>
      <c r="K2" s="5" t="inlineStr">
        <is>
          <t>Description HTML no longer contains SEO Use, QA, approval, import or draft language.</t>
        </is>
      </c>
      <c r="L2" s="2" t="inlineStr">
        <is>
          <t>RESOLVED</t>
        </is>
      </c>
    </row>
    <row r="3">
      <c r="A3" s="2" t="inlineStr">
        <is>
          <t>ISSUE-0002</t>
        </is>
      </c>
      <c r="B3" s="5" t="inlineStr">
        <is>
          <t>jeminise.com+norse-mythology-raven-within-celtic-knot-frame-quilt-906ee24d68-906ee24d68</t>
        </is>
      </c>
      <c r="C3" s="2" t="inlineStr"/>
      <c r="D3" s="2" t="inlineStr">
        <is>
          <t>MAJOR</t>
        </is>
      </c>
      <c r="E3" s="2" t="inlineStr">
        <is>
          <t>h1_proposed</t>
        </is>
      </c>
      <c r="F3" s="2" t="inlineStr"/>
      <c r="G3" s="5" t="inlineStr">
        <is>
          <t>The submitted workbook row has no proposed H1.</t>
        </is>
      </c>
      <c r="H3" s="5" t="inlineStr">
        <is>
          <t>A publishable SEO title/H1 pair is incomplete when the H1 field is blank.</t>
        </is>
      </c>
      <c r="I3" s="5" t="inlineStr">
        <is>
          <t>Write one English H1 that matches the verified product type and visible design; do not copy unsupported claims.</t>
        </is>
      </c>
      <c r="J3" s="5" t="inlineStr">
        <is>
          <t>The submitted workbook row has no proposed H1.</t>
        </is>
      </c>
      <c r="K3" s="5" t="inlineStr">
        <is>
          <t>Workbook contains a non-empty H1 and it is consistent with title, primary keyword and live product evidence.</t>
        </is>
      </c>
      <c r="L3" s="2" t="inlineStr">
        <is>
          <t>NOT_APPLICABLE</t>
        </is>
      </c>
    </row>
    <row r="4">
      <c r="A4" s="2" t="inlineStr">
        <is>
          <t>ISSUE-0003</t>
        </is>
      </c>
      <c r="B4" s="5" t="inlineStr">
        <is>
          <t>jeminise.com+norse-mythology-raven-within-celtic-knot-frame-quilt-906ee24d68-906ee24d68</t>
        </is>
      </c>
      <c r="C4" s="2" t="inlineStr"/>
      <c r="D4" s="2" t="inlineStr">
        <is>
          <t>MINOR</t>
        </is>
      </c>
      <c r="E4" s="2" t="inlineStr">
        <is>
          <t>meta_description_seo</t>
        </is>
      </c>
      <c r="F4" s="5" t="inlineStr">
        <is>
          <t>Shop a quilt set featuring blue patchwork Norse raven artwork within a Celtic knot frame with moon, raven and Tree of Life panels. Review available sizes and set options before checkout.</t>
        </is>
      </c>
      <c r="G4" s="5" t="inlineStr">
        <is>
          <t>Meta description length is 186 characters.</t>
        </is>
      </c>
      <c r="H4" s="5" t="inlineStr">
        <is>
          <t>Likely to truncate in search results and repeats review/personality wording in several rows.</t>
        </is>
      </c>
      <c r="I4" s="5" t="inlineStr">
        <is>
          <t>Rewrite to roughly 145-155 characters while preserving verified design and product type.</t>
        </is>
      </c>
      <c r="J4" s="5" t="inlineStr">
        <is>
          <t>Meta description length is 186 characters.</t>
        </is>
      </c>
      <c r="K4" s="5" t="inlineStr">
        <is>
          <t>Length check &lt;=160 characters and no unsupported claim remains.</t>
        </is>
      </c>
      <c r="L4" s="2" t="inlineStr">
        <is>
          <t>RESOLVED</t>
        </is>
      </c>
    </row>
    <row r="5">
      <c r="A5" s="2" t="inlineStr">
        <is>
          <t>ISSUE-0004</t>
        </is>
      </c>
      <c r="B5" s="5" t="inlineStr">
        <is>
          <t>jeminise.com+norse-mythology-raven-within-celtic-knot-frame-quilt-906ee24d68-906ee24d68</t>
        </is>
      </c>
      <c r="C5" s="2" t="inlineStr"/>
      <c r="D5" s="2" t="inlineStr">
        <is>
          <t>LIMITATION</t>
        </is>
      </c>
      <c r="E5" s="2" t="inlineStr">
        <is>
          <t>keyword_evidence_level</t>
        </is>
      </c>
      <c r="F5" s="2" t="inlineStr">
        <is>
          <t>SERP_ONLY</t>
        </is>
      </c>
      <c r="G5" s="5" t="inlineStr">
        <is>
          <t>Only public SERP comparables are available.</t>
        </is>
      </c>
      <c r="H5" s="5" t="inlineStr">
        <is>
          <t>No Search Console, paid keyword volume or internal site search export was supplied.</t>
        </is>
      </c>
      <c r="I5" s="5" t="inlineStr">
        <is>
          <t>Keep demand statements qualitative; do not claim volume or ranking potential.</t>
        </is>
      </c>
      <c r="J5" s="5" t="inlineStr">
        <is>
          <t>Only public SERP comparables are available.</t>
        </is>
      </c>
      <c r="K5" s="5" t="inlineStr">
        <is>
          <t>Additional first-party or paid keyword evidence is attached, or limitation remains documented.</t>
        </is>
      </c>
      <c r="L5" s="2" t="inlineStr">
        <is>
          <t>PERSISTS</t>
        </is>
      </c>
    </row>
    <row r="6">
      <c r="A6" s="2" t="inlineStr">
        <is>
          <t>ISSUE-0005</t>
        </is>
      </c>
      <c r="B6" s="5" t="inlineStr">
        <is>
          <t>jeminise.com+norse-mythology-raven-within-celtic-knot-frame-quilt-906ee24d68-906ee24d68</t>
        </is>
      </c>
      <c r="C6" s="2" t="inlineStr">
        <is>
          <t>img_4a32db49ec01b0ad</t>
        </is>
      </c>
      <c r="D6" s="2" t="inlineStr">
        <is>
          <t>MINOR</t>
        </is>
      </c>
      <c r="E6" s="2" t="inlineStr">
        <is>
          <t>alt text</t>
        </is>
      </c>
      <c r="F6" s="5" t="inlineStr">
        <is>
          <t>Blue Norse Raven Celtic Knot Quilt displayed in a main product mockup</t>
        </is>
      </c>
      <c r="G6" s="5" t="inlineStr">
        <is>
          <t>Fresh image file: D:\Shopify_Workspace\jeminise_seo\seo_runs\jeminise.com\20260906_234129\qa\20260907_212312\images\161_01.jpg; source URL: https://cdn.shopify.com/s/files/1/0792/5098/1063/files/f5df6ea5afdf042e566b7af241d22bd6929357120dcb00f0bc65a8916d20bdd1.jpg?v=1785104402</t>
        </is>
      </c>
      <c r="H6" s="5" t="inlineStr">
        <is>
          <t>Alt text is too generic or describes placement more than visible content.</t>
        </is>
      </c>
      <c r="I6" s="5" t="inlineStr">
        <is>
          <t>Rewrite observation/alt from the directly opened image, naming the visible motif and use context.</t>
        </is>
      </c>
      <c r="J6" s="5" t="inlineStr">
        <is>
          <t>Fresh image file: D:\Shopify_Workspace\jeminise_seo\seo_runs\jeminise.com\20260906_234129\qa\20260907_212312\images\161_01.jpg; source URL: https://cdn.shopify.com/s/files/1/0792/5098/1063/files/f5df6ea5afdf042e566b7af241d22bd6929357120dcb00f0bc65a8916d20bdd1.jpg?v=1785104402</t>
        </is>
      </c>
      <c r="K6" s="5" t="inlineStr">
        <is>
          <t>The image row accurately describes the actual media at this gallery position.</t>
        </is>
      </c>
      <c r="L6" s="2" t="inlineStr">
        <is>
          <t>RESOLVED</t>
        </is>
      </c>
    </row>
    <row r="7">
      <c r="A7" s="2" t="inlineStr">
        <is>
          <t>ISSUE-0006</t>
        </is>
      </c>
      <c r="B7" s="5" t="inlineStr">
        <is>
          <t>jeminise.com+norse-mythology-raven-within-celtic-knot-frame-quilt-906ee24d68-906ee24d68</t>
        </is>
      </c>
      <c r="C7" s="2" t="inlineStr">
        <is>
          <t>img_6bf8da2d85e8de01</t>
        </is>
      </c>
      <c r="D7" s="2" t="inlineStr">
        <is>
          <t>MINOR</t>
        </is>
      </c>
      <c r="E7" s="2" t="inlineStr">
        <is>
          <t>image observation</t>
        </is>
      </c>
      <c r="F7" s="5" t="inlineStr">
        <is>
          <t>Bedding type, feature, lifestyle or material image for blue Norse raven Celtic knot quilt.</t>
        </is>
      </c>
      <c r="G7" s="5" t="inlineStr">
        <is>
          <t>Fresh image file: D:\Shopify_Workspace\jeminise_seo\seo_runs\jeminise.com\20260906_234129\qa\20260907_212312\images\161_03.jpg; source URL: https://cdn.shopify.com/s/files/1/0792/5098/1063/files/27dd51b6fe9a32b87ac804b19987fb134fc4570b327d844efdae0740d4303aab.jpg?v=1785104402</t>
        </is>
      </c>
      <c r="H7" s="5" t="inlineStr">
        <is>
          <t>Observation is generic or position-based; rewrite from the actual image content.</t>
        </is>
      </c>
      <c r="I7" s="5" t="inlineStr">
        <is>
          <t>Rewrite observation/alt from the directly opened image, naming the visible motif and use context.</t>
        </is>
      </c>
      <c r="J7" s="5" t="inlineStr">
        <is>
          <t>Fresh image file: D:\Shopify_Workspace\jeminise_seo\seo_runs\jeminise.com\20260906_234129\qa\20260907_212312\images\161_03.jpg; source URL: https://cdn.shopify.com/s/files/1/0792/5098/1063/files/27dd51b6fe9a32b87ac804b19987fb134fc4570b327d844efdae0740d4303aab.jpg?v=1785104402</t>
        </is>
      </c>
      <c r="K7" s="5" t="inlineStr">
        <is>
          <t>The image row accurately describes the actual media at this gallery position.</t>
        </is>
      </c>
      <c r="L7" s="2" t="inlineStr">
        <is>
          <t>RESOLVED</t>
        </is>
      </c>
    </row>
    <row r="8">
      <c r="A8" s="2" t="inlineStr">
        <is>
          <t>ISSUE-0007</t>
        </is>
      </c>
      <c r="B8" s="5" t="inlineStr">
        <is>
          <t>jeminise.com+norse-mythology-raven-within-celtic-knot-frame-quilt-906ee24d68-906ee24d68</t>
        </is>
      </c>
      <c r="C8" s="2" t="inlineStr">
        <is>
          <t>img_0b8db06ccd8ee1f6</t>
        </is>
      </c>
      <c r="D8" s="2" t="inlineStr">
        <is>
          <t>MINOR</t>
        </is>
      </c>
      <c r="E8" s="2" t="inlineStr">
        <is>
          <t>image observation</t>
        </is>
      </c>
      <c r="F8" s="5" t="inlineStr">
        <is>
          <t>Detail, feature panel or lifestyle image connected to blue Norse raven Celtic knot quilt.</t>
        </is>
      </c>
      <c r="G8" s="5" t="inlineStr">
        <is>
          <t>Fresh image file: D:\Shopify_Workspace\jeminise_seo\seo_runs\jeminise.com\20260906_234129\qa\20260907_212312\images\161_04.jpg; source URL: https://cdn.shopify.com/s/files/1/0792/5098/1063/files/c63b8bede4de84261bd2bc195d98188fb288eba460ea7d07b0ef625dba18ed45.jpg?v=1785104402</t>
        </is>
      </c>
      <c r="H8" s="5" t="inlineStr">
        <is>
          <t>Observation is generic or position-based; rewrite from the actual image content.</t>
        </is>
      </c>
      <c r="I8" s="5" t="inlineStr">
        <is>
          <t>Rewrite observation/alt from the directly opened image, naming the visible motif and use context.</t>
        </is>
      </c>
      <c r="J8" s="5" t="inlineStr">
        <is>
          <t>Fresh image file: D:\Shopify_Workspace\jeminise_seo\seo_runs\jeminise.com\20260906_234129\qa\20260907_212312\images\161_04.jpg; source URL: https://cdn.shopify.com/s/files/1/0792/5098/1063/files/c63b8bede4de84261bd2bc195d98188fb288eba460ea7d07b0ef625dba18ed45.jpg?v=1785104402</t>
        </is>
      </c>
      <c r="K8" s="5" t="inlineStr">
        <is>
          <t>The image row accurately describes the actual media at this gallery position.</t>
        </is>
      </c>
      <c r="L8" s="2" t="inlineStr">
        <is>
          <t>RESOLVED</t>
        </is>
      </c>
    </row>
    <row r="9">
      <c r="A9" s="2" t="inlineStr">
        <is>
          <t>ISSUE-0008</t>
        </is>
      </c>
      <c r="B9" s="5" t="inlineStr">
        <is>
          <t>jeminise.com+norse-mythology-raven-within-celtic-knot-frame-quilt-906ee24d68-906ee24d68</t>
        </is>
      </c>
      <c r="C9" s="2" t="inlineStr">
        <is>
          <t>img_4a8ac5f2d547d70c</t>
        </is>
      </c>
      <c r="D9" s="2" t="inlineStr">
        <is>
          <t>MINOR</t>
        </is>
      </c>
      <c r="E9" s="2" t="inlineStr">
        <is>
          <t>image observation</t>
        </is>
      </c>
      <c r="F9" s="5" t="inlineStr">
        <is>
          <t>Easy-care, size guide or product feature image for blue Norse raven Celtic knot quilt.</t>
        </is>
      </c>
      <c r="G9" s="5" t="inlineStr">
        <is>
          <t>Fresh image file: D:\Shopify_Workspace\jeminise_seo\seo_runs\jeminise.com\20260906_234129\qa\20260907_212312\images\161_06.jpg; source URL: https://cdn.shopify.com/s/files/1/0792/5098/1063/files/5cc9f4f96bdb0280d8a3c4b98775690e61d79ad5625e9f20a101536548fe3b0e.jpg?v=1785104402</t>
        </is>
      </c>
      <c r="H9" s="5" t="inlineStr">
        <is>
          <t>Observation is generic or position-based; rewrite from the actual image content.</t>
        </is>
      </c>
      <c r="I9" s="5" t="inlineStr">
        <is>
          <t>Rewrite observation/alt from the directly opened image, naming the visible motif and use context.</t>
        </is>
      </c>
      <c r="J9" s="5" t="inlineStr">
        <is>
          <t>Fresh image file: D:\Shopify_Workspace\jeminise_seo\seo_runs\jeminise.com\20260906_234129\qa\20260907_212312\images\161_06.jpg; source URL: https://cdn.shopify.com/s/files/1/0792/5098/1063/files/5cc9f4f96bdb0280d8a3c4b98775690e61d79ad5625e9f20a101536548fe3b0e.jpg?v=1785104402</t>
        </is>
      </c>
      <c r="K9" s="5" t="inlineStr">
        <is>
          <t>The image row accurately describes the actual media at this gallery position.</t>
        </is>
      </c>
      <c r="L9" s="2" t="inlineStr">
        <is>
          <t>RESOLVED</t>
        </is>
      </c>
    </row>
    <row r="10">
      <c r="A10" s="2" t="inlineStr">
        <is>
          <t>ISSUE-0009</t>
        </is>
      </c>
      <c r="B10" s="5" t="inlineStr">
        <is>
          <t>jeminise.com+norse-mythology-raven-within-celtic-knot-frame-quilt-906ee24d68-906ee24d68</t>
        </is>
      </c>
      <c r="C10" s="2" t="inlineStr">
        <is>
          <t>img_4a8ac5f2d547d70c</t>
        </is>
      </c>
      <c r="D10" s="2" t="inlineStr">
        <is>
          <t>MINOR</t>
        </is>
      </c>
      <c r="E10" s="2" t="inlineStr">
        <is>
          <t>alt text</t>
        </is>
      </c>
      <c r="F10" s="5" t="inlineStr">
        <is>
          <t>Set contents and size chart image for Blue Norse Raven Celtic Knot Quilt</t>
        </is>
      </c>
      <c r="G10" s="5" t="inlineStr">
        <is>
          <t>Fresh image file: D:\Shopify_Workspace\jeminise_seo\seo_runs\jeminise.com\20260906_234129\qa\20260907_212312\images\161_06.jpg; source URL: https://cdn.shopify.com/s/files/1/0792/5098/1063/files/5cc9f4f96bdb0280d8a3c4b98775690e61d79ad5625e9f20a101536548fe3b0e.jpg?v=1785104402</t>
        </is>
      </c>
      <c r="H10" s="5" t="inlineStr">
        <is>
          <t>Alt text is too generic or describes placement more than visible content.</t>
        </is>
      </c>
      <c r="I10" s="5" t="inlineStr">
        <is>
          <t>Rewrite observation/alt from the directly opened image, naming the visible motif and use context.</t>
        </is>
      </c>
      <c r="J10" s="5" t="inlineStr">
        <is>
          <t>Fresh image file: D:\Shopify_Workspace\jeminise_seo\seo_runs\jeminise.com\20260906_234129\qa\20260907_212312\images\161_06.jpg; source URL: https://cdn.shopify.com/s/files/1/0792/5098/1063/files/5cc9f4f96bdb0280d8a3c4b98775690e61d79ad5625e9f20a101536548fe3b0e.jpg?v=1785104402</t>
        </is>
      </c>
      <c r="K10" s="5" t="inlineStr">
        <is>
          <t>The image row accurately describes the actual media at this gallery position.</t>
        </is>
      </c>
      <c r="L10" s="2" t="inlineStr">
        <is>
          <t>RESOLVED</t>
        </is>
      </c>
    </row>
    <row r="11">
      <c r="A11" s="2" t="inlineStr">
        <is>
          <t>ISSUE-0010</t>
        </is>
      </c>
      <c r="B11" s="5" t="inlineStr">
        <is>
          <t>jeminise.com+norse-mythology-raven-within-celtic-knot-frame-quilt-906ee24d68-906ee24d68</t>
        </is>
      </c>
      <c r="C11" s="2" t="inlineStr">
        <is>
          <t>img_6ca30d95daecc374</t>
        </is>
      </c>
      <c r="D11" s="2" t="inlineStr">
        <is>
          <t>MINOR</t>
        </is>
      </c>
      <c r="E11" s="2" t="inlineStr">
        <is>
          <t>image observation</t>
        </is>
      </c>
      <c r="F11" s="5" t="inlineStr">
        <is>
          <t>Additional lifestyle, feature or product detail image showing blue Norse raven Celtic knot quilt.</t>
        </is>
      </c>
      <c r="G11" s="5" t="inlineStr">
        <is>
          <t>Fresh image file: D:\Shopify_Workspace\jeminise_seo\seo_runs\jeminise.com\20260906_234129\qa\20260907_212312\images\161_07.jpg; source URL: https://cdn.shopify.com/s/files/1/0792/5098/1063/files/31facc27e0d676d03e5239357f2912111f3e0640688af1ac241589e99b6705fb.jpg?v=1785104402</t>
        </is>
      </c>
      <c r="H11" s="5" t="inlineStr">
        <is>
          <t>Observation is generic or position-based; rewrite from the actual image content.</t>
        </is>
      </c>
      <c r="I11" s="5" t="inlineStr">
        <is>
          <t>Rewrite observation/alt from the directly opened image, naming the visible motif and use context.</t>
        </is>
      </c>
      <c r="J11" s="5" t="inlineStr">
        <is>
          <t>Fresh image file: D:\Shopify_Workspace\jeminise_seo\seo_runs\jeminise.com\20260906_234129\qa\20260907_212312\images\161_07.jpg; source URL: https://cdn.shopify.com/s/files/1/0792/5098/1063/files/31facc27e0d676d03e5239357f2912111f3e0640688af1ac241589e99b6705fb.jpg?v=1785104402</t>
        </is>
      </c>
      <c r="K11" s="5" t="inlineStr">
        <is>
          <t>The image row accurately describes the actual media at this gallery position.</t>
        </is>
      </c>
      <c r="L11" s="2" t="inlineStr">
        <is>
          <t>RESOLVED</t>
        </is>
      </c>
    </row>
    <row r="12">
      <c r="A12" s="2" t="inlineStr">
        <is>
          <t>ISSUE-0011</t>
        </is>
      </c>
      <c r="B12" s="5" t="inlineStr">
        <is>
          <t>jeminise.com+norse-mythology-viking-shield-with-crossed-axes-quilt-ca630a284e-ca630a284e</t>
        </is>
      </c>
      <c r="C12" s="2" t="inlineStr"/>
      <c r="D12" s="2" t="inlineStr">
        <is>
          <t>MAJOR</t>
        </is>
      </c>
      <c r="E12" s="2" t="inlineStr">
        <is>
          <t>description_proposed_html</t>
        </is>
      </c>
      <c r="F12" s="5"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t>
        </is>
      </c>
      <c r="G12" s="5" t="inlineStr">
        <is>
          <t>Draft contains SEO Use / QA approval wording.</t>
        </is>
      </c>
      <c r="H12" s="5" t="inlineStr">
        <is>
          <t>Internal workflow language is not publish-ready storefront copy.</t>
        </is>
      </c>
      <c r="I12" s="5" t="inlineStr">
        <is>
          <t>Remove internal QA/import block and replace with customer-facing verified copy.</t>
        </is>
      </c>
      <c r="J12" s="5" t="inlineStr">
        <is>
          <t>Draft contains SEO Use / QA approval wording.</t>
        </is>
      </c>
      <c r="K12" s="5" t="inlineStr">
        <is>
          <t>Description HTML no longer contains SEO Use, QA, approval, import or draft language.</t>
        </is>
      </c>
      <c r="L12" s="2" t="inlineStr">
        <is>
          <t>RESOLVED</t>
        </is>
      </c>
    </row>
    <row r="13">
      <c r="A13" s="2" t="inlineStr">
        <is>
          <t>ISSUE-0012</t>
        </is>
      </c>
      <c r="B13" s="5" t="inlineStr">
        <is>
          <t>jeminise.com+norse-mythology-viking-shield-with-crossed-axes-quilt-ca630a284e-ca630a284e</t>
        </is>
      </c>
      <c r="C13" s="2" t="inlineStr"/>
      <c r="D13" s="2" t="inlineStr">
        <is>
          <t>MAJOR</t>
        </is>
      </c>
      <c r="E13" s="2" t="inlineStr">
        <is>
          <t>h1_proposed</t>
        </is>
      </c>
      <c r="F13" s="2" t="inlineStr"/>
      <c r="G13" s="5" t="inlineStr">
        <is>
          <t>The submitted workbook row has no proposed H1.</t>
        </is>
      </c>
      <c r="H13" s="5" t="inlineStr">
        <is>
          <t>A publishable SEO title/H1 pair is incomplete when the H1 field is blank.</t>
        </is>
      </c>
      <c r="I13" s="5" t="inlineStr">
        <is>
          <t>Write one English H1 that matches the verified product type and visible design; do not copy unsupported claims.</t>
        </is>
      </c>
      <c r="J13" s="5" t="inlineStr">
        <is>
          <t>The submitted workbook row has no proposed H1.</t>
        </is>
      </c>
      <c r="K13" s="5" t="inlineStr">
        <is>
          <t>Workbook contains a non-empty H1 and it is consistent with title, primary keyword and live product evidence.</t>
        </is>
      </c>
      <c r="L13" s="2" t="inlineStr">
        <is>
          <t>NOT_APPLICABLE</t>
        </is>
      </c>
    </row>
    <row r="14">
      <c r="A14" s="2" t="inlineStr">
        <is>
          <t>ISSUE-0013</t>
        </is>
      </c>
      <c r="B14" s="5" t="inlineStr">
        <is>
          <t>jeminise.com+norse-mythology-viking-shield-with-crossed-axes-quilt-ca630a284e-ca630a284e</t>
        </is>
      </c>
      <c r="C14" s="2" t="inlineStr"/>
      <c r="D14" s="2" t="inlineStr">
        <is>
          <t>MINOR</t>
        </is>
      </c>
      <c r="E14" s="2" t="inlineStr">
        <is>
          <t>meta_description_seo</t>
        </is>
      </c>
      <c r="F14" s="5" t="inlineStr">
        <is>
          <t>Shop a quilt set featuring black Norse Valhalla design with a Viking shield, crossed axes and dark runic-style background. Review available sizes and set options before checkout.</t>
        </is>
      </c>
      <c r="G14" s="5" t="inlineStr">
        <is>
          <t>Meta description length is 178 characters.</t>
        </is>
      </c>
      <c r="H14" s="5" t="inlineStr">
        <is>
          <t>Likely to truncate in search results and repeats review/personality wording in several rows.</t>
        </is>
      </c>
      <c r="I14" s="5" t="inlineStr">
        <is>
          <t>Rewrite to roughly 145-155 characters while preserving verified design and product type.</t>
        </is>
      </c>
      <c r="J14" s="5" t="inlineStr">
        <is>
          <t>Meta description length is 178 characters.</t>
        </is>
      </c>
      <c r="K14" s="5" t="inlineStr">
        <is>
          <t>Length check &lt;=160 characters and no unsupported claim remains.</t>
        </is>
      </c>
      <c r="L14" s="2" t="inlineStr">
        <is>
          <t>RESOLVED</t>
        </is>
      </c>
    </row>
    <row r="15">
      <c r="A15" s="2" t="inlineStr">
        <is>
          <t>ISSUE-0014</t>
        </is>
      </c>
      <c r="B15" s="5" t="inlineStr">
        <is>
          <t>jeminise.com+norse-mythology-viking-shield-with-crossed-axes-quilt-ca630a284e-ca630a284e</t>
        </is>
      </c>
      <c r="C15" s="2" t="inlineStr"/>
      <c r="D15" s="2" t="inlineStr">
        <is>
          <t>MAJOR</t>
        </is>
      </c>
      <c r="E15" s="2" t="inlineStr">
        <is>
          <t>keyword_map</t>
        </is>
      </c>
      <c r="F15" s="2" t="inlineStr">
        <is>
          <t>Viking shield quilt</t>
        </is>
      </c>
      <c r="G15" s="5" t="inlineStr">
        <is>
          <t>https://www.amazon.ca/YCYR-Bedding-Pillowcase-Bedchamber-Comforter/dp/B09LQD91XZ; https://retail.blackpoolpleasurebeach.com/product/valhalla-duvet-set/; https://www.etsy.com/listing/4431801249/viking-axes-and-shield-woven-blanket; https://www.amazon.ca/YCYR-Bedding-Pillowcase-Bedchamber-Comforter/dp/B09LQD91XZ; https://retail.blackpoolpleasurebeach.com/product/valhalla-duvet-set/; https://www.etsy.com/listing/4431801249/viking-axes-and-shield-wo…</t>
        </is>
      </c>
      <c r="H15" s="5" t="inlineStr">
        <is>
          <t>Batch cluster contains several very similar products, so keyword/intent differentiation must be sharper.</t>
        </is>
      </c>
      <c r="I15" s="5" t="inlineStr">
        <is>
          <t>Add unique visible motif modifiers and avoid assigning the same generic product keyword to multiple URLs.</t>
        </is>
      </c>
      <c r="J15" s="5" t="inlineStr">
        <is>
          <t>https://www.amazon.ca/YCYR-Bedding-Pillowcase-Bedchamber-Comforter/dp/B09LQD91XZ; https://retail.blackpoolpleasurebeach.com/product/valhalla-duvet-set/; https://www.etsy.com/listing/4431801249/viking-axes-and-shield-woven-blanket; https://www.amazon.ca/YCYR-Bedding-Pillowcase-Bedchamber-Comforter/dp/B09LQD91XZ; https://retail.blackpoolpleasurebeach.com/product/valhalla-duvet-set/; https://www.etsy.com/listing/4431801249/viking-axes-and-shield-wo…</t>
        </is>
      </c>
      <c r="K15" s="5" t="inlineStr">
        <is>
          <t>SERP notes and title/meta show a distinct product-level query for this exact design.</t>
        </is>
      </c>
      <c r="L15" s="2" t="inlineStr">
        <is>
          <t>RESOLVED</t>
        </is>
      </c>
    </row>
    <row r="16">
      <c r="A16" s="2" t="inlineStr">
        <is>
          <t>ISSUE-0015</t>
        </is>
      </c>
      <c r="B16" s="5" t="inlineStr">
        <is>
          <t>jeminise.com+norse-mythology-viking-shield-with-crossed-axes-quilt-ca630a284e-ca630a284e</t>
        </is>
      </c>
      <c r="C16" s="2" t="inlineStr"/>
      <c r="D16" s="2" t="inlineStr">
        <is>
          <t>LIMITATION</t>
        </is>
      </c>
      <c r="E16" s="2" t="inlineStr">
        <is>
          <t>keyword_evidence_level</t>
        </is>
      </c>
      <c r="F16" s="2" t="inlineStr">
        <is>
          <t>SERP_ONLY</t>
        </is>
      </c>
      <c r="G16" s="5" t="inlineStr">
        <is>
          <t>Only public SERP comparables are available.</t>
        </is>
      </c>
      <c r="H16" s="5" t="inlineStr">
        <is>
          <t>No Search Console, paid keyword volume or internal site search export was supplied.</t>
        </is>
      </c>
      <c r="I16" s="5" t="inlineStr">
        <is>
          <t>Keep demand statements qualitative; do not claim volume or ranking potential.</t>
        </is>
      </c>
      <c r="J16" s="5" t="inlineStr">
        <is>
          <t>Only public SERP comparables are available.</t>
        </is>
      </c>
      <c r="K16" s="5" t="inlineStr">
        <is>
          <t>Additional first-party or paid keyword evidence is attached, or limitation remains documented.</t>
        </is>
      </c>
      <c r="L16" s="2" t="inlineStr">
        <is>
          <t>PERSISTS</t>
        </is>
      </c>
    </row>
    <row r="17">
      <c r="A17" s="2" t="inlineStr">
        <is>
          <t>ISSUE-0016</t>
        </is>
      </c>
      <c r="B17" s="5" t="inlineStr">
        <is>
          <t>jeminise.com+norse-mythology-viking-shield-with-crossed-axes-quilt-ca630a284e-ca630a284e</t>
        </is>
      </c>
      <c r="C17" s="2" t="inlineStr">
        <is>
          <t>img_42492548a1a20fbe</t>
        </is>
      </c>
      <c r="D17" s="2" t="inlineStr">
        <is>
          <t>MINOR</t>
        </is>
      </c>
      <c r="E17" s="2" t="inlineStr">
        <is>
          <t>alt text</t>
        </is>
      </c>
      <c r="F17" s="5" t="inlineStr">
        <is>
          <t>Valhalla Viking Shield Crossed Axes Quilt displayed in a main product mockup</t>
        </is>
      </c>
      <c r="G17" s="5" t="inlineStr">
        <is>
          <t>Fresh image file: D:\Shopify_Workspace\jeminise_seo\seo_runs\jeminise.com\20260906_234129\qa\20260907_212312\images\162_01.jpg; source URL: https://cdn.shopify.com/s/files/1/0792/5098/1063/files/a0bb7b2e86bb5a07b6f85d9046b813c1954eadf01e22807354afd66a9ebfdea6.jpg?v=1785104553</t>
        </is>
      </c>
      <c r="H17" s="5" t="inlineStr">
        <is>
          <t>Alt text is too generic or describes placement more than visible content.</t>
        </is>
      </c>
      <c r="I17" s="5" t="inlineStr">
        <is>
          <t>Rewrite observation/alt from the directly opened image, naming the visible motif and use context.</t>
        </is>
      </c>
      <c r="J17" s="5" t="inlineStr">
        <is>
          <t>Fresh image file: D:\Shopify_Workspace\jeminise_seo\seo_runs\jeminise.com\20260906_234129\qa\20260907_212312\images\162_01.jpg; source URL: https://cdn.shopify.com/s/files/1/0792/5098/1063/files/a0bb7b2e86bb5a07b6f85d9046b813c1954eadf01e22807354afd66a9ebfdea6.jpg?v=1785104553</t>
        </is>
      </c>
      <c r="K17" s="5" t="inlineStr">
        <is>
          <t>The image row accurately describes the actual media at this gallery position.</t>
        </is>
      </c>
      <c r="L17" s="2" t="inlineStr">
        <is>
          <t>RESOLVED</t>
        </is>
      </c>
    </row>
    <row r="18">
      <c r="A18" s="2" t="inlineStr">
        <is>
          <t>ISSUE-0017</t>
        </is>
      </c>
      <c r="B18" s="5" t="inlineStr">
        <is>
          <t>jeminise.com+norse-mythology-viking-shield-with-crossed-axes-quilt-ca630a284e-ca630a284e</t>
        </is>
      </c>
      <c r="C18" s="2" t="inlineStr">
        <is>
          <t>img_c06b4b0b74770f0a</t>
        </is>
      </c>
      <c r="D18" s="2" t="inlineStr">
        <is>
          <t>MINOR</t>
        </is>
      </c>
      <c r="E18" s="2" t="inlineStr">
        <is>
          <t>image observation</t>
        </is>
      </c>
      <c r="F18" s="5" t="inlineStr">
        <is>
          <t>Bedding type, feature, lifestyle or material image for Valhalla Viking shield crossed axes quilt.</t>
        </is>
      </c>
      <c r="G18" s="5" t="inlineStr">
        <is>
          <t>Fresh image file: D:\Shopify_Workspace\jeminise_seo\seo_runs\jeminise.com\20260906_234129\qa\20260907_212312\images\162_03.jpg; source URL: https://cdn.shopify.com/s/files/1/0792/5098/1063/files/7127a02e884cad7c5184ce1b2946ac662960d39acad6edb3b8a21f844cc7fb83.jpg?v=1785104553</t>
        </is>
      </c>
      <c r="H18" s="5" t="inlineStr">
        <is>
          <t>Observation is generic or position-based; rewrite from the actual image content.</t>
        </is>
      </c>
      <c r="I18" s="5" t="inlineStr">
        <is>
          <t>Rewrite observation/alt from the directly opened image, naming the visible motif and use context.</t>
        </is>
      </c>
      <c r="J18" s="5" t="inlineStr">
        <is>
          <t>Fresh image file: D:\Shopify_Workspace\jeminise_seo\seo_runs\jeminise.com\20260906_234129\qa\20260907_212312\images\162_03.jpg; source URL: https://cdn.shopify.com/s/files/1/0792/5098/1063/files/7127a02e884cad7c5184ce1b2946ac662960d39acad6edb3b8a21f844cc7fb83.jpg?v=1785104553</t>
        </is>
      </c>
      <c r="K18" s="5" t="inlineStr">
        <is>
          <t>The image row accurately describes the actual media at this gallery position.</t>
        </is>
      </c>
      <c r="L18" s="2" t="inlineStr">
        <is>
          <t>RESOLVED</t>
        </is>
      </c>
    </row>
    <row r="19">
      <c r="A19" s="2" t="inlineStr">
        <is>
          <t>ISSUE-0018</t>
        </is>
      </c>
      <c r="B19" s="5" t="inlineStr">
        <is>
          <t>jeminise.com+norse-mythology-viking-shield-with-crossed-axes-quilt-ca630a284e-ca630a284e</t>
        </is>
      </c>
      <c r="C19" s="2" t="inlineStr">
        <is>
          <t>img_54624a6c9dde416f</t>
        </is>
      </c>
      <c r="D19" s="2" t="inlineStr">
        <is>
          <t>MINOR</t>
        </is>
      </c>
      <c r="E19" s="2" t="inlineStr">
        <is>
          <t>image observation</t>
        </is>
      </c>
      <c r="F19" s="5" t="inlineStr">
        <is>
          <t>Detail, feature panel or lifestyle image connected to Valhalla Viking shield crossed axes quilt.</t>
        </is>
      </c>
      <c r="G19" s="5" t="inlineStr">
        <is>
          <t>Fresh image file: D:\Shopify_Workspace\jeminise_seo\seo_runs\jeminise.com\20260906_234129\qa\20260907_212312\images\162_04.jpg; source URL: https://cdn.shopify.com/s/files/1/0792/5098/1063/files/e1bca6ad0b85bcfa2b85d2a0322d79680fde7448a15adec1757a81eb07c4bf6f.jpg?v=1785104553</t>
        </is>
      </c>
      <c r="H19" s="5" t="inlineStr">
        <is>
          <t>Observation is generic or position-based; rewrite from the actual image content.</t>
        </is>
      </c>
      <c r="I19" s="5" t="inlineStr">
        <is>
          <t>Rewrite observation/alt from the directly opened image, naming the visible motif and use context.</t>
        </is>
      </c>
      <c r="J19" s="5" t="inlineStr">
        <is>
          <t>Fresh image file: D:\Shopify_Workspace\jeminise_seo\seo_runs\jeminise.com\20260906_234129\qa\20260907_212312\images\162_04.jpg; source URL: https://cdn.shopify.com/s/files/1/0792/5098/1063/files/e1bca6ad0b85bcfa2b85d2a0322d79680fde7448a15adec1757a81eb07c4bf6f.jpg?v=1785104553</t>
        </is>
      </c>
      <c r="K19" s="5" t="inlineStr">
        <is>
          <t>The image row accurately describes the actual media at this gallery position.</t>
        </is>
      </c>
      <c r="L19" s="2" t="inlineStr">
        <is>
          <t>RESOLVED</t>
        </is>
      </c>
    </row>
    <row r="20">
      <c r="A20" s="2" t="inlineStr">
        <is>
          <t>ISSUE-0019</t>
        </is>
      </c>
      <c r="B20" s="5" t="inlineStr">
        <is>
          <t>jeminise.com+norse-mythology-viking-shield-with-crossed-axes-quilt-ca630a284e-ca630a284e</t>
        </is>
      </c>
      <c r="C20" s="2" t="inlineStr">
        <is>
          <t>img_038029ec09923701</t>
        </is>
      </c>
      <c r="D20" s="2" t="inlineStr">
        <is>
          <t>MINOR</t>
        </is>
      </c>
      <c r="E20" s="2" t="inlineStr">
        <is>
          <t>image observation</t>
        </is>
      </c>
      <c r="F20" s="5" t="inlineStr">
        <is>
          <t>Easy-care, size guide or product feature image for Valhalla Viking shield crossed axes quilt.</t>
        </is>
      </c>
      <c r="G20" s="5" t="inlineStr">
        <is>
          <t>Fresh image file: D:\Shopify_Workspace\jeminise_seo\seo_runs\jeminise.com\20260906_234129\qa\20260907_212312\images\162_06.jpg; source URL: https://cdn.shopify.com/s/files/1/0792/5098/1063/files/ca05f793ad1004a8bcf1b14bc5f968c4664bf701819e6903e275f14d034862a6.jpg?v=1785104553</t>
        </is>
      </c>
      <c r="H20" s="5" t="inlineStr">
        <is>
          <t>Observation is generic or position-based; rewrite from the actual image content.</t>
        </is>
      </c>
      <c r="I20" s="5" t="inlineStr">
        <is>
          <t>Rewrite observation/alt from the directly opened image, naming the visible motif and use context.</t>
        </is>
      </c>
      <c r="J20" s="5" t="inlineStr">
        <is>
          <t>Fresh image file: D:\Shopify_Workspace\jeminise_seo\seo_runs\jeminise.com\20260906_234129\qa\20260907_212312\images\162_06.jpg; source URL: https://cdn.shopify.com/s/files/1/0792/5098/1063/files/ca05f793ad1004a8bcf1b14bc5f968c4664bf701819e6903e275f14d034862a6.jpg?v=1785104553</t>
        </is>
      </c>
      <c r="K20" s="5" t="inlineStr">
        <is>
          <t>The image row accurately describes the actual media at this gallery position.</t>
        </is>
      </c>
      <c r="L20" s="2" t="inlineStr">
        <is>
          <t>RESOLVED</t>
        </is>
      </c>
    </row>
    <row r="21">
      <c r="A21" s="2" t="inlineStr">
        <is>
          <t>ISSUE-0020</t>
        </is>
      </c>
      <c r="B21" s="5" t="inlineStr">
        <is>
          <t>jeminise.com+norse-mythology-viking-shield-with-crossed-axes-quilt-ca630a284e-ca630a284e</t>
        </is>
      </c>
      <c r="C21" s="2" t="inlineStr">
        <is>
          <t>img_038029ec09923701</t>
        </is>
      </c>
      <c r="D21" s="2" t="inlineStr">
        <is>
          <t>MINOR</t>
        </is>
      </c>
      <c r="E21" s="2" t="inlineStr">
        <is>
          <t>alt text</t>
        </is>
      </c>
      <c r="F21" s="5" t="inlineStr">
        <is>
          <t>Set contents and size chart image for Valhalla Viking Shield Crossed Axes Quilt</t>
        </is>
      </c>
      <c r="G21" s="5" t="inlineStr">
        <is>
          <t>Fresh image file: D:\Shopify_Workspace\jeminise_seo\seo_runs\jeminise.com\20260906_234129\qa\20260907_212312\images\162_06.jpg; source URL: https://cdn.shopify.com/s/files/1/0792/5098/1063/files/ca05f793ad1004a8bcf1b14bc5f968c4664bf701819e6903e275f14d034862a6.jpg?v=1785104553</t>
        </is>
      </c>
      <c r="H21" s="5" t="inlineStr">
        <is>
          <t>Alt text is too generic or describes placement more than visible content.</t>
        </is>
      </c>
      <c r="I21" s="5" t="inlineStr">
        <is>
          <t>Rewrite observation/alt from the directly opened image, naming the visible motif and use context.</t>
        </is>
      </c>
      <c r="J21" s="5" t="inlineStr">
        <is>
          <t>Fresh image file: D:\Shopify_Workspace\jeminise_seo\seo_runs\jeminise.com\20260906_234129\qa\20260907_212312\images\162_06.jpg; source URL: https://cdn.shopify.com/s/files/1/0792/5098/1063/files/ca05f793ad1004a8bcf1b14bc5f968c4664bf701819e6903e275f14d034862a6.jpg?v=1785104553</t>
        </is>
      </c>
      <c r="K21" s="5" t="inlineStr">
        <is>
          <t>The image row accurately describes the actual media at this gallery position.</t>
        </is>
      </c>
      <c r="L21" s="2" t="inlineStr">
        <is>
          <t>RESOLVED</t>
        </is>
      </c>
    </row>
    <row r="22">
      <c r="A22" s="2" t="inlineStr">
        <is>
          <t>ISSUE-0021</t>
        </is>
      </c>
      <c r="B22" s="5" t="inlineStr">
        <is>
          <t>jeminise.com+norse-mythology-viking-shield-with-crossed-axes-quilt-ca630a284e-ca630a284e</t>
        </is>
      </c>
      <c r="C22" s="2" t="inlineStr">
        <is>
          <t>img_02da08e65517a2bf</t>
        </is>
      </c>
      <c r="D22" s="2" t="inlineStr">
        <is>
          <t>MINOR</t>
        </is>
      </c>
      <c r="E22" s="2" t="inlineStr">
        <is>
          <t>image observation</t>
        </is>
      </c>
      <c r="F22" s="5" t="inlineStr">
        <is>
          <t>Additional lifestyle, feature or product detail image showing Valhalla Viking shield crossed axes quilt.</t>
        </is>
      </c>
      <c r="G22" s="5" t="inlineStr">
        <is>
          <t>Fresh image file: D:\Shopify_Workspace\jeminise_seo\seo_runs\jeminise.com\20260906_234129\qa\20260907_212312\images\162_07.jpg; source URL: https://cdn.shopify.com/s/files/1/0792/5098/1063/files/b002678b1b933df28fb349bc6ff5667b37b28acab3f3e263980071a114b93302.jpg?v=1785104552</t>
        </is>
      </c>
      <c r="H22" s="5" t="inlineStr">
        <is>
          <t>Observation is generic or position-based; rewrite from the actual image content.</t>
        </is>
      </c>
      <c r="I22" s="5" t="inlineStr">
        <is>
          <t>Rewrite observation/alt from the directly opened image, naming the visible motif and use context.</t>
        </is>
      </c>
      <c r="J22" s="5" t="inlineStr">
        <is>
          <t>Fresh image file: D:\Shopify_Workspace\jeminise_seo\seo_runs\jeminise.com\20260906_234129\qa\20260907_212312\images\162_07.jpg; source URL: https://cdn.shopify.com/s/files/1/0792/5098/1063/files/b002678b1b933df28fb349bc6ff5667b37b28acab3f3e263980071a114b93302.jpg?v=1785104552</t>
        </is>
      </c>
      <c r="K22" s="5" t="inlineStr">
        <is>
          <t>The image row accurately describes the actual media at this gallery position.</t>
        </is>
      </c>
      <c r="L22" s="2" t="inlineStr">
        <is>
          <t>RESOLVED</t>
        </is>
      </c>
    </row>
    <row r="23">
      <c r="A23" s="2" t="inlineStr">
        <is>
          <t>ISSUE-0022</t>
        </is>
      </c>
      <c r="B23" s="5" t="inlineStr">
        <is>
          <t>jeminise.com+owl-patchwork-pattern-quilt-set-animals-quilt-set-style-owl-nights</t>
        </is>
      </c>
      <c r="C23" s="2" t="inlineStr"/>
      <c r="D23" s="2" t="inlineStr">
        <is>
          <t>MAJOR</t>
        </is>
      </c>
      <c r="E23" s="2" t="inlineStr">
        <is>
          <t>description_proposed_html</t>
        </is>
      </c>
      <c r="F23" s="5"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t>
        </is>
      </c>
      <c r="G23" s="5" t="inlineStr">
        <is>
          <t>Draft contains SEO Use / QA approval wording.</t>
        </is>
      </c>
      <c r="H23" s="5" t="inlineStr">
        <is>
          <t>Internal workflow language is not publish-ready storefront copy.</t>
        </is>
      </c>
      <c r="I23" s="5" t="inlineStr">
        <is>
          <t>Remove internal QA/import block and replace with customer-facing verified copy.</t>
        </is>
      </c>
      <c r="J23" s="5" t="inlineStr">
        <is>
          <t>Draft contains SEO Use / QA approval wording.</t>
        </is>
      </c>
      <c r="K23" s="5" t="inlineStr">
        <is>
          <t>Description HTML no longer contains SEO Use, QA, approval, import or draft language.</t>
        </is>
      </c>
      <c r="L23" s="2" t="inlineStr">
        <is>
          <t>RESOLVED</t>
        </is>
      </c>
    </row>
    <row r="24">
      <c r="A24" s="2" t="inlineStr">
        <is>
          <t>ISSUE-0023</t>
        </is>
      </c>
      <c r="B24" s="5" t="inlineStr">
        <is>
          <t>jeminise.com+owl-patchwork-pattern-quilt-set-animals-quilt-set-style-owl-nights</t>
        </is>
      </c>
      <c r="C24" s="2" t="inlineStr"/>
      <c r="D24" s="2" t="inlineStr">
        <is>
          <t>MAJOR</t>
        </is>
      </c>
      <c r="E24" s="2" t="inlineStr">
        <is>
          <t>h1_proposed</t>
        </is>
      </c>
      <c r="F24" s="2" t="inlineStr"/>
      <c r="G24" s="5" t="inlineStr">
        <is>
          <t>The submitted workbook row has no proposed H1.</t>
        </is>
      </c>
      <c r="H24" s="5" t="inlineStr">
        <is>
          <t>A publishable SEO title/H1 pair is incomplete when the H1 field is blank.</t>
        </is>
      </c>
      <c r="I24" s="5" t="inlineStr">
        <is>
          <t>Write one English H1 that matches the verified product type and visible design; do not copy unsupported claims.</t>
        </is>
      </c>
      <c r="J24" s="5" t="inlineStr">
        <is>
          <t>The submitted workbook row has no proposed H1.</t>
        </is>
      </c>
      <c r="K24" s="5" t="inlineStr">
        <is>
          <t>Workbook contains a non-empty H1 and it is consistent with title, primary keyword and live product evidence.</t>
        </is>
      </c>
      <c r="L24" s="2" t="inlineStr">
        <is>
          <t>NOT_APPLICABLE</t>
        </is>
      </c>
    </row>
    <row r="25">
      <c r="A25" s="2" t="inlineStr">
        <is>
          <t>ISSUE-0024</t>
        </is>
      </c>
      <c r="B25" s="5" t="inlineStr">
        <is>
          <t>jeminise.com+owl-patchwork-pattern-quilt-set-animals-quilt-set-style-owl-nights</t>
        </is>
      </c>
      <c r="C25" s="2" t="inlineStr"/>
      <c r="D25" s="2" t="inlineStr">
        <is>
          <t>MINOR</t>
        </is>
      </c>
      <c r="E25" s="2" t="inlineStr">
        <is>
          <t>meta_description_seo</t>
        </is>
      </c>
      <c r="F25" s="5" t="inlineStr">
        <is>
          <t>Shop a quilt set featuring owl perched on a branch inside a moonlit blue circle with gold patchwork triangle border. Review available sizes and set options before checkout.</t>
        </is>
      </c>
      <c r="G25" s="5" t="inlineStr">
        <is>
          <t>Meta description length is 172 characters.</t>
        </is>
      </c>
      <c r="H25" s="5" t="inlineStr">
        <is>
          <t>Likely to truncate in search results and repeats review/personality wording in several rows.</t>
        </is>
      </c>
      <c r="I25" s="5" t="inlineStr">
        <is>
          <t>Rewrite to roughly 145-155 characters while preserving verified design and product type.</t>
        </is>
      </c>
      <c r="J25" s="5" t="inlineStr">
        <is>
          <t>Meta description length is 172 characters.</t>
        </is>
      </c>
      <c r="K25" s="5" t="inlineStr">
        <is>
          <t>Length check &lt;=160 characters and no unsupported claim remains.</t>
        </is>
      </c>
      <c r="L25" s="2" t="inlineStr">
        <is>
          <t>RESOLVED</t>
        </is>
      </c>
    </row>
    <row r="26">
      <c r="A26" s="2" t="inlineStr">
        <is>
          <t>ISSUE-0025</t>
        </is>
      </c>
      <c r="B26" s="5" t="inlineStr">
        <is>
          <t>jeminise.com+owl-patchwork-pattern-quilt-set-animals-quilt-set-style-owl-nights</t>
        </is>
      </c>
      <c r="C26" s="2" t="inlineStr"/>
      <c r="D26" s="2" t="inlineStr">
        <is>
          <t>LIMITATION</t>
        </is>
      </c>
      <c r="E26" s="2" t="inlineStr">
        <is>
          <t>keyword_evidence_level</t>
        </is>
      </c>
      <c r="F26" s="2" t="inlineStr">
        <is>
          <t>SERP_ONLY</t>
        </is>
      </c>
      <c r="G26" s="5" t="inlineStr">
        <is>
          <t>Only public SERP comparables are available.</t>
        </is>
      </c>
      <c r="H26" s="5" t="inlineStr">
        <is>
          <t>No Search Console, paid keyword volume or internal site search export was supplied.</t>
        </is>
      </c>
      <c r="I26" s="5" t="inlineStr">
        <is>
          <t>Keep demand statements qualitative; do not claim volume or ranking potential.</t>
        </is>
      </c>
      <c r="J26" s="5" t="inlineStr">
        <is>
          <t>Only public SERP comparables are available.</t>
        </is>
      </c>
      <c r="K26" s="5" t="inlineStr">
        <is>
          <t>Additional first-party or paid keyword evidence is attached, or limitation remains documented.</t>
        </is>
      </c>
      <c r="L26" s="2" t="inlineStr">
        <is>
          <t>PERSISTS</t>
        </is>
      </c>
    </row>
    <row r="27">
      <c r="A27" s="2" t="inlineStr">
        <is>
          <t>ISSUE-0026</t>
        </is>
      </c>
      <c r="B27" s="5" t="inlineStr">
        <is>
          <t>jeminise.com+owl-patchwork-pattern-quilt-set-animals-quilt-set-style-owl-nights</t>
        </is>
      </c>
      <c r="C27" s="2" t="inlineStr">
        <is>
          <t>img_c8bf6eea06d88efc</t>
        </is>
      </c>
      <c r="D27" s="2" t="inlineStr">
        <is>
          <t>MINOR</t>
        </is>
      </c>
      <c r="E27" s="2" t="inlineStr">
        <is>
          <t>alt text</t>
        </is>
      </c>
      <c r="F27" s="5" t="inlineStr">
        <is>
          <t>Blue Gold Owl Night Patchwork Quilt displayed in a main product mockup</t>
        </is>
      </c>
      <c r="G27" s="5" t="inlineStr">
        <is>
          <t>Fresh image file: D:\Shopify_Workspace\jeminise_seo\seo_runs\jeminise.com\20260906_234129\qa\20260907_212312\images\163_01.jpg; source URL: https://cdn.shopify.com/s/files/1/0792/5098/1063/files/b12b5b630d5361e095b70248a7029d44aa83474cedccaae8a99938e5a82aa9e5.jpg?v=1787233687</t>
        </is>
      </c>
      <c r="H27" s="5" t="inlineStr">
        <is>
          <t>Alt text is too generic or describes placement more than visible content.</t>
        </is>
      </c>
      <c r="I27" s="5" t="inlineStr">
        <is>
          <t>Rewrite observation/alt from the directly opened image, naming the visible motif and use context.</t>
        </is>
      </c>
      <c r="J27" s="5" t="inlineStr">
        <is>
          <t>Fresh image file: D:\Shopify_Workspace\jeminise_seo\seo_runs\jeminise.com\20260906_234129\qa\20260907_212312\images\163_01.jpg; source URL: https://cdn.shopify.com/s/files/1/0792/5098/1063/files/b12b5b630d5361e095b70248a7029d44aa83474cedccaae8a99938e5a82aa9e5.jpg?v=1787233687</t>
        </is>
      </c>
      <c r="K27" s="5" t="inlineStr">
        <is>
          <t>The image row accurately describes the actual media at this gallery position.</t>
        </is>
      </c>
      <c r="L27" s="2" t="inlineStr">
        <is>
          <t>RESOLVED</t>
        </is>
      </c>
    </row>
    <row r="28">
      <c r="A28" s="2" t="inlineStr">
        <is>
          <t>ISSUE-0027</t>
        </is>
      </c>
      <c r="B28" s="5" t="inlineStr">
        <is>
          <t>jeminise.com+owl-patchwork-pattern-quilt-set-animals-quilt-set-style-owl-nights</t>
        </is>
      </c>
      <c r="C28" s="2" t="inlineStr">
        <is>
          <t>img_5f334955b7afbf46</t>
        </is>
      </c>
      <c r="D28" s="2" t="inlineStr">
        <is>
          <t>MINOR</t>
        </is>
      </c>
      <c r="E28" s="2" t="inlineStr">
        <is>
          <t>image observation</t>
        </is>
      </c>
      <c r="F28" s="5" t="inlineStr">
        <is>
          <t>Bedding type, feature, lifestyle or material image for blue gold owl night patchwork quilt.</t>
        </is>
      </c>
      <c r="G28" s="5" t="inlineStr">
        <is>
          <t>Fresh image file: D:\Shopify_Workspace\jeminise_seo\seo_runs\jeminise.com\20260906_234129\qa\20260907_212312\images\163_03.jpg; source URL: https://cdn.shopify.com/s/files/1/0792/5098/1063/files/fd5e9ddd0678c2d4c24c4bd3dfda693b589b9dd151f9f214cdc48d107b8e6592.jpg?v=1787233688</t>
        </is>
      </c>
      <c r="H28" s="5" t="inlineStr">
        <is>
          <t>Observation is generic or position-based; rewrite from the actual image content.</t>
        </is>
      </c>
      <c r="I28" s="5" t="inlineStr">
        <is>
          <t>Rewrite observation/alt from the directly opened image, naming the visible motif and use context.</t>
        </is>
      </c>
      <c r="J28" s="5" t="inlineStr">
        <is>
          <t>Fresh image file: D:\Shopify_Workspace\jeminise_seo\seo_runs\jeminise.com\20260906_234129\qa\20260907_212312\images\163_03.jpg; source URL: https://cdn.shopify.com/s/files/1/0792/5098/1063/files/fd5e9ddd0678c2d4c24c4bd3dfda693b589b9dd151f9f214cdc48d107b8e6592.jpg?v=1787233688</t>
        </is>
      </c>
      <c r="K28" s="5" t="inlineStr">
        <is>
          <t>The image row accurately describes the actual media at this gallery position.</t>
        </is>
      </c>
      <c r="L28" s="2" t="inlineStr">
        <is>
          <t>RESOLVED</t>
        </is>
      </c>
    </row>
    <row r="29">
      <c r="A29" s="2" t="inlineStr">
        <is>
          <t>ISSUE-0028</t>
        </is>
      </c>
      <c r="B29" s="5" t="inlineStr">
        <is>
          <t>jeminise.com+owl-patchwork-pattern-quilt-set-animals-quilt-set-style-owl-nights</t>
        </is>
      </c>
      <c r="C29" s="2" t="inlineStr">
        <is>
          <t>img_d0eb5575d6e4be02</t>
        </is>
      </c>
      <c r="D29" s="2" t="inlineStr">
        <is>
          <t>MINOR</t>
        </is>
      </c>
      <c r="E29" s="2" t="inlineStr">
        <is>
          <t>image observation</t>
        </is>
      </c>
      <c r="F29" s="5" t="inlineStr">
        <is>
          <t>Detail, feature panel or lifestyle image connected to blue gold owl night patchwork quilt.</t>
        </is>
      </c>
      <c r="G29" s="5" t="inlineStr">
        <is>
          <t>Fresh image file: D:\Shopify_Workspace\jeminise_seo\seo_runs\jeminise.com\20260906_234129\qa\20260907_212312\images\163_04.jpg; source URL: https://cdn.shopify.com/s/files/1/0792/5098/1063/files/ce286ca93c0b88510ca875a37e7b75b32cb61e52da352d95c54cd2628b51fbf3.jpg?v=1787233687</t>
        </is>
      </c>
      <c r="H29" s="5" t="inlineStr">
        <is>
          <t>Observation is generic or position-based; rewrite from the actual image content.</t>
        </is>
      </c>
      <c r="I29" s="5" t="inlineStr">
        <is>
          <t>Rewrite observation/alt from the directly opened image, naming the visible motif and use context.</t>
        </is>
      </c>
      <c r="J29" s="5" t="inlineStr">
        <is>
          <t>Fresh image file: D:\Shopify_Workspace\jeminise_seo\seo_runs\jeminise.com\20260906_234129\qa\20260907_212312\images\163_04.jpg; source URL: https://cdn.shopify.com/s/files/1/0792/5098/1063/files/ce286ca93c0b88510ca875a37e7b75b32cb61e52da352d95c54cd2628b51fbf3.jpg?v=1787233687</t>
        </is>
      </c>
      <c r="K29" s="5" t="inlineStr">
        <is>
          <t>The image row accurately describes the actual media at this gallery position.</t>
        </is>
      </c>
      <c r="L29" s="2" t="inlineStr">
        <is>
          <t>RESOLVED</t>
        </is>
      </c>
    </row>
    <row r="30">
      <c r="A30" s="2" t="inlineStr">
        <is>
          <t>ISSUE-0029</t>
        </is>
      </c>
      <c r="B30" s="5" t="inlineStr">
        <is>
          <t>jeminise.com+owl-patchwork-pattern-quilt-set-animals-quilt-set-style-owl-nights</t>
        </is>
      </c>
      <c r="C30" s="2" t="inlineStr">
        <is>
          <t>img_62ecd3b014c00446</t>
        </is>
      </c>
      <c r="D30" s="2" t="inlineStr">
        <is>
          <t>MINOR</t>
        </is>
      </c>
      <c r="E30" s="2" t="inlineStr">
        <is>
          <t>image observation</t>
        </is>
      </c>
      <c r="F30" s="5" t="inlineStr">
        <is>
          <t>Easy-care, size guide or product feature image for blue gold owl night patchwork quilt.</t>
        </is>
      </c>
      <c r="G30" s="5" t="inlineStr">
        <is>
          <t>Fresh image file: D:\Shopify_Workspace\jeminise_seo\seo_runs\jeminise.com\20260906_234129\qa\20260907_212312\images\163_06.jpg; source URL: https://cdn.shopify.com/s/files/1/0792/5098/1063/files/f095089ab7e2322f9d282beb998fa6a7ca93bd23ffea553618ab9ab073cac9e5.jpg?v=1787233687</t>
        </is>
      </c>
      <c r="H30" s="5" t="inlineStr">
        <is>
          <t>Observation is generic or position-based; rewrite from the actual image content.</t>
        </is>
      </c>
      <c r="I30" s="5" t="inlineStr">
        <is>
          <t>Rewrite observation/alt from the directly opened image, naming the visible motif and use context.</t>
        </is>
      </c>
      <c r="J30" s="5" t="inlineStr">
        <is>
          <t>Fresh image file: D:\Shopify_Workspace\jeminise_seo\seo_runs\jeminise.com\20260906_234129\qa\20260907_212312\images\163_06.jpg; source URL: https://cdn.shopify.com/s/files/1/0792/5098/1063/files/f095089ab7e2322f9d282beb998fa6a7ca93bd23ffea553618ab9ab073cac9e5.jpg?v=1787233687</t>
        </is>
      </c>
      <c r="K30" s="5" t="inlineStr">
        <is>
          <t>The image row accurately describes the actual media at this gallery position.</t>
        </is>
      </c>
      <c r="L30" s="2" t="inlineStr">
        <is>
          <t>RESOLVED</t>
        </is>
      </c>
    </row>
    <row r="31">
      <c r="A31" s="2" t="inlineStr">
        <is>
          <t>ISSUE-0030</t>
        </is>
      </c>
      <c r="B31" s="5" t="inlineStr">
        <is>
          <t>jeminise.com+owl-patchwork-pattern-quilt-set-animals-quilt-set-style-owl-nights</t>
        </is>
      </c>
      <c r="C31" s="2" t="inlineStr">
        <is>
          <t>img_62ecd3b014c00446</t>
        </is>
      </c>
      <c r="D31" s="2" t="inlineStr">
        <is>
          <t>MINOR</t>
        </is>
      </c>
      <c r="E31" s="2" t="inlineStr">
        <is>
          <t>alt text</t>
        </is>
      </c>
      <c r="F31" s="5" t="inlineStr">
        <is>
          <t>Set contents and size chart image for Blue Gold Owl Night Patchwork Quilt</t>
        </is>
      </c>
      <c r="G31" s="5" t="inlineStr">
        <is>
          <t>Fresh image file: D:\Shopify_Workspace\jeminise_seo\seo_runs\jeminise.com\20260906_234129\qa\20260907_212312\images\163_06.jpg; source URL: https://cdn.shopify.com/s/files/1/0792/5098/1063/files/f095089ab7e2322f9d282beb998fa6a7ca93bd23ffea553618ab9ab073cac9e5.jpg?v=1787233687</t>
        </is>
      </c>
      <c r="H31" s="5" t="inlineStr">
        <is>
          <t>Alt text is too generic or describes placement more than visible content.</t>
        </is>
      </c>
      <c r="I31" s="5" t="inlineStr">
        <is>
          <t>Rewrite observation/alt from the directly opened image, naming the visible motif and use context.</t>
        </is>
      </c>
      <c r="J31" s="5" t="inlineStr">
        <is>
          <t>Fresh image file: D:\Shopify_Workspace\jeminise_seo\seo_runs\jeminise.com\20260906_234129\qa\20260907_212312\images\163_06.jpg; source URL: https://cdn.shopify.com/s/files/1/0792/5098/1063/files/f095089ab7e2322f9d282beb998fa6a7ca93bd23ffea553618ab9ab073cac9e5.jpg?v=1787233687</t>
        </is>
      </c>
      <c r="K31" s="5" t="inlineStr">
        <is>
          <t>The image row accurately describes the actual media at this gallery position.</t>
        </is>
      </c>
      <c r="L31" s="2" t="inlineStr">
        <is>
          <t>RESOLVED</t>
        </is>
      </c>
    </row>
    <row r="32">
      <c r="A32" s="2" t="inlineStr">
        <is>
          <t>ISSUE-0031</t>
        </is>
      </c>
      <c r="B32" s="5" t="inlineStr">
        <is>
          <t>jeminise.com+owl-patchwork-pattern-quilt-set-animals-quilt-set-style-owl-nights</t>
        </is>
      </c>
      <c r="C32" s="2" t="inlineStr">
        <is>
          <t>img_3c9a72607271f5bb</t>
        </is>
      </c>
      <c r="D32" s="2" t="inlineStr">
        <is>
          <t>MINOR</t>
        </is>
      </c>
      <c r="E32" s="2" t="inlineStr">
        <is>
          <t>image observation</t>
        </is>
      </c>
      <c r="F32" s="5" t="inlineStr">
        <is>
          <t>Additional lifestyle, feature or product detail image showing blue gold owl night patchwork quilt.</t>
        </is>
      </c>
      <c r="G32" s="5" t="inlineStr">
        <is>
          <t>Fresh image file: D:\Shopify_Workspace\jeminise_seo\seo_runs\jeminise.com\20260906_234129\qa\20260907_212312\images\163_07.jpg; source URL: https://cdn.shopify.com/s/files/1/0792/5098/1063/files/4274176e594f473f9f9517f8df32a36888e067f66081c7c7ac33d02f839dab17.jpg?v=1787233688</t>
        </is>
      </c>
      <c r="H32" s="5" t="inlineStr">
        <is>
          <t>Observation is generic or position-based; rewrite from the actual image content.</t>
        </is>
      </c>
      <c r="I32" s="5" t="inlineStr">
        <is>
          <t>Rewrite observation/alt from the directly opened image, naming the visible motif and use context.</t>
        </is>
      </c>
      <c r="J32" s="5" t="inlineStr">
        <is>
          <t>Fresh image file: D:\Shopify_Workspace\jeminise_seo\seo_runs\jeminise.com\20260906_234129\qa\20260907_212312\images\163_07.jpg; source URL: https://cdn.shopify.com/s/files/1/0792/5098/1063/files/4274176e594f473f9f9517f8df32a36888e067f66081c7c7ac33d02f839dab17.jpg?v=1787233688</t>
        </is>
      </c>
      <c r="K32" s="5" t="inlineStr">
        <is>
          <t>The image row accurately describes the actual media at this gallery position.</t>
        </is>
      </c>
      <c r="L32" s="2" t="inlineStr">
        <is>
          <t>RESOLVED</t>
        </is>
      </c>
    </row>
    <row r="33">
      <c r="A33" s="2" t="inlineStr">
        <is>
          <t>ISSUE-0032</t>
        </is>
      </c>
      <c r="B33" s="5" t="inlineStr">
        <is>
          <t>jeminise.com+pamnest-twin-halloween-comforter-set-with-sheets-5-pieces-design-01</t>
        </is>
      </c>
      <c r="C33" s="2" t="inlineStr"/>
      <c r="D33" s="2" t="inlineStr">
        <is>
          <t>MAJOR</t>
        </is>
      </c>
      <c r="E33" s="2" t="inlineStr">
        <is>
          <t>description_proposed_html</t>
        </is>
      </c>
      <c r="F33" s="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t>
        </is>
      </c>
      <c r="G33" s="5" t="inlineStr">
        <is>
          <t>Draft contains SEO Use / QA approval wording.</t>
        </is>
      </c>
      <c r="H33" s="5" t="inlineStr">
        <is>
          <t>Internal workflow language is not publish-ready storefront copy.</t>
        </is>
      </c>
      <c r="I33" s="5" t="inlineStr">
        <is>
          <t>Remove internal QA/import block and replace with customer-facing verified copy.</t>
        </is>
      </c>
      <c r="J33" s="5" t="inlineStr">
        <is>
          <t>Draft contains SEO Use / QA approval wording.</t>
        </is>
      </c>
      <c r="K33" s="5" t="inlineStr">
        <is>
          <t>Description HTML no longer contains SEO Use, QA, approval, import or draft language.</t>
        </is>
      </c>
      <c r="L33" s="2" t="inlineStr">
        <is>
          <t>RESOLVED</t>
        </is>
      </c>
    </row>
    <row r="34">
      <c r="A34" s="2" t="inlineStr">
        <is>
          <t>ISSUE-0033</t>
        </is>
      </c>
      <c r="B34" s="5" t="inlineStr">
        <is>
          <t>jeminise.com+pamnest-twin-halloween-comforter-set-with-sheets-5-pieces-design-01</t>
        </is>
      </c>
      <c r="C34" s="2" t="inlineStr"/>
      <c r="D34" s="2" t="inlineStr">
        <is>
          <t>MAJOR</t>
        </is>
      </c>
      <c r="E34" s="2" t="inlineStr">
        <is>
          <t>h1_proposed</t>
        </is>
      </c>
      <c r="F34" s="2" t="inlineStr"/>
      <c r="G34" s="5" t="inlineStr">
        <is>
          <t>The submitted workbook row has no proposed H1.</t>
        </is>
      </c>
      <c r="H34" s="5" t="inlineStr">
        <is>
          <t>A publishable SEO title/H1 pair is incomplete when the H1 field is blank.</t>
        </is>
      </c>
      <c r="I34" s="5" t="inlineStr">
        <is>
          <t>Write one English H1 that matches the verified product type and visible design; do not copy unsupported claims.</t>
        </is>
      </c>
      <c r="J34" s="5" t="inlineStr">
        <is>
          <t>The submitted workbook row has no proposed H1.</t>
        </is>
      </c>
      <c r="K34" s="5" t="inlineStr">
        <is>
          <t>Workbook contains a non-empty H1 and it is consistent with title, primary keyword and live product evidence.</t>
        </is>
      </c>
      <c r="L34" s="2" t="inlineStr">
        <is>
          <t>NOT_APPLICABLE</t>
        </is>
      </c>
    </row>
    <row r="35">
      <c r="A35" s="2" t="inlineStr">
        <is>
          <t>ISSUE-0034</t>
        </is>
      </c>
      <c r="B35" s="5" t="inlineStr">
        <is>
          <t>jeminise.com+pamnest-twin-halloween-comforter-set-with-sheets-5-pieces-design-01</t>
        </is>
      </c>
      <c r="C35" s="2" t="inlineStr"/>
      <c r="D35" s="2" t="inlineStr">
        <is>
          <t>MINOR</t>
        </is>
      </c>
      <c r="E35" s="2" t="inlineStr">
        <is>
          <t>meta_description_seo</t>
        </is>
      </c>
      <c r="F35" s="5" t="inlineStr">
        <is>
          <t>Shop a comforter set featuring white and black Halloween bedding with witch silhouette, bats, ghost shapes, pumpkins and Halloween text. Review available sizes and set options before checkout.</t>
        </is>
      </c>
      <c r="G35" s="5" t="inlineStr">
        <is>
          <t>Meta description length is 192 characters.</t>
        </is>
      </c>
      <c r="H35" s="5" t="inlineStr">
        <is>
          <t>Likely to truncate in search results and repeats review/personality wording in several rows.</t>
        </is>
      </c>
      <c r="I35" s="5" t="inlineStr">
        <is>
          <t>Rewrite to roughly 145-155 characters while preserving verified design and product type.</t>
        </is>
      </c>
      <c r="J35" s="5" t="inlineStr">
        <is>
          <t>Meta description length is 192 characters.</t>
        </is>
      </c>
      <c r="K35" s="5" t="inlineStr">
        <is>
          <t>Length check &lt;=160 characters and no unsupported claim remains.</t>
        </is>
      </c>
      <c r="L35" s="2" t="inlineStr">
        <is>
          <t>RESOLVED</t>
        </is>
      </c>
    </row>
    <row r="36">
      <c r="A36" s="2" t="inlineStr">
        <is>
          <t>ISSUE-0035</t>
        </is>
      </c>
      <c r="B36" s="5" t="inlineStr">
        <is>
          <t>jeminise.com+pamnest-twin-halloween-comforter-set-with-sheets-5-pieces-design-01</t>
        </is>
      </c>
      <c r="C36" s="2" t="inlineStr"/>
      <c r="D36" s="2" t="inlineStr">
        <is>
          <t>LIMITATION</t>
        </is>
      </c>
      <c r="E36" s="2" t="inlineStr">
        <is>
          <t>keyword_evidence_level</t>
        </is>
      </c>
      <c r="F36" s="2" t="inlineStr">
        <is>
          <t>SERP_ONLY</t>
        </is>
      </c>
      <c r="G36" s="5" t="inlineStr">
        <is>
          <t>Only public SERP comparables are available.</t>
        </is>
      </c>
      <c r="H36" s="5" t="inlineStr">
        <is>
          <t>No Search Console, paid keyword volume or internal site search export was supplied.</t>
        </is>
      </c>
      <c r="I36" s="5" t="inlineStr">
        <is>
          <t>Keep demand statements qualitative; do not claim volume or ranking potential.</t>
        </is>
      </c>
      <c r="J36" s="5" t="inlineStr">
        <is>
          <t>Only public SERP comparables are available.</t>
        </is>
      </c>
      <c r="K36" s="5" t="inlineStr">
        <is>
          <t>Additional first-party or paid keyword evidence is attached, or limitation remains documented.</t>
        </is>
      </c>
      <c r="L36" s="2" t="inlineStr">
        <is>
          <t>PERSISTS</t>
        </is>
      </c>
    </row>
    <row r="37">
      <c r="A37" s="2" t="inlineStr">
        <is>
          <t>ISSUE-0036</t>
        </is>
      </c>
      <c r="B37" s="5" t="inlineStr">
        <is>
          <t>jeminise.com+pamnest-twin-halloween-comforter-set-with-sheets-5-pieces-design-01</t>
        </is>
      </c>
      <c r="C37" s="2" t="inlineStr">
        <is>
          <t>img_a2e12ffadb482f41</t>
        </is>
      </c>
      <c r="D37" s="2" t="inlineStr">
        <is>
          <t>MINOR</t>
        </is>
      </c>
      <c r="E37" s="2" t="inlineStr">
        <is>
          <t>alt text</t>
        </is>
      </c>
      <c r="F37" s="5" t="inlineStr">
        <is>
          <t>White Black Halloween Witch Comforter Set displayed in a main product mockup</t>
        </is>
      </c>
      <c r="G37" s="5" t="inlineStr">
        <is>
          <t>Fresh image file: D:\Shopify_Workspace\jeminise_seo\seo_runs\jeminise.com\20260906_234129\qa\20260907_212312\images\164_01.jpg; source URL: https://cdn.shopify.com/s/files/1/0792/5098/1063/files/78a96e41092763591645a0417450b0227ec7a4e31e21df8a327fb2d2f9428605.jpg?v=1787936155</t>
        </is>
      </c>
      <c r="H37" s="5" t="inlineStr">
        <is>
          <t>Alt text is too generic or describes placement more than visible content.</t>
        </is>
      </c>
      <c r="I37" s="5" t="inlineStr">
        <is>
          <t>Rewrite observation/alt from the directly opened image, naming the visible motif and use context.</t>
        </is>
      </c>
      <c r="J37" s="5" t="inlineStr">
        <is>
          <t>Fresh image file: D:\Shopify_Workspace\jeminise_seo\seo_runs\jeminise.com\20260906_234129\qa\20260907_212312\images\164_01.jpg; source URL: https://cdn.shopify.com/s/files/1/0792/5098/1063/files/78a96e41092763591645a0417450b0227ec7a4e31e21df8a327fb2d2f9428605.jpg?v=1787936155</t>
        </is>
      </c>
      <c r="K37" s="5" t="inlineStr">
        <is>
          <t>The image row accurately describes the actual media at this gallery position.</t>
        </is>
      </c>
      <c r="L37" s="2" t="inlineStr">
        <is>
          <t>RESOLVED</t>
        </is>
      </c>
    </row>
    <row r="38">
      <c r="A38" s="2" t="inlineStr">
        <is>
          <t>ISSUE-0037</t>
        </is>
      </c>
      <c r="B38" s="5" t="inlineStr">
        <is>
          <t>jeminise.com+pamnest-twin-halloween-comforter-set-with-sheets-5-pieces-design-01</t>
        </is>
      </c>
      <c r="C38" s="2" t="inlineStr">
        <is>
          <t>img_366286e5e9757883</t>
        </is>
      </c>
      <c r="D38" s="2" t="inlineStr">
        <is>
          <t>MINOR</t>
        </is>
      </c>
      <c r="E38" s="2" t="inlineStr">
        <is>
          <t>image observation</t>
        </is>
      </c>
      <c r="F38" s="5" t="inlineStr">
        <is>
          <t>Bedding type, feature, lifestyle or material image for white black Halloween witch comforter set.</t>
        </is>
      </c>
      <c r="G38" s="5" t="inlineStr">
        <is>
          <t>Fresh image file: D:\Shopify_Workspace\jeminise_seo\seo_runs\jeminise.com\20260906_234129\qa\20260907_212312\images\164_03.jpg; source URL: https://cdn.shopify.com/s/files/1/0792/5098/1063/files/3a0f47e9dcbafab9191ddf7aa843e8572e2cec872b35c6521dc7218921e61123.jpg?v=1787936155</t>
        </is>
      </c>
      <c r="H38" s="5" t="inlineStr">
        <is>
          <t>Observation is generic or position-based; rewrite from the actual image content.</t>
        </is>
      </c>
      <c r="I38" s="5" t="inlineStr">
        <is>
          <t>Rewrite observation/alt from the directly opened image, naming the visible motif and use context.</t>
        </is>
      </c>
      <c r="J38" s="5" t="inlineStr">
        <is>
          <t>Fresh image file: D:\Shopify_Workspace\jeminise_seo\seo_runs\jeminise.com\20260906_234129\qa\20260907_212312\images\164_03.jpg; source URL: https://cdn.shopify.com/s/files/1/0792/5098/1063/files/3a0f47e9dcbafab9191ddf7aa843e8572e2cec872b35c6521dc7218921e61123.jpg?v=1787936155</t>
        </is>
      </c>
      <c r="K38" s="5" t="inlineStr">
        <is>
          <t>The image row accurately describes the actual media at this gallery position.</t>
        </is>
      </c>
      <c r="L38" s="2" t="inlineStr">
        <is>
          <t>RESOLVED</t>
        </is>
      </c>
    </row>
    <row r="39">
      <c r="A39" s="2" t="inlineStr">
        <is>
          <t>ISSUE-0038</t>
        </is>
      </c>
      <c r="B39" s="5" t="inlineStr">
        <is>
          <t>jeminise.com+pamnest-twin-halloween-comforter-set-with-sheets-5-pieces-design-01</t>
        </is>
      </c>
      <c r="C39" s="2" t="inlineStr">
        <is>
          <t>img_0a5c13d0294e275e</t>
        </is>
      </c>
      <c r="D39" s="2" t="inlineStr">
        <is>
          <t>MINOR</t>
        </is>
      </c>
      <c r="E39" s="2" t="inlineStr">
        <is>
          <t>image observation</t>
        </is>
      </c>
      <c r="F39" s="5" t="inlineStr">
        <is>
          <t>Detail, feature panel or lifestyle image connected to white black Halloween witch comforter set.</t>
        </is>
      </c>
      <c r="G39" s="5" t="inlineStr">
        <is>
          <t>Fresh image file: D:\Shopify_Workspace\jeminise_seo\seo_runs\jeminise.com\20260906_234129\qa\20260907_212312\images\164_04.jpg; source URL: https://cdn.shopify.com/s/files/1/0792/5098/1063/files/1719f23b3d46b7c6722a21c797b77ed0780f9bbd492bf1c7f1046cc658013293.jpg?v=1787936155</t>
        </is>
      </c>
      <c r="H39" s="5" t="inlineStr">
        <is>
          <t>Observation is generic or position-based; rewrite from the actual image content.</t>
        </is>
      </c>
      <c r="I39" s="5" t="inlineStr">
        <is>
          <t>Rewrite observation/alt from the directly opened image, naming the visible motif and use context.</t>
        </is>
      </c>
      <c r="J39" s="5" t="inlineStr">
        <is>
          <t>Fresh image file: D:\Shopify_Workspace\jeminise_seo\seo_runs\jeminise.com\20260906_234129\qa\20260907_212312\images\164_04.jpg; source URL: https://cdn.shopify.com/s/files/1/0792/5098/1063/files/1719f23b3d46b7c6722a21c797b77ed0780f9bbd492bf1c7f1046cc658013293.jpg?v=1787936155</t>
        </is>
      </c>
      <c r="K39" s="5" t="inlineStr">
        <is>
          <t>The image row accurately describes the actual media at this gallery position.</t>
        </is>
      </c>
      <c r="L39" s="2" t="inlineStr">
        <is>
          <t>RESOLVED</t>
        </is>
      </c>
    </row>
    <row r="40">
      <c r="A40" s="2" t="inlineStr">
        <is>
          <t>ISSUE-0039</t>
        </is>
      </c>
      <c r="B40" s="5" t="inlineStr">
        <is>
          <t>jeminise.com+pamnest-twin-halloween-comforter-set-with-sheets-5-pieces-design-01</t>
        </is>
      </c>
      <c r="C40" s="2" t="inlineStr">
        <is>
          <t>img_2a79032892829598</t>
        </is>
      </c>
      <c r="D40" s="2" t="inlineStr">
        <is>
          <t>MINOR</t>
        </is>
      </c>
      <c r="E40" s="2" t="inlineStr">
        <is>
          <t>image observation</t>
        </is>
      </c>
      <c r="F40" s="5" t="inlineStr">
        <is>
          <t>Easy-care, size guide or product feature image for white black Halloween witch comforter set.</t>
        </is>
      </c>
      <c r="G40" s="5" t="inlineStr">
        <is>
          <t>Fresh image file: D:\Shopify_Workspace\jeminise_seo\seo_runs\jeminise.com\20260906_234129\qa\20260907_212312\images\164_06.jpg; source URL: https://cdn.shopify.com/s/files/1/0792/5098/1063/files/29f57080b218682bc1f4e3c223af89a66eef5bc96e3704046ce51202cb67c670.jpg?v=1787936155</t>
        </is>
      </c>
      <c r="H40" s="5" t="inlineStr">
        <is>
          <t>Observation is generic or position-based; rewrite from the actual image content.</t>
        </is>
      </c>
      <c r="I40" s="5" t="inlineStr">
        <is>
          <t>Rewrite observation/alt from the directly opened image, naming the visible motif and use context.</t>
        </is>
      </c>
      <c r="J40" s="5" t="inlineStr">
        <is>
          <t>Fresh image file: D:\Shopify_Workspace\jeminise_seo\seo_runs\jeminise.com\20260906_234129\qa\20260907_212312\images\164_06.jpg; source URL: https://cdn.shopify.com/s/files/1/0792/5098/1063/files/29f57080b218682bc1f4e3c223af89a66eef5bc96e3704046ce51202cb67c670.jpg?v=1787936155</t>
        </is>
      </c>
      <c r="K40" s="5" t="inlineStr">
        <is>
          <t>The image row accurately describes the actual media at this gallery position.</t>
        </is>
      </c>
      <c r="L40" s="2" t="inlineStr">
        <is>
          <t>RESOLVED</t>
        </is>
      </c>
    </row>
    <row r="41">
      <c r="A41" s="2" t="inlineStr">
        <is>
          <t>ISSUE-0040</t>
        </is>
      </c>
      <c r="B41" s="5" t="inlineStr">
        <is>
          <t>jeminise.com+pamnest-twin-halloween-comforter-set-with-sheets-5-pieces-design-01</t>
        </is>
      </c>
      <c r="C41" s="2" t="inlineStr">
        <is>
          <t>img_2a79032892829598</t>
        </is>
      </c>
      <c r="D41" s="2" t="inlineStr">
        <is>
          <t>MINOR</t>
        </is>
      </c>
      <c r="E41" s="2" t="inlineStr">
        <is>
          <t>alt text</t>
        </is>
      </c>
      <c r="F41" s="5" t="inlineStr">
        <is>
          <t>Set contents and size chart image for White Black Halloween Witch Comforter Set</t>
        </is>
      </c>
      <c r="G41" s="5" t="inlineStr">
        <is>
          <t>Fresh image file: D:\Shopify_Workspace\jeminise_seo\seo_runs\jeminise.com\20260906_234129\qa\20260907_212312\images\164_06.jpg; source URL: https://cdn.shopify.com/s/files/1/0792/5098/1063/files/29f57080b218682bc1f4e3c223af89a66eef5bc96e3704046ce51202cb67c670.jpg?v=1787936155</t>
        </is>
      </c>
      <c r="H41" s="5" t="inlineStr">
        <is>
          <t>Alt text is too generic or describes placement more than visible content.</t>
        </is>
      </c>
      <c r="I41" s="5" t="inlineStr">
        <is>
          <t>Rewrite observation/alt from the directly opened image, naming the visible motif and use context.</t>
        </is>
      </c>
      <c r="J41" s="5" t="inlineStr">
        <is>
          <t>Fresh image file: D:\Shopify_Workspace\jeminise_seo\seo_runs\jeminise.com\20260906_234129\qa\20260907_212312\images\164_06.jpg; source URL: https://cdn.shopify.com/s/files/1/0792/5098/1063/files/29f57080b218682bc1f4e3c223af89a66eef5bc96e3704046ce51202cb67c670.jpg?v=1787936155</t>
        </is>
      </c>
      <c r="K41" s="5" t="inlineStr">
        <is>
          <t>The image row accurately describes the actual media at this gallery position.</t>
        </is>
      </c>
      <c r="L41" s="2" t="inlineStr">
        <is>
          <t>RESOLVED</t>
        </is>
      </c>
    </row>
    <row r="42">
      <c r="A42" s="2" t="inlineStr">
        <is>
          <t>ISSUE-0041</t>
        </is>
      </c>
      <c r="B42" s="5" t="inlineStr">
        <is>
          <t>jeminise.com+pamnest-twin-halloween-comforter-set-with-sheets-5-pieces-design-02</t>
        </is>
      </c>
      <c r="C42" s="2" t="inlineStr"/>
      <c r="D42" s="2" t="inlineStr">
        <is>
          <t>MAJOR</t>
        </is>
      </c>
      <c r="E42" s="2" t="inlineStr">
        <is>
          <t>description_proposed_html</t>
        </is>
      </c>
      <c r="F42" s="5"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t>
        </is>
      </c>
      <c r="G42" s="5" t="inlineStr">
        <is>
          <t>Draft contains SEO Use / QA approval wording.</t>
        </is>
      </c>
      <c r="H42" s="5" t="inlineStr">
        <is>
          <t>Internal workflow language is not publish-ready storefront copy.</t>
        </is>
      </c>
      <c r="I42" s="5" t="inlineStr">
        <is>
          <t>Remove internal QA/import block and replace with customer-facing verified copy.</t>
        </is>
      </c>
      <c r="J42" s="5" t="inlineStr">
        <is>
          <t>Draft contains SEO Use / QA approval wording.</t>
        </is>
      </c>
      <c r="K42" s="5" t="inlineStr">
        <is>
          <t>Description HTML no longer contains SEO Use, QA, approval, import or draft language.</t>
        </is>
      </c>
      <c r="L42" s="2" t="inlineStr">
        <is>
          <t>RESOLVED</t>
        </is>
      </c>
    </row>
    <row r="43">
      <c r="A43" s="2" t="inlineStr">
        <is>
          <t>ISSUE-0042</t>
        </is>
      </c>
      <c r="B43" s="5" t="inlineStr">
        <is>
          <t>jeminise.com+pamnest-twin-halloween-comforter-set-with-sheets-5-pieces-design-02</t>
        </is>
      </c>
      <c r="C43" s="2" t="inlineStr"/>
      <c r="D43" s="2" t="inlineStr">
        <is>
          <t>MAJOR</t>
        </is>
      </c>
      <c r="E43" s="2" t="inlineStr">
        <is>
          <t>h1_proposed</t>
        </is>
      </c>
      <c r="F43" s="2" t="inlineStr"/>
      <c r="G43" s="5" t="inlineStr">
        <is>
          <t>The submitted workbook row has no proposed H1.</t>
        </is>
      </c>
      <c r="H43" s="5" t="inlineStr">
        <is>
          <t>A publishable SEO title/H1 pair is incomplete when the H1 field is blank.</t>
        </is>
      </c>
      <c r="I43" s="5" t="inlineStr">
        <is>
          <t>Write one English H1 that matches the verified product type and visible design; do not copy unsupported claims.</t>
        </is>
      </c>
      <c r="J43" s="5" t="inlineStr">
        <is>
          <t>The submitted workbook row has no proposed H1.</t>
        </is>
      </c>
      <c r="K43" s="5" t="inlineStr">
        <is>
          <t>Workbook contains a non-empty H1 and it is consistent with title, primary keyword and live product evidence.</t>
        </is>
      </c>
      <c r="L43" s="2" t="inlineStr">
        <is>
          <t>NOT_APPLICABLE</t>
        </is>
      </c>
    </row>
    <row r="44">
      <c r="A44" s="2" t="inlineStr">
        <is>
          <t>ISSUE-0043</t>
        </is>
      </c>
      <c r="B44" s="5" t="inlineStr">
        <is>
          <t>jeminise.com+pamnest-twin-halloween-comforter-set-with-sheets-5-pieces-design-02</t>
        </is>
      </c>
      <c r="C44" s="2" t="inlineStr"/>
      <c r="D44" s="2" t="inlineStr">
        <is>
          <t>MINOR</t>
        </is>
      </c>
      <c r="E44" s="2" t="inlineStr">
        <is>
          <t>meta_description_seo</t>
        </is>
      </c>
      <c r="F44" s="5" t="inlineStr">
        <is>
          <t>Shop a comforter set featuring dark gray Halloween bedding with smiling ghosts, jack-o-lantern pumpkins, bats, stars and spiderwebs. Review available sizes and set options before checkout.</t>
        </is>
      </c>
      <c r="G44" s="5" t="inlineStr">
        <is>
          <t>Meta description length is 188 characters.</t>
        </is>
      </c>
      <c r="H44" s="5" t="inlineStr">
        <is>
          <t>Likely to truncate in search results and repeats review/personality wording in several rows.</t>
        </is>
      </c>
      <c r="I44" s="5" t="inlineStr">
        <is>
          <t>Rewrite to roughly 145-155 characters while preserving verified design and product type.</t>
        </is>
      </c>
      <c r="J44" s="5" t="inlineStr">
        <is>
          <t>Meta description length is 188 characters.</t>
        </is>
      </c>
      <c r="K44" s="5" t="inlineStr">
        <is>
          <t>Length check &lt;=160 characters and no unsupported claim remains.</t>
        </is>
      </c>
      <c r="L44" s="2" t="inlineStr">
        <is>
          <t>RESOLVED</t>
        </is>
      </c>
    </row>
    <row r="45">
      <c r="A45" s="2" t="inlineStr">
        <is>
          <t>ISSUE-0044</t>
        </is>
      </c>
      <c r="B45" s="5" t="inlineStr">
        <is>
          <t>jeminise.com+pamnest-twin-halloween-comforter-set-with-sheets-5-pieces-design-02</t>
        </is>
      </c>
      <c r="C45" s="2" t="inlineStr"/>
      <c r="D45" s="2" t="inlineStr">
        <is>
          <t>LIMITATION</t>
        </is>
      </c>
      <c r="E45" s="2" t="inlineStr">
        <is>
          <t>keyword_evidence_level</t>
        </is>
      </c>
      <c r="F45" s="2" t="inlineStr">
        <is>
          <t>SERP_ONLY</t>
        </is>
      </c>
      <c r="G45" s="5" t="inlineStr">
        <is>
          <t>Only public SERP comparables are available.</t>
        </is>
      </c>
      <c r="H45" s="5" t="inlineStr">
        <is>
          <t>No Search Console, paid keyword volume or internal site search export was supplied.</t>
        </is>
      </c>
      <c r="I45" s="5" t="inlineStr">
        <is>
          <t>Keep demand statements qualitative; do not claim volume or ranking potential.</t>
        </is>
      </c>
      <c r="J45" s="5" t="inlineStr">
        <is>
          <t>Only public SERP comparables are available.</t>
        </is>
      </c>
      <c r="K45" s="5" t="inlineStr">
        <is>
          <t>Additional first-party or paid keyword evidence is attached, or limitation remains documented.</t>
        </is>
      </c>
      <c r="L45" s="2" t="inlineStr">
        <is>
          <t>PERSISTS</t>
        </is>
      </c>
    </row>
    <row r="46">
      <c r="A46" s="2" t="inlineStr">
        <is>
          <t>ISSUE-0045</t>
        </is>
      </c>
      <c r="B46" s="5" t="inlineStr">
        <is>
          <t>jeminise.com+pamnest-twin-halloween-comforter-set-with-sheets-5-pieces-design-02</t>
        </is>
      </c>
      <c r="C46" s="2" t="inlineStr">
        <is>
          <t>img_223dbdfdbd23286e</t>
        </is>
      </c>
      <c r="D46" s="2" t="inlineStr">
        <is>
          <t>MINOR</t>
        </is>
      </c>
      <c r="E46" s="2" t="inlineStr">
        <is>
          <t>alt text</t>
        </is>
      </c>
      <c r="F46" s="5" t="inlineStr">
        <is>
          <t>Gray Halloween Ghost Pumpkin Comforter Set displayed in a main product mockup</t>
        </is>
      </c>
      <c r="G46" s="5" t="inlineStr">
        <is>
          <t>Fresh image file: D:\Shopify_Workspace\jeminise_seo\seo_runs\jeminise.com\20260906_234129\qa\20260907_212312\images\165_01.jpg; source URL: https://cdn.shopify.com/s/files/1/0792/5098/1063/files/33827958b0d3465c97d89ef8a7a7e67a7aa5b22c8c0c87d5a26f80b5c0d5fd2b.jpg?v=1787936172</t>
        </is>
      </c>
      <c r="H46" s="5" t="inlineStr">
        <is>
          <t>Alt text is too generic or describes placement more than visible content.</t>
        </is>
      </c>
      <c r="I46" s="5" t="inlineStr">
        <is>
          <t>Rewrite observation/alt from the directly opened image, naming the visible motif and use context.</t>
        </is>
      </c>
      <c r="J46" s="5" t="inlineStr">
        <is>
          <t>Fresh image file: D:\Shopify_Workspace\jeminise_seo\seo_runs\jeminise.com\20260906_234129\qa\20260907_212312\images\165_01.jpg; source URL: https://cdn.shopify.com/s/files/1/0792/5098/1063/files/33827958b0d3465c97d89ef8a7a7e67a7aa5b22c8c0c87d5a26f80b5c0d5fd2b.jpg?v=1787936172</t>
        </is>
      </c>
      <c r="K46" s="5" t="inlineStr">
        <is>
          <t>The image row accurately describes the actual media at this gallery position.</t>
        </is>
      </c>
      <c r="L46" s="2" t="inlineStr">
        <is>
          <t>RESOLVED</t>
        </is>
      </c>
    </row>
    <row r="47">
      <c r="A47" s="2" t="inlineStr">
        <is>
          <t>ISSUE-0046</t>
        </is>
      </c>
      <c r="B47" s="5" t="inlineStr">
        <is>
          <t>jeminise.com+pamnest-twin-halloween-comforter-set-with-sheets-5-pieces-design-02</t>
        </is>
      </c>
      <c r="C47" s="2" t="inlineStr">
        <is>
          <t>img_abd32113247337ea</t>
        </is>
      </c>
      <c r="D47" s="2" t="inlineStr">
        <is>
          <t>MINOR</t>
        </is>
      </c>
      <c r="E47" s="2" t="inlineStr">
        <is>
          <t>image observation</t>
        </is>
      </c>
      <c r="F47" s="5" t="inlineStr">
        <is>
          <t>Bedding type, feature, lifestyle or material image for gray Halloween ghost pumpkin comforter set.</t>
        </is>
      </c>
      <c r="G47" s="5" t="inlineStr">
        <is>
          <t>Fresh image file: D:\Shopify_Workspace\jeminise_seo\seo_runs\jeminise.com\20260906_234129\qa\20260907_212312\images\165_03.jpg; source URL: https://cdn.shopify.com/s/files/1/0792/5098/1063/files/a18c5a71570f28636f9f2ca9d6b8130fc7d60bcb88cb88d9623b134efc54b9e5.jpg?v=1787936172</t>
        </is>
      </c>
      <c r="H47" s="5" t="inlineStr">
        <is>
          <t>Observation is generic or position-based; rewrite from the actual image content.</t>
        </is>
      </c>
      <c r="I47" s="5" t="inlineStr">
        <is>
          <t>Rewrite observation/alt from the directly opened image, naming the visible motif and use context.</t>
        </is>
      </c>
      <c r="J47" s="5" t="inlineStr">
        <is>
          <t>Fresh image file: D:\Shopify_Workspace\jeminise_seo\seo_runs\jeminise.com\20260906_234129\qa\20260907_212312\images\165_03.jpg; source URL: https://cdn.shopify.com/s/files/1/0792/5098/1063/files/a18c5a71570f28636f9f2ca9d6b8130fc7d60bcb88cb88d9623b134efc54b9e5.jpg?v=1787936172</t>
        </is>
      </c>
      <c r="K47" s="5" t="inlineStr">
        <is>
          <t>The image row accurately describes the actual media at this gallery position.</t>
        </is>
      </c>
      <c r="L47" s="2" t="inlineStr">
        <is>
          <t>RESOLVED</t>
        </is>
      </c>
    </row>
    <row r="48">
      <c r="A48" s="2" t="inlineStr">
        <is>
          <t>ISSUE-0047</t>
        </is>
      </c>
      <c r="B48" s="5" t="inlineStr">
        <is>
          <t>jeminise.com+pamnest-twin-halloween-comforter-set-with-sheets-5-pieces-design-02</t>
        </is>
      </c>
      <c r="C48" s="2" t="inlineStr">
        <is>
          <t>img_157bd8ca18b1ecc8</t>
        </is>
      </c>
      <c r="D48" s="2" t="inlineStr">
        <is>
          <t>MINOR</t>
        </is>
      </c>
      <c r="E48" s="2" t="inlineStr">
        <is>
          <t>image observation</t>
        </is>
      </c>
      <c r="F48" s="5" t="inlineStr">
        <is>
          <t>Detail, feature panel or lifestyle image connected to gray Halloween ghost pumpkin comforter set.</t>
        </is>
      </c>
      <c r="G48" s="5" t="inlineStr">
        <is>
          <t>Fresh image file: D:\Shopify_Workspace\jeminise_seo\seo_runs\jeminise.com\20260906_234129\qa\20260907_212312\images\165_04.jpg; source URL: https://cdn.shopify.com/s/files/1/0792/5098/1063/files/1a110cdeb4611bb06dc73025e19e092ef38bf550ce9870452a33b81728254f09.jpg?v=1787936172</t>
        </is>
      </c>
      <c r="H48" s="5" t="inlineStr">
        <is>
          <t>Observation is generic or position-based; rewrite from the actual image content.</t>
        </is>
      </c>
      <c r="I48" s="5" t="inlineStr">
        <is>
          <t>Rewrite observation/alt from the directly opened image, naming the visible motif and use context.</t>
        </is>
      </c>
      <c r="J48" s="5" t="inlineStr">
        <is>
          <t>Fresh image file: D:\Shopify_Workspace\jeminise_seo\seo_runs\jeminise.com\20260906_234129\qa\20260907_212312\images\165_04.jpg; source URL: https://cdn.shopify.com/s/files/1/0792/5098/1063/files/1a110cdeb4611bb06dc73025e19e092ef38bf550ce9870452a33b81728254f09.jpg?v=1787936172</t>
        </is>
      </c>
      <c r="K48" s="5" t="inlineStr">
        <is>
          <t>The image row accurately describes the actual media at this gallery position.</t>
        </is>
      </c>
      <c r="L48" s="2" t="inlineStr">
        <is>
          <t>RESOLVED</t>
        </is>
      </c>
    </row>
    <row r="49">
      <c r="A49" s="2" t="inlineStr">
        <is>
          <t>ISSUE-0048</t>
        </is>
      </c>
      <c r="B49" s="5" t="inlineStr">
        <is>
          <t>jeminise.com+pamnest-twin-halloween-comforter-set-with-sheets-5-pieces-design-03</t>
        </is>
      </c>
      <c r="C49" s="2" t="inlineStr"/>
      <c r="D49" s="2" t="inlineStr">
        <is>
          <t>MAJOR</t>
        </is>
      </c>
      <c r="E49" s="2" t="inlineStr">
        <is>
          <t>description_proposed_html</t>
        </is>
      </c>
      <c r="F49" s="5"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t>
        </is>
      </c>
      <c r="G49" s="5" t="inlineStr">
        <is>
          <t>Draft contains SEO Use / QA approval wording.</t>
        </is>
      </c>
      <c r="H49" s="5" t="inlineStr">
        <is>
          <t>Internal workflow language is not publish-ready storefront copy.</t>
        </is>
      </c>
      <c r="I49" s="5" t="inlineStr">
        <is>
          <t>Remove internal QA/import block and replace with customer-facing verified copy.</t>
        </is>
      </c>
      <c r="J49" s="5" t="inlineStr">
        <is>
          <t>Draft contains SEO Use / QA approval wording.</t>
        </is>
      </c>
      <c r="K49" s="5" t="inlineStr">
        <is>
          <t>Description HTML no longer contains SEO Use, QA, approval, import or draft language.</t>
        </is>
      </c>
      <c r="L49" s="2" t="inlineStr">
        <is>
          <t>RESOLVED</t>
        </is>
      </c>
    </row>
    <row r="50">
      <c r="A50" s="2" t="inlineStr">
        <is>
          <t>ISSUE-0049</t>
        </is>
      </c>
      <c r="B50" s="5" t="inlineStr">
        <is>
          <t>jeminise.com+pamnest-twin-halloween-comforter-set-with-sheets-5-pieces-design-03</t>
        </is>
      </c>
      <c r="C50" s="2" t="inlineStr"/>
      <c r="D50" s="2" t="inlineStr">
        <is>
          <t>MAJOR</t>
        </is>
      </c>
      <c r="E50" s="2" t="inlineStr">
        <is>
          <t>h1_proposed</t>
        </is>
      </c>
      <c r="F50" s="2" t="inlineStr"/>
      <c r="G50" s="5" t="inlineStr">
        <is>
          <t>The submitted workbook row has no proposed H1.</t>
        </is>
      </c>
      <c r="H50" s="5" t="inlineStr">
        <is>
          <t>A publishable SEO title/H1 pair is incomplete when the H1 field is blank.</t>
        </is>
      </c>
      <c r="I50" s="5" t="inlineStr">
        <is>
          <t>Write one English H1 that matches the verified product type and visible design; do not copy unsupported claims.</t>
        </is>
      </c>
      <c r="J50" s="5" t="inlineStr">
        <is>
          <t>The submitted workbook row has no proposed H1.</t>
        </is>
      </c>
      <c r="K50" s="5" t="inlineStr">
        <is>
          <t>Workbook contains a non-empty H1 and it is consistent with title, primary keyword and live product evidence.</t>
        </is>
      </c>
      <c r="L50" s="2" t="inlineStr">
        <is>
          <t>NOT_APPLICABLE</t>
        </is>
      </c>
    </row>
    <row r="51">
      <c r="A51" s="2" t="inlineStr">
        <is>
          <t>ISSUE-0050</t>
        </is>
      </c>
      <c r="B51" s="5" t="inlineStr">
        <is>
          <t>jeminise.com+pamnest-twin-halloween-comforter-set-with-sheets-5-pieces-design-03</t>
        </is>
      </c>
      <c r="C51" s="2" t="inlineStr"/>
      <c r="D51" s="2" t="inlineStr">
        <is>
          <t>MINOR</t>
        </is>
      </c>
      <c r="E51" s="2" t="inlineStr">
        <is>
          <t>meta_description_seo</t>
        </is>
      </c>
      <c r="F51" s="5" t="inlineStr">
        <is>
          <t>Shop a comforter set featuring black comforter set covered with white cartoon ghost shapes and matching ghost pillow shams. Review available sizes and set options before checkout.</t>
        </is>
      </c>
      <c r="G51" s="5" t="inlineStr">
        <is>
          <t>Meta description length is 179 characters.</t>
        </is>
      </c>
      <c r="H51" s="5" t="inlineStr">
        <is>
          <t>Likely to truncate in search results and repeats review/personality wording in several rows.</t>
        </is>
      </c>
      <c r="I51" s="5" t="inlineStr">
        <is>
          <t>Rewrite to roughly 145-155 characters while preserving verified design and product type.</t>
        </is>
      </c>
      <c r="J51" s="5" t="inlineStr">
        <is>
          <t>Meta description length is 179 characters.</t>
        </is>
      </c>
      <c r="K51" s="5" t="inlineStr">
        <is>
          <t>Length check &lt;=160 characters and no unsupported claim remains.</t>
        </is>
      </c>
      <c r="L51" s="2" t="inlineStr">
        <is>
          <t>RESOLVED</t>
        </is>
      </c>
    </row>
    <row r="52">
      <c r="A52" s="2" t="inlineStr">
        <is>
          <t>ISSUE-0051</t>
        </is>
      </c>
      <c r="B52" s="5" t="inlineStr">
        <is>
          <t>jeminise.com+pamnest-twin-halloween-comforter-set-with-sheets-5-pieces-design-03</t>
        </is>
      </c>
      <c r="C52" s="2" t="inlineStr"/>
      <c r="D52" s="2" t="inlineStr">
        <is>
          <t>LIMITATION</t>
        </is>
      </c>
      <c r="E52" s="2" t="inlineStr">
        <is>
          <t>keyword_evidence_level</t>
        </is>
      </c>
      <c r="F52" s="2" t="inlineStr">
        <is>
          <t>SERP_ONLY</t>
        </is>
      </c>
      <c r="G52" s="5" t="inlineStr">
        <is>
          <t>Only public SERP comparables are available.</t>
        </is>
      </c>
      <c r="H52" s="5" t="inlineStr">
        <is>
          <t>No Search Console, paid keyword volume or internal site search export was supplied.</t>
        </is>
      </c>
      <c r="I52" s="5" t="inlineStr">
        <is>
          <t>Keep demand statements qualitative; do not claim volume or ranking potential.</t>
        </is>
      </c>
      <c r="J52" s="5" t="inlineStr">
        <is>
          <t>Only public SERP comparables are available.</t>
        </is>
      </c>
      <c r="K52" s="5" t="inlineStr">
        <is>
          <t>Additional first-party or paid keyword evidence is attached, or limitation remains documented.</t>
        </is>
      </c>
      <c r="L52" s="2" t="inlineStr">
        <is>
          <t>PERSISTS</t>
        </is>
      </c>
    </row>
    <row r="53">
      <c r="A53" s="2" t="inlineStr">
        <is>
          <t>ISSUE-0052</t>
        </is>
      </c>
      <c r="B53" s="5" t="inlineStr">
        <is>
          <t>jeminise.com+pamnest-twin-halloween-comforter-set-with-sheets-5-pieces-design-03</t>
        </is>
      </c>
      <c r="C53" s="2" t="inlineStr">
        <is>
          <t>img_18e599949d42e7a6</t>
        </is>
      </c>
      <c r="D53" s="2" t="inlineStr">
        <is>
          <t>MINOR</t>
        </is>
      </c>
      <c r="E53" s="2" t="inlineStr">
        <is>
          <t>alt text</t>
        </is>
      </c>
      <c r="F53" s="5" t="inlineStr">
        <is>
          <t>Black White Ghost Halloween Comforter Set displayed in a main product mockup</t>
        </is>
      </c>
      <c r="G53" s="5" t="inlineStr">
        <is>
          <t>Fresh image file: D:\Shopify_Workspace\jeminise_seo\seo_runs\jeminise.com\20260906_234129\qa\20260907_212312\images\166_01.jpg; source URL: https://cdn.shopify.com/s/files/1/0792/5098/1063/files/a04eaaab4fb68dc7448e32b7978cec1d481af7cf4430a3f72b91574bcb94ba65.jpg?v=1787936250</t>
        </is>
      </c>
      <c r="H53" s="5" t="inlineStr">
        <is>
          <t>Alt text is too generic or describes placement more than visible content.</t>
        </is>
      </c>
      <c r="I53" s="5" t="inlineStr">
        <is>
          <t>Rewrite observation/alt from the directly opened image, naming the visible motif and use context.</t>
        </is>
      </c>
      <c r="J53" s="5" t="inlineStr">
        <is>
          <t>Fresh image file: D:\Shopify_Workspace\jeminise_seo\seo_runs\jeminise.com\20260906_234129\qa\20260907_212312\images\166_01.jpg; source URL: https://cdn.shopify.com/s/files/1/0792/5098/1063/files/a04eaaab4fb68dc7448e32b7978cec1d481af7cf4430a3f72b91574bcb94ba65.jpg?v=1787936250</t>
        </is>
      </c>
      <c r="K53" s="5" t="inlineStr">
        <is>
          <t>The image row accurately describes the actual media at this gallery position.</t>
        </is>
      </c>
      <c r="L53" s="2" t="inlineStr">
        <is>
          <t>RESOLVED</t>
        </is>
      </c>
    </row>
    <row r="54">
      <c r="A54" s="2" t="inlineStr">
        <is>
          <t>ISSUE-0053</t>
        </is>
      </c>
      <c r="B54" s="5" t="inlineStr">
        <is>
          <t>jeminise.com+pamnest-twin-halloween-comforter-set-with-sheets-5-pieces-design-03</t>
        </is>
      </c>
      <c r="C54" s="2" t="inlineStr">
        <is>
          <t>img_98adb4ea2bab06c3</t>
        </is>
      </c>
      <c r="D54" s="2" t="inlineStr">
        <is>
          <t>MINOR</t>
        </is>
      </c>
      <c r="E54" s="2" t="inlineStr">
        <is>
          <t>image observation</t>
        </is>
      </c>
      <c r="F54" s="5" t="inlineStr">
        <is>
          <t>Bedding type, feature, lifestyle or material image for black white ghost Halloween comforter set.</t>
        </is>
      </c>
      <c r="G54" s="5" t="inlineStr">
        <is>
          <t>Fresh image file: D:\Shopify_Workspace\jeminise_seo\seo_runs\jeminise.com\20260906_234129\qa\20260907_212312\images\166_03.jpg; source URL: https://cdn.shopify.com/s/files/1/0792/5098/1063/files/e96376384911eb815950bd49399e4d932894d33483e6a2657a308a3f851871b2.jpg?v=1787936250</t>
        </is>
      </c>
      <c r="H54" s="5" t="inlineStr">
        <is>
          <t>Observation is generic or position-based; rewrite from the actual image content.</t>
        </is>
      </c>
      <c r="I54" s="5" t="inlineStr">
        <is>
          <t>Rewrite observation/alt from the directly opened image, naming the visible motif and use context.</t>
        </is>
      </c>
      <c r="J54" s="5" t="inlineStr">
        <is>
          <t>Fresh image file: D:\Shopify_Workspace\jeminise_seo\seo_runs\jeminise.com\20260906_234129\qa\20260907_212312\images\166_03.jpg; source URL: https://cdn.shopify.com/s/files/1/0792/5098/1063/files/e96376384911eb815950bd49399e4d932894d33483e6a2657a308a3f851871b2.jpg?v=1787936250</t>
        </is>
      </c>
      <c r="K54" s="5" t="inlineStr">
        <is>
          <t>The image row accurately describes the actual media at this gallery position.</t>
        </is>
      </c>
      <c r="L54" s="2" t="inlineStr">
        <is>
          <t>RESOLVED</t>
        </is>
      </c>
    </row>
    <row r="55">
      <c r="A55" s="2" t="inlineStr">
        <is>
          <t>ISSUE-0054</t>
        </is>
      </c>
      <c r="B55" s="5" t="inlineStr">
        <is>
          <t>jeminise.com+pamnest-twin-halloween-comforter-set-with-sheets-5-pieces-design-03</t>
        </is>
      </c>
      <c r="C55" s="2" t="inlineStr">
        <is>
          <t>img_48a696a61579ec77</t>
        </is>
      </c>
      <c r="D55" s="2" t="inlineStr">
        <is>
          <t>MINOR</t>
        </is>
      </c>
      <c r="E55" s="2" t="inlineStr">
        <is>
          <t>image observation</t>
        </is>
      </c>
      <c r="F55" s="5" t="inlineStr">
        <is>
          <t>Detail, feature panel or lifestyle image connected to black white ghost Halloween comforter set.</t>
        </is>
      </c>
      <c r="G55" s="5" t="inlineStr">
        <is>
          <t>Fresh image file: D:\Shopify_Workspace\jeminise_seo\seo_runs\jeminise.com\20260906_234129\qa\20260907_212312\images\166_04.jpg; source URL: https://cdn.shopify.com/s/files/1/0792/5098/1063/files/ac42bb85dc2b37a8d6b9f4d966756ea755486c3f61c156cf8759fda5147a0335.jpg?v=1787936250</t>
        </is>
      </c>
      <c r="H55" s="5" t="inlineStr">
        <is>
          <t>Observation is generic or position-based; rewrite from the actual image content.</t>
        </is>
      </c>
      <c r="I55" s="5" t="inlineStr">
        <is>
          <t>Rewrite observation/alt from the directly opened image, naming the visible motif and use context.</t>
        </is>
      </c>
      <c r="J55" s="5" t="inlineStr">
        <is>
          <t>Fresh image file: D:\Shopify_Workspace\jeminise_seo\seo_runs\jeminise.com\20260906_234129\qa\20260907_212312\images\166_04.jpg; source URL: https://cdn.shopify.com/s/files/1/0792/5098/1063/files/ac42bb85dc2b37a8d6b9f4d966756ea755486c3f61c156cf8759fda5147a0335.jpg?v=1787936250</t>
        </is>
      </c>
      <c r="K55" s="5" t="inlineStr">
        <is>
          <t>The image row accurately describes the actual media at this gallery position.</t>
        </is>
      </c>
      <c r="L55" s="2" t="inlineStr">
        <is>
          <t>RESOLVED</t>
        </is>
      </c>
    </row>
    <row r="56">
      <c r="A56" s="2" t="inlineStr">
        <is>
          <t>ISSUE-0055</t>
        </is>
      </c>
      <c r="B56" s="5" t="inlineStr">
        <is>
          <t>jeminise.com+pamnest-twin-halloween-comforter-set-with-sheets-5-pieces-design-03</t>
        </is>
      </c>
      <c r="C56" s="2" t="inlineStr">
        <is>
          <t>img_638c13032e75fb69</t>
        </is>
      </c>
      <c r="D56" s="2" t="inlineStr">
        <is>
          <t>MINOR</t>
        </is>
      </c>
      <c r="E56" s="2" t="inlineStr">
        <is>
          <t>image observation</t>
        </is>
      </c>
      <c r="F56" s="5" t="inlineStr">
        <is>
          <t>Easy-care, size guide or product feature image for black white ghost Halloween comforter set.</t>
        </is>
      </c>
      <c r="G56" s="5" t="inlineStr">
        <is>
          <t>Fresh image file: D:\Shopify_Workspace\jeminise_seo\seo_runs\jeminise.com\20260906_234129\qa\20260907_212312\images\166_06.jpg; source URL: https://cdn.shopify.com/s/files/1/0792/5098/1063/files/bbd8b3069747599cfa3e8e8deb179b9085c81592ba19d1c6287a8363a8238662.jpg?v=1787936250</t>
        </is>
      </c>
      <c r="H56" s="5" t="inlineStr">
        <is>
          <t>Observation is generic or position-based; rewrite from the actual image content.</t>
        </is>
      </c>
      <c r="I56" s="5" t="inlineStr">
        <is>
          <t>Rewrite observation/alt from the directly opened image, naming the visible motif and use context.</t>
        </is>
      </c>
      <c r="J56" s="5" t="inlineStr">
        <is>
          <t>Fresh image file: D:\Shopify_Workspace\jeminise_seo\seo_runs\jeminise.com\20260906_234129\qa\20260907_212312\images\166_06.jpg; source URL: https://cdn.shopify.com/s/files/1/0792/5098/1063/files/bbd8b3069747599cfa3e8e8deb179b9085c81592ba19d1c6287a8363a8238662.jpg?v=1787936250</t>
        </is>
      </c>
      <c r="K56" s="5" t="inlineStr">
        <is>
          <t>The image row accurately describes the actual media at this gallery position.</t>
        </is>
      </c>
      <c r="L56" s="2" t="inlineStr">
        <is>
          <t>RESOLVED</t>
        </is>
      </c>
    </row>
    <row r="57">
      <c r="A57" s="2" t="inlineStr">
        <is>
          <t>ISSUE-0056</t>
        </is>
      </c>
      <c r="B57" s="5" t="inlineStr">
        <is>
          <t>jeminise.com+pamnest-twin-halloween-comforter-set-with-sheets-5-pieces-design-03</t>
        </is>
      </c>
      <c r="C57" s="2" t="inlineStr">
        <is>
          <t>img_638c13032e75fb69</t>
        </is>
      </c>
      <c r="D57" s="2" t="inlineStr">
        <is>
          <t>MINOR</t>
        </is>
      </c>
      <c r="E57" s="2" t="inlineStr">
        <is>
          <t>alt text</t>
        </is>
      </c>
      <c r="F57" s="5" t="inlineStr">
        <is>
          <t>Set contents and size chart image for Black White Ghost Halloween Comforter Set</t>
        </is>
      </c>
      <c r="G57" s="5" t="inlineStr">
        <is>
          <t>Fresh image file: D:\Shopify_Workspace\jeminise_seo\seo_runs\jeminise.com\20260906_234129\qa\20260907_212312\images\166_06.jpg; source URL: https://cdn.shopify.com/s/files/1/0792/5098/1063/files/bbd8b3069747599cfa3e8e8deb179b9085c81592ba19d1c6287a8363a8238662.jpg?v=1787936250</t>
        </is>
      </c>
      <c r="H57" s="5" t="inlineStr">
        <is>
          <t>Alt text is too generic or describes placement more than visible content.</t>
        </is>
      </c>
      <c r="I57" s="5" t="inlineStr">
        <is>
          <t>Rewrite observation/alt from the directly opened image, naming the visible motif and use context.</t>
        </is>
      </c>
      <c r="J57" s="5" t="inlineStr">
        <is>
          <t>Fresh image file: D:\Shopify_Workspace\jeminise_seo\seo_runs\jeminise.com\20260906_234129\qa\20260907_212312\images\166_06.jpg; source URL: https://cdn.shopify.com/s/files/1/0792/5098/1063/files/bbd8b3069747599cfa3e8e8deb179b9085c81592ba19d1c6287a8363a8238662.jpg?v=1787936250</t>
        </is>
      </c>
      <c r="K57" s="5" t="inlineStr">
        <is>
          <t>The image row accurately describes the actual media at this gallery position.</t>
        </is>
      </c>
      <c r="L57" s="2" t="inlineStr">
        <is>
          <t>RESOLVED</t>
        </is>
      </c>
    </row>
    <row r="58">
      <c r="A58" s="2" t="inlineStr">
        <is>
          <t>ISSUE-0057</t>
        </is>
      </c>
      <c r="B58" s="5" t="inlineStr">
        <is>
          <t>jeminise.com+pamnest-twin-halloween-comforter-set-with-sheets-5-pieces-design-04</t>
        </is>
      </c>
      <c r="C58" s="2" t="inlineStr"/>
      <c r="D58" s="2" t="inlineStr">
        <is>
          <t>MAJOR</t>
        </is>
      </c>
      <c r="E58" s="2" t="inlineStr">
        <is>
          <t>description_proposed_html</t>
        </is>
      </c>
      <c r="F58" s="5"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t>
        </is>
      </c>
      <c r="G58" s="5" t="inlineStr">
        <is>
          <t>Draft contains SEO Use / QA approval wording.</t>
        </is>
      </c>
      <c r="H58" s="5" t="inlineStr">
        <is>
          <t>Internal workflow language is not publish-ready storefront copy.</t>
        </is>
      </c>
      <c r="I58" s="5" t="inlineStr">
        <is>
          <t>Remove internal QA/import block and replace with customer-facing verified copy.</t>
        </is>
      </c>
      <c r="J58" s="5" t="inlineStr">
        <is>
          <t>Draft contains SEO Use / QA approval wording.</t>
        </is>
      </c>
      <c r="K58" s="5" t="inlineStr">
        <is>
          <t>Description HTML no longer contains SEO Use, QA, approval, import or draft language.</t>
        </is>
      </c>
      <c r="L58" s="2" t="inlineStr">
        <is>
          <t>RESOLVED</t>
        </is>
      </c>
    </row>
    <row r="59">
      <c r="A59" s="2" t="inlineStr">
        <is>
          <t>ISSUE-0058</t>
        </is>
      </c>
      <c r="B59" s="5" t="inlineStr">
        <is>
          <t>jeminise.com+pamnest-twin-halloween-comforter-set-with-sheets-5-pieces-design-04</t>
        </is>
      </c>
      <c r="C59" s="2" t="inlineStr"/>
      <c r="D59" s="2" t="inlineStr">
        <is>
          <t>MAJOR</t>
        </is>
      </c>
      <c r="E59" s="2" t="inlineStr">
        <is>
          <t>h1_proposed</t>
        </is>
      </c>
      <c r="F59" s="2" t="inlineStr"/>
      <c r="G59" s="5" t="inlineStr">
        <is>
          <t>The submitted workbook row has no proposed H1.</t>
        </is>
      </c>
      <c r="H59" s="5" t="inlineStr">
        <is>
          <t>A publishable SEO title/H1 pair is incomplete when the H1 field is blank.</t>
        </is>
      </c>
      <c r="I59" s="5" t="inlineStr">
        <is>
          <t>Write one English H1 that matches the verified product type and visible design; do not copy unsupported claims.</t>
        </is>
      </c>
      <c r="J59" s="5" t="inlineStr">
        <is>
          <t>The submitted workbook row has no proposed H1.</t>
        </is>
      </c>
      <c r="K59" s="5" t="inlineStr">
        <is>
          <t>Workbook contains a non-empty H1 and it is consistent with title, primary keyword and live product evidence.</t>
        </is>
      </c>
      <c r="L59" s="2" t="inlineStr">
        <is>
          <t>NOT_APPLICABLE</t>
        </is>
      </c>
    </row>
    <row r="60">
      <c r="A60" s="2" t="inlineStr">
        <is>
          <t>ISSUE-0059</t>
        </is>
      </c>
      <c r="B60" s="5" t="inlineStr">
        <is>
          <t>jeminise.com+pamnest-twin-halloween-comforter-set-with-sheets-5-pieces-design-04</t>
        </is>
      </c>
      <c r="C60" s="2" t="inlineStr"/>
      <c r="D60" s="2" t="inlineStr">
        <is>
          <t>MINOR</t>
        </is>
      </c>
      <c r="E60" s="2" t="inlineStr">
        <is>
          <t>meta_description_seo</t>
        </is>
      </c>
      <c r="F60" s="5" t="inlineStr">
        <is>
          <t>Shop a comforter set featuring blue Halloween scene with large pumpkins, sheet ghosts, haunted trees, bats and moon artwork. Review available sizes and set options before checkout.</t>
        </is>
      </c>
      <c r="G60" s="5" t="inlineStr">
        <is>
          <t>Meta description length is 180 characters.</t>
        </is>
      </c>
      <c r="H60" s="5" t="inlineStr">
        <is>
          <t>Likely to truncate in search results and repeats review/personality wording in several rows.</t>
        </is>
      </c>
      <c r="I60" s="5" t="inlineStr">
        <is>
          <t>Rewrite to roughly 145-155 characters while preserving verified design and product type.</t>
        </is>
      </c>
      <c r="J60" s="5" t="inlineStr">
        <is>
          <t>Meta description length is 180 characters.</t>
        </is>
      </c>
      <c r="K60" s="5" t="inlineStr">
        <is>
          <t>Length check &lt;=160 characters and no unsupported claim remains.</t>
        </is>
      </c>
      <c r="L60" s="2" t="inlineStr">
        <is>
          <t>RESOLVED</t>
        </is>
      </c>
    </row>
    <row r="61">
      <c r="A61" s="2" t="inlineStr">
        <is>
          <t>ISSUE-0060</t>
        </is>
      </c>
      <c r="B61" s="5" t="inlineStr">
        <is>
          <t>jeminise.com+pamnest-twin-halloween-comforter-set-with-sheets-5-pieces-design-04</t>
        </is>
      </c>
      <c r="C61" s="2" t="inlineStr"/>
      <c r="D61" s="2" t="inlineStr">
        <is>
          <t>LIMITATION</t>
        </is>
      </c>
      <c r="E61" s="2" t="inlineStr">
        <is>
          <t>keyword_evidence_level</t>
        </is>
      </c>
      <c r="F61" s="2" t="inlineStr">
        <is>
          <t>SERP_ONLY</t>
        </is>
      </c>
      <c r="G61" s="5" t="inlineStr">
        <is>
          <t>Only public SERP comparables are available.</t>
        </is>
      </c>
      <c r="H61" s="5" t="inlineStr">
        <is>
          <t>No Search Console, paid keyword volume or internal site search export was supplied.</t>
        </is>
      </c>
      <c r="I61" s="5" t="inlineStr">
        <is>
          <t>Keep demand statements qualitative; do not claim volume or ranking potential.</t>
        </is>
      </c>
      <c r="J61" s="5" t="inlineStr">
        <is>
          <t>Only public SERP comparables are available.</t>
        </is>
      </c>
      <c r="K61" s="5" t="inlineStr">
        <is>
          <t>Additional first-party or paid keyword evidence is attached, or limitation remains documented.</t>
        </is>
      </c>
      <c r="L61" s="2" t="inlineStr">
        <is>
          <t>PERSISTS</t>
        </is>
      </c>
    </row>
    <row r="62">
      <c r="A62" s="2" t="inlineStr">
        <is>
          <t>ISSUE-0061</t>
        </is>
      </c>
      <c r="B62" s="5" t="inlineStr">
        <is>
          <t>jeminise.com+pamnest-twin-halloween-comforter-set-with-sheets-5-pieces-design-04</t>
        </is>
      </c>
      <c r="C62" s="2" t="inlineStr">
        <is>
          <t>img_a78f074313a5fd42</t>
        </is>
      </c>
      <c r="D62" s="2" t="inlineStr">
        <is>
          <t>MINOR</t>
        </is>
      </c>
      <c r="E62" s="2" t="inlineStr">
        <is>
          <t>alt text</t>
        </is>
      </c>
      <c r="F62" s="5" t="inlineStr">
        <is>
          <t>Blue Haunted Pumpkin Ghost Comforter Set displayed in a main product mockup</t>
        </is>
      </c>
      <c r="G62" s="5" t="inlineStr">
        <is>
          <t>Fresh image file: D:\Shopify_Workspace\jeminise_seo\seo_runs\jeminise.com\20260906_234129\qa\20260907_212312\images\167_01.jpg; source URL: https://cdn.shopify.com/s/files/1/0792/5098/1063/files/5d0f1cae5d8fbccfd0cedc69335c2f8dae57295710f0d39ce49b9d818247b5d7.jpg?v=1787936297</t>
        </is>
      </c>
      <c r="H62" s="5" t="inlineStr">
        <is>
          <t>Alt text is too generic or describes placement more than visible content.</t>
        </is>
      </c>
      <c r="I62" s="5" t="inlineStr">
        <is>
          <t>Rewrite observation/alt from the directly opened image, naming the visible motif and use context.</t>
        </is>
      </c>
      <c r="J62" s="5" t="inlineStr">
        <is>
          <t>Fresh image file: D:\Shopify_Workspace\jeminise_seo\seo_runs\jeminise.com\20260906_234129\qa\20260907_212312\images\167_01.jpg; source URL: https://cdn.shopify.com/s/files/1/0792/5098/1063/files/5d0f1cae5d8fbccfd0cedc69335c2f8dae57295710f0d39ce49b9d818247b5d7.jpg?v=1787936297</t>
        </is>
      </c>
      <c r="K62" s="5" t="inlineStr">
        <is>
          <t>The image row accurately describes the actual media at this gallery position.</t>
        </is>
      </c>
      <c r="L62" s="2" t="inlineStr">
        <is>
          <t>RESOLVED</t>
        </is>
      </c>
    </row>
    <row r="63">
      <c r="A63" s="2" t="inlineStr">
        <is>
          <t>ISSUE-0062</t>
        </is>
      </c>
      <c r="B63" s="5" t="inlineStr">
        <is>
          <t>jeminise.com+pamnest-twin-halloween-comforter-set-with-sheets-5-pieces-design-04</t>
        </is>
      </c>
      <c r="C63" s="2" t="inlineStr">
        <is>
          <t>img_78a5c394d10e22d0</t>
        </is>
      </c>
      <c r="D63" s="2" t="inlineStr">
        <is>
          <t>MINOR</t>
        </is>
      </c>
      <c r="E63" s="2" t="inlineStr">
        <is>
          <t>image observation</t>
        </is>
      </c>
      <c r="F63" s="5" t="inlineStr">
        <is>
          <t>Bedding type, feature, lifestyle or material image for blue haunted pumpkin ghost comforter set.</t>
        </is>
      </c>
      <c r="G63" s="5" t="inlineStr">
        <is>
          <t>Fresh image file: D:\Shopify_Workspace\jeminise_seo\seo_runs\jeminise.com\20260906_234129\qa\20260907_212312\images\167_03.jpg; source URL: https://cdn.shopify.com/s/files/1/0792/5098/1063/files/5ca4830cd71b5426ad687d0e98c5de6daada03acb8a658c0dbb56e9c1612eeb7.jpg?v=1787936297</t>
        </is>
      </c>
      <c r="H63" s="5" t="inlineStr">
        <is>
          <t>Observation is generic or position-based; rewrite from the actual image content.</t>
        </is>
      </c>
      <c r="I63" s="5" t="inlineStr">
        <is>
          <t>Rewrite observation/alt from the directly opened image, naming the visible motif and use context.</t>
        </is>
      </c>
      <c r="J63" s="5" t="inlineStr">
        <is>
          <t>Fresh image file: D:\Shopify_Workspace\jeminise_seo\seo_runs\jeminise.com\20260906_234129\qa\20260907_212312\images\167_03.jpg; source URL: https://cdn.shopify.com/s/files/1/0792/5098/1063/files/5ca4830cd71b5426ad687d0e98c5de6daada03acb8a658c0dbb56e9c1612eeb7.jpg?v=1787936297</t>
        </is>
      </c>
      <c r="K63" s="5" t="inlineStr">
        <is>
          <t>The image row accurately describes the actual media at this gallery position.</t>
        </is>
      </c>
      <c r="L63" s="2" t="inlineStr">
        <is>
          <t>RESOLVED</t>
        </is>
      </c>
    </row>
    <row r="64">
      <c r="A64" s="2" t="inlineStr">
        <is>
          <t>ISSUE-0063</t>
        </is>
      </c>
      <c r="B64" s="5" t="inlineStr">
        <is>
          <t>jeminise.com+pamnest-twin-halloween-comforter-set-with-sheets-5-pieces-design-04</t>
        </is>
      </c>
      <c r="C64" s="2" t="inlineStr">
        <is>
          <t>img_d91839ec732041fa</t>
        </is>
      </c>
      <c r="D64" s="2" t="inlineStr">
        <is>
          <t>MINOR</t>
        </is>
      </c>
      <c r="E64" s="2" t="inlineStr">
        <is>
          <t>image observation</t>
        </is>
      </c>
      <c r="F64" s="5" t="inlineStr">
        <is>
          <t>Detail, feature panel or lifestyle image connected to blue haunted pumpkin ghost comforter set.</t>
        </is>
      </c>
      <c r="G64" s="5" t="inlineStr">
        <is>
          <t>Fresh image file: D:\Shopify_Workspace\jeminise_seo\seo_runs\jeminise.com\20260906_234129\qa\20260907_212312\images\167_04.jpg; source URL: https://cdn.shopify.com/s/files/1/0792/5098/1063/files/3e81ffaaf0deab65c1f4a3f78b8b479936f650a3a751ef521aab7f3ff885449e.jpg?v=1787936297</t>
        </is>
      </c>
      <c r="H64" s="5" t="inlineStr">
        <is>
          <t>Observation is generic or position-based; rewrite from the actual image content.</t>
        </is>
      </c>
      <c r="I64" s="5" t="inlineStr">
        <is>
          <t>Rewrite observation/alt from the directly opened image, naming the visible motif and use context.</t>
        </is>
      </c>
      <c r="J64" s="5" t="inlineStr">
        <is>
          <t>Fresh image file: D:\Shopify_Workspace\jeminise_seo\seo_runs\jeminise.com\20260906_234129\qa\20260907_212312\images\167_04.jpg; source URL: https://cdn.shopify.com/s/files/1/0792/5098/1063/files/3e81ffaaf0deab65c1f4a3f78b8b479936f650a3a751ef521aab7f3ff885449e.jpg?v=1787936297</t>
        </is>
      </c>
      <c r="K64" s="5" t="inlineStr">
        <is>
          <t>The image row accurately describes the actual media at this gallery position.</t>
        </is>
      </c>
      <c r="L64" s="2" t="inlineStr">
        <is>
          <t>RESOLVED</t>
        </is>
      </c>
    </row>
    <row r="65">
      <c r="A65" s="2" t="inlineStr">
        <is>
          <t>ISSUE-0064</t>
        </is>
      </c>
      <c r="B65" s="5" t="inlineStr">
        <is>
          <t>jeminise.com+pamnest-twin-halloween-comforter-set-with-sheets-5-pieces-design-04</t>
        </is>
      </c>
      <c r="C65" s="2" t="inlineStr">
        <is>
          <t>img_d2c9d6272b82396c</t>
        </is>
      </c>
      <c r="D65" s="2" t="inlineStr">
        <is>
          <t>MINOR</t>
        </is>
      </c>
      <c r="E65" s="2" t="inlineStr">
        <is>
          <t>image observation</t>
        </is>
      </c>
      <c r="F65" s="5" t="inlineStr">
        <is>
          <t>Easy-care, size guide or product feature image for blue haunted pumpkin ghost comforter set.</t>
        </is>
      </c>
      <c r="G65" s="5" t="inlineStr">
        <is>
          <t>Fresh image file: D:\Shopify_Workspace\jeminise_seo\seo_runs\jeminise.com\20260906_234129\qa\20260907_212312\images\167_06.jpg; source URL: https://cdn.shopify.com/s/files/1/0792/5098/1063/files/b0d1da8d8060da04652dfbd8ac59558b6bb3e731d6cda0161cad77ec3b3c8fe2.jpg?v=1787936297</t>
        </is>
      </c>
      <c r="H65" s="5" t="inlineStr">
        <is>
          <t>Observation is generic or position-based; rewrite from the actual image content.</t>
        </is>
      </c>
      <c r="I65" s="5" t="inlineStr">
        <is>
          <t>Rewrite observation/alt from the directly opened image, naming the visible motif and use context.</t>
        </is>
      </c>
      <c r="J65" s="5" t="inlineStr">
        <is>
          <t>Fresh image file: D:\Shopify_Workspace\jeminise_seo\seo_runs\jeminise.com\20260906_234129\qa\20260907_212312\images\167_06.jpg; source URL: https://cdn.shopify.com/s/files/1/0792/5098/1063/files/b0d1da8d8060da04652dfbd8ac59558b6bb3e731d6cda0161cad77ec3b3c8fe2.jpg?v=1787936297</t>
        </is>
      </c>
      <c r="K65" s="5" t="inlineStr">
        <is>
          <t>The image row accurately describes the actual media at this gallery position.</t>
        </is>
      </c>
      <c r="L65" s="2" t="inlineStr">
        <is>
          <t>RESOLVED</t>
        </is>
      </c>
    </row>
    <row r="66">
      <c r="A66" s="2" t="inlineStr">
        <is>
          <t>ISSUE-0065</t>
        </is>
      </c>
      <c r="B66" s="5" t="inlineStr">
        <is>
          <t>jeminise.com+pamnest-twin-halloween-comforter-set-with-sheets-5-pieces-design-04</t>
        </is>
      </c>
      <c r="C66" s="2" t="inlineStr">
        <is>
          <t>img_d2c9d6272b82396c</t>
        </is>
      </c>
      <c r="D66" s="2" t="inlineStr">
        <is>
          <t>MINOR</t>
        </is>
      </c>
      <c r="E66" s="2" t="inlineStr">
        <is>
          <t>alt text</t>
        </is>
      </c>
      <c r="F66" s="5" t="inlineStr">
        <is>
          <t>Set contents and size chart image for Blue Haunted Pumpkin Ghost Comforter Set</t>
        </is>
      </c>
      <c r="G66" s="5" t="inlineStr">
        <is>
          <t>Fresh image file: D:\Shopify_Workspace\jeminise_seo\seo_runs\jeminise.com\20260906_234129\qa\20260907_212312\images\167_06.jpg; source URL: https://cdn.shopify.com/s/files/1/0792/5098/1063/files/b0d1da8d8060da04652dfbd8ac59558b6bb3e731d6cda0161cad77ec3b3c8fe2.jpg?v=1787936297</t>
        </is>
      </c>
      <c r="H66" s="5" t="inlineStr">
        <is>
          <t>Alt text is too generic or describes placement more than visible content.</t>
        </is>
      </c>
      <c r="I66" s="5" t="inlineStr">
        <is>
          <t>Rewrite observation/alt from the directly opened image, naming the visible motif and use context.</t>
        </is>
      </c>
      <c r="J66" s="5" t="inlineStr">
        <is>
          <t>Fresh image file: D:\Shopify_Workspace\jeminise_seo\seo_runs\jeminise.com\20260906_234129\qa\20260907_212312\images\167_06.jpg; source URL: https://cdn.shopify.com/s/files/1/0792/5098/1063/files/b0d1da8d8060da04652dfbd8ac59558b6bb3e731d6cda0161cad77ec3b3c8fe2.jpg?v=1787936297</t>
        </is>
      </c>
      <c r="K66" s="5" t="inlineStr">
        <is>
          <t>The image row accurately describes the actual media at this gallery position.</t>
        </is>
      </c>
      <c r="L66" s="2" t="inlineStr">
        <is>
          <t>RESOLVED</t>
        </is>
      </c>
    </row>
    <row r="67">
      <c r="A67" s="2" t="inlineStr">
        <is>
          <t>ISSUE-0066</t>
        </is>
      </c>
      <c r="B67" s="5" t="inlineStr">
        <is>
          <t>jeminise.com+pamnest-twin-halloween-comforter-set-with-sheets-5-pieces-design-05</t>
        </is>
      </c>
      <c r="C67" s="2" t="inlineStr"/>
      <c r="D67" s="2" t="inlineStr">
        <is>
          <t>MAJOR</t>
        </is>
      </c>
      <c r="E67" s="2" t="inlineStr">
        <is>
          <t>description_proposed_html</t>
        </is>
      </c>
      <c r="F67" s="5"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t>
        </is>
      </c>
      <c r="G67" s="5" t="inlineStr">
        <is>
          <t>Draft contains SEO Use / QA approval wording.</t>
        </is>
      </c>
      <c r="H67" s="5" t="inlineStr">
        <is>
          <t>Internal workflow language is not publish-ready storefront copy.</t>
        </is>
      </c>
      <c r="I67" s="5" t="inlineStr">
        <is>
          <t>Remove internal QA/import block and replace with customer-facing verified copy.</t>
        </is>
      </c>
      <c r="J67" s="5" t="inlineStr">
        <is>
          <t>Draft contains SEO Use / QA approval wording.</t>
        </is>
      </c>
      <c r="K67" s="5" t="inlineStr">
        <is>
          <t>Description HTML no longer contains SEO Use, QA, approval, import or draft language.</t>
        </is>
      </c>
      <c r="L67" s="2" t="inlineStr">
        <is>
          <t>RESOLVED</t>
        </is>
      </c>
    </row>
    <row r="68">
      <c r="A68" s="2" t="inlineStr">
        <is>
          <t>ISSUE-0067</t>
        </is>
      </c>
      <c r="B68" s="5" t="inlineStr">
        <is>
          <t>jeminise.com+pamnest-twin-halloween-comforter-set-with-sheets-5-pieces-design-05</t>
        </is>
      </c>
      <c r="C68" s="2" t="inlineStr"/>
      <c r="D68" s="2" t="inlineStr">
        <is>
          <t>MAJOR</t>
        </is>
      </c>
      <c r="E68" s="2" t="inlineStr">
        <is>
          <t>h1_proposed</t>
        </is>
      </c>
      <c r="F68" s="2" t="inlineStr"/>
      <c r="G68" s="5" t="inlineStr">
        <is>
          <t>The submitted workbook row has no proposed H1.</t>
        </is>
      </c>
      <c r="H68" s="5" t="inlineStr">
        <is>
          <t>A publishable SEO title/H1 pair is incomplete when the H1 field is blank.</t>
        </is>
      </c>
      <c r="I68" s="5" t="inlineStr">
        <is>
          <t>Write one English H1 that matches the verified product type and visible design; do not copy unsupported claims.</t>
        </is>
      </c>
      <c r="J68" s="5" t="inlineStr">
        <is>
          <t>The submitted workbook row has no proposed H1.</t>
        </is>
      </c>
      <c r="K68" s="5" t="inlineStr">
        <is>
          <t>Workbook contains a non-empty H1 and it is consistent with title, primary keyword and live product evidence.</t>
        </is>
      </c>
      <c r="L68" s="2" t="inlineStr">
        <is>
          <t>NOT_APPLICABLE</t>
        </is>
      </c>
    </row>
    <row r="69">
      <c r="A69" s="2" t="inlineStr">
        <is>
          <t>ISSUE-0068</t>
        </is>
      </c>
      <c r="B69" s="5" t="inlineStr">
        <is>
          <t>jeminise.com+pamnest-twin-halloween-comforter-set-with-sheets-5-pieces-design-05</t>
        </is>
      </c>
      <c r="C69" s="2" t="inlineStr"/>
      <c r="D69" s="2" t="inlineStr">
        <is>
          <t>MINOR</t>
        </is>
      </c>
      <c r="E69" s="2" t="inlineStr">
        <is>
          <t>meta_description_seo</t>
        </is>
      </c>
      <c r="F69" s="5" t="inlineStr">
        <is>
          <t>Shop a comforter set featuring pink Halloween bedding with cute ghosts, witch hats, candy, stars and soft pink sheets. Review available sizes and set options before checkout.</t>
        </is>
      </c>
      <c r="G69" s="5" t="inlineStr">
        <is>
          <t>Meta description length is 174 characters.</t>
        </is>
      </c>
      <c r="H69" s="5" t="inlineStr">
        <is>
          <t>Likely to truncate in search results and repeats review/personality wording in several rows.</t>
        </is>
      </c>
      <c r="I69" s="5" t="inlineStr">
        <is>
          <t>Rewrite to roughly 145-155 characters while preserving verified design and product type.</t>
        </is>
      </c>
      <c r="J69" s="5" t="inlineStr">
        <is>
          <t>Meta description length is 174 characters.</t>
        </is>
      </c>
      <c r="K69" s="5" t="inlineStr">
        <is>
          <t>Length check &lt;=160 characters and no unsupported claim remains.</t>
        </is>
      </c>
      <c r="L69" s="2" t="inlineStr">
        <is>
          <t>RESOLVED</t>
        </is>
      </c>
    </row>
    <row r="70">
      <c r="A70" s="2" t="inlineStr">
        <is>
          <t>ISSUE-0069</t>
        </is>
      </c>
      <c r="B70" s="5" t="inlineStr">
        <is>
          <t>jeminise.com+pamnest-twin-halloween-comforter-set-with-sheets-5-pieces-design-05</t>
        </is>
      </c>
      <c r="C70" s="2" t="inlineStr"/>
      <c r="D70" s="2" t="inlineStr">
        <is>
          <t>LIMITATION</t>
        </is>
      </c>
      <c r="E70" s="2" t="inlineStr">
        <is>
          <t>keyword_evidence_level</t>
        </is>
      </c>
      <c r="F70" s="2" t="inlineStr">
        <is>
          <t>SERP_ONLY</t>
        </is>
      </c>
      <c r="G70" s="5" t="inlineStr">
        <is>
          <t>Only public SERP comparables are available.</t>
        </is>
      </c>
      <c r="H70" s="5" t="inlineStr">
        <is>
          <t>No Search Console, paid keyword volume or internal site search export was supplied.</t>
        </is>
      </c>
      <c r="I70" s="5" t="inlineStr">
        <is>
          <t>Keep demand statements qualitative; do not claim volume or ranking potential.</t>
        </is>
      </c>
      <c r="J70" s="5" t="inlineStr">
        <is>
          <t>Only public SERP comparables are available.</t>
        </is>
      </c>
      <c r="K70" s="5" t="inlineStr">
        <is>
          <t>Additional first-party or paid keyword evidence is attached, or limitation remains documented.</t>
        </is>
      </c>
      <c r="L70" s="2" t="inlineStr">
        <is>
          <t>PERSISTS</t>
        </is>
      </c>
    </row>
    <row r="71">
      <c r="A71" s="2" t="inlineStr">
        <is>
          <t>ISSUE-0070</t>
        </is>
      </c>
      <c r="B71" s="5" t="inlineStr">
        <is>
          <t>jeminise.com+pamnest-twin-halloween-comforter-set-with-sheets-5-pieces-design-05</t>
        </is>
      </c>
      <c r="C71" s="2" t="inlineStr">
        <is>
          <t>img_f63b91c48fb4a74a</t>
        </is>
      </c>
      <c r="D71" s="2" t="inlineStr">
        <is>
          <t>MINOR</t>
        </is>
      </c>
      <c r="E71" s="2" t="inlineStr">
        <is>
          <t>alt text</t>
        </is>
      </c>
      <c r="F71" s="5" t="inlineStr">
        <is>
          <t>Pink Cute Ghost Halloween Comforter Set displayed in a main product mockup</t>
        </is>
      </c>
      <c r="G71" s="5" t="inlineStr">
        <is>
          <t>Fresh image file: D:\Shopify_Workspace\jeminise_seo\seo_runs\jeminise.com\20260906_234129\qa\20260907_212312\images\168_01.jpg; source URL: https://cdn.shopify.com/s/files/1/0792/5098/1063/files/0378abcf551bb373bc058a8d932a075b2e7062138286ccd5675aab241cbc2aa8.jpg?v=1787936303</t>
        </is>
      </c>
      <c r="H71" s="5" t="inlineStr">
        <is>
          <t>Alt text is too generic or describes placement more than visible content.</t>
        </is>
      </c>
      <c r="I71" s="5" t="inlineStr">
        <is>
          <t>Rewrite observation/alt from the directly opened image, naming the visible motif and use context.</t>
        </is>
      </c>
      <c r="J71" s="5" t="inlineStr">
        <is>
          <t>Fresh image file: D:\Shopify_Workspace\jeminise_seo\seo_runs\jeminise.com\20260906_234129\qa\20260907_212312\images\168_01.jpg; source URL: https://cdn.shopify.com/s/files/1/0792/5098/1063/files/0378abcf551bb373bc058a8d932a075b2e7062138286ccd5675aab241cbc2aa8.jpg?v=1787936303</t>
        </is>
      </c>
      <c r="K71" s="5" t="inlineStr">
        <is>
          <t>The image row accurately describes the actual media at this gallery position.</t>
        </is>
      </c>
      <c r="L71" s="2" t="inlineStr">
        <is>
          <t>RESOLVED</t>
        </is>
      </c>
    </row>
    <row r="72">
      <c r="A72" s="2" t="inlineStr">
        <is>
          <t>ISSUE-0071</t>
        </is>
      </c>
      <c r="B72" s="5" t="inlineStr">
        <is>
          <t>jeminise.com+pamnest-twin-halloween-comforter-set-with-sheets-5-pieces-design-05</t>
        </is>
      </c>
      <c r="C72" s="2" t="inlineStr">
        <is>
          <t>img_fed1eb059469f4be</t>
        </is>
      </c>
      <c r="D72" s="2" t="inlineStr">
        <is>
          <t>MINOR</t>
        </is>
      </c>
      <c r="E72" s="2" t="inlineStr">
        <is>
          <t>image observation</t>
        </is>
      </c>
      <c r="F72" s="5" t="inlineStr">
        <is>
          <t>Bedding type, feature, lifestyle or material image for pink cute ghost Halloween comforter set.</t>
        </is>
      </c>
      <c r="G72" s="5" t="inlineStr">
        <is>
          <t>Fresh image file: D:\Shopify_Workspace\jeminise_seo\seo_runs\jeminise.com\20260906_234129\qa\20260907_212312\images\168_03.jpg; source URL: https://cdn.shopify.com/s/files/1/0792/5098/1063/files/3c149552706148b88d709b4170ededcaf07b0afcd786b0fc80da64aee42ef97a.jpg?v=1787936303</t>
        </is>
      </c>
      <c r="H72" s="5" t="inlineStr">
        <is>
          <t>Observation is generic or position-based; rewrite from the actual image content.</t>
        </is>
      </c>
      <c r="I72" s="5" t="inlineStr">
        <is>
          <t>Rewrite observation/alt from the directly opened image, naming the visible motif and use context.</t>
        </is>
      </c>
      <c r="J72" s="5" t="inlineStr">
        <is>
          <t>Fresh image file: D:\Shopify_Workspace\jeminise_seo\seo_runs\jeminise.com\20260906_234129\qa\20260907_212312\images\168_03.jpg; source URL: https://cdn.shopify.com/s/files/1/0792/5098/1063/files/3c149552706148b88d709b4170ededcaf07b0afcd786b0fc80da64aee42ef97a.jpg?v=1787936303</t>
        </is>
      </c>
      <c r="K72" s="5" t="inlineStr">
        <is>
          <t>The image row accurately describes the actual media at this gallery position.</t>
        </is>
      </c>
      <c r="L72" s="2" t="inlineStr">
        <is>
          <t>RESOLVED</t>
        </is>
      </c>
    </row>
    <row r="73">
      <c r="A73" s="2" t="inlineStr">
        <is>
          <t>ISSUE-0072</t>
        </is>
      </c>
      <c r="B73" s="5" t="inlineStr">
        <is>
          <t>jeminise.com+pamnest-twin-halloween-comforter-set-with-sheets-5-pieces-design-05</t>
        </is>
      </c>
      <c r="C73" s="2" t="inlineStr">
        <is>
          <t>img_f878b183cc88d066</t>
        </is>
      </c>
      <c r="D73" s="2" t="inlineStr">
        <is>
          <t>MINOR</t>
        </is>
      </c>
      <c r="E73" s="2" t="inlineStr">
        <is>
          <t>image observation</t>
        </is>
      </c>
      <c r="F73" s="5" t="inlineStr">
        <is>
          <t>Detail, feature panel or lifestyle image connected to pink cute ghost Halloween comforter set.</t>
        </is>
      </c>
      <c r="G73" s="5" t="inlineStr">
        <is>
          <t>Fresh image file: D:\Shopify_Workspace\jeminise_seo\seo_runs\jeminise.com\20260906_234129\qa\20260907_212312\images\168_04.jpg; source URL: https://cdn.shopify.com/s/files/1/0792/5098/1063/files/27b0e98d00c806f90ce26194ac5961ee72b1843f7ded8b1cdc58421da8ff1af5.jpg?v=1787936303</t>
        </is>
      </c>
      <c r="H73" s="5" t="inlineStr">
        <is>
          <t>Observation is generic or position-based; rewrite from the actual image content.</t>
        </is>
      </c>
      <c r="I73" s="5" t="inlineStr">
        <is>
          <t>Rewrite observation/alt from the directly opened image, naming the visible motif and use context.</t>
        </is>
      </c>
      <c r="J73" s="5" t="inlineStr">
        <is>
          <t>Fresh image file: D:\Shopify_Workspace\jeminise_seo\seo_runs\jeminise.com\20260906_234129\qa\20260907_212312\images\168_04.jpg; source URL: https://cdn.shopify.com/s/files/1/0792/5098/1063/files/27b0e98d00c806f90ce26194ac5961ee72b1843f7ded8b1cdc58421da8ff1af5.jpg?v=1787936303</t>
        </is>
      </c>
      <c r="K73" s="5" t="inlineStr">
        <is>
          <t>The image row accurately describes the actual media at this gallery position.</t>
        </is>
      </c>
      <c r="L73" s="2" t="inlineStr">
        <is>
          <t>RESOLVED</t>
        </is>
      </c>
    </row>
    <row r="74">
      <c r="A74" s="2" t="inlineStr">
        <is>
          <t>ISSUE-0073</t>
        </is>
      </c>
      <c r="B74" s="5" t="inlineStr">
        <is>
          <t>jeminise.com+pamnest-twin-halloween-comforter-set-with-sheets-5-pieces-design-05</t>
        </is>
      </c>
      <c r="C74" s="2" t="inlineStr">
        <is>
          <t>img_df8a12275b529e15</t>
        </is>
      </c>
      <c r="D74" s="2" t="inlineStr">
        <is>
          <t>MINOR</t>
        </is>
      </c>
      <c r="E74" s="2" t="inlineStr">
        <is>
          <t>image observation</t>
        </is>
      </c>
      <c r="F74" s="5" t="inlineStr">
        <is>
          <t>Easy-care, size guide or product feature image for pink cute ghost Halloween comforter set.</t>
        </is>
      </c>
      <c r="G74" s="5" t="inlineStr">
        <is>
          <t>Fresh image file: D:\Shopify_Workspace\jeminise_seo\seo_runs\jeminise.com\20260906_234129\qa\20260907_212312\images\168_06.jpg; source URL: https://cdn.shopify.com/s/files/1/0792/5098/1063/files/7e2ec7c0c42511286cd153cc90aaaa3c14a07010ca3b6583e65c64cf25c53aa4.jpg?v=1787936303</t>
        </is>
      </c>
      <c r="H74" s="5" t="inlineStr">
        <is>
          <t>Observation is generic or position-based; rewrite from the actual image content.</t>
        </is>
      </c>
      <c r="I74" s="5" t="inlineStr">
        <is>
          <t>Rewrite observation/alt from the directly opened image, naming the visible motif and use context.</t>
        </is>
      </c>
      <c r="J74" s="5" t="inlineStr">
        <is>
          <t>Fresh image file: D:\Shopify_Workspace\jeminise_seo\seo_runs\jeminise.com\20260906_234129\qa\20260907_212312\images\168_06.jpg; source URL: https://cdn.shopify.com/s/files/1/0792/5098/1063/files/7e2ec7c0c42511286cd153cc90aaaa3c14a07010ca3b6583e65c64cf25c53aa4.jpg?v=1787936303</t>
        </is>
      </c>
      <c r="K74" s="5" t="inlineStr">
        <is>
          <t>The image row accurately describes the actual media at this gallery position.</t>
        </is>
      </c>
      <c r="L74" s="2" t="inlineStr">
        <is>
          <t>RESOLVED</t>
        </is>
      </c>
    </row>
    <row r="75">
      <c r="A75" s="2" t="inlineStr">
        <is>
          <t>ISSUE-0074</t>
        </is>
      </c>
      <c r="B75" s="5" t="inlineStr">
        <is>
          <t>jeminise.com+pamnest-twin-halloween-comforter-set-with-sheets-5-pieces-design-05</t>
        </is>
      </c>
      <c r="C75" s="2" t="inlineStr">
        <is>
          <t>img_df8a12275b529e15</t>
        </is>
      </c>
      <c r="D75" s="2" t="inlineStr">
        <is>
          <t>MINOR</t>
        </is>
      </c>
      <c r="E75" s="2" t="inlineStr">
        <is>
          <t>alt text</t>
        </is>
      </c>
      <c r="F75" s="5" t="inlineStr">
        <is>
          <t>Set contents and size chart image for Pink Cute Ghost Halloween Comforter Set</t>
        </is>
      </c>
      <c r="G75" s="5" t="inlineStr">
        <is>
          <t>Fresh image file: D:\Shopify_Workspace\jeminise_seo\seo_runs\jeminise.com\20260906_234129\qa\20260907_212312\images\168_06.jpg; source URL: https://cdn.shopify.com/s/files/1/0792/5098/1063/files/7e2ec7c0c42511286cd153cc90aaaa3c14a07010ca3b6583e65c64cf25c53aa4.jpg?v=1787936303</t>
        </is>
      </c>
      <c r="H75" s="5" t="inlineStr">
        <is>
          <t>Alt text is too generic or describes placement more than visible content.</t>
        </is>
      </c>
      <c r="I75" s="5" t="inlineStr">
        <is>
          <t>Rewrite observation/alt from the directly opened image, naming the visible motif and use context.</t>
        </is>
      </c>
      <c r="J75" s="5" t="inlineStr">
        <is>
          <t>Fresh image file: D:\Shopify_Workspace\jeminise_seo\seo_runs\jeminise.com\20260906_234129\qa\20260907_212312\images\168_06.jpg; source URL: https://cdn.shopify.com/s/files/1/0792/5098/1063/files/7e2ec7c0c42511286cd153cc90aaaa3c14a07010ca3b6583e65c64cf25c53aa4.jpg?v=1787936303</t>
        </is>
      </c>
      <c r="K75" s="5" t="inlineStr">
        <is>
          <t>The image row accurately describes the actual media at this gallery position.</t>
        </is>
      </c>
      <c r="L75" s="2" t="inlineStr">
        <is>
          <t>RESOLVED</t>
        </is>
      </c>
    </row>
    <row r="76">
      <c r="A76" s="2" t="inlineStr">
        <is>
          <t>ISSUE-0075</t>
        </is>
      </c>
      <c r="B76" s="5" t="inlineStr">
        <is>
          <t>jeminise.com+pamnest-twin-halloween-comforter-set-with-sheets-5-pieces-design-06</t>
        </is>
      </c>
      <c r="C76" s="2" t="inlineStr"/>
      <c r="D76" s="2" t="inlineStr">
        <is>
          <t>MAJOR</t>
        </is>
      </c>
      <c r="E76" s="2" t="inlineStr">
        <is>
          <t>description_proposed_html</t>
        </is>
      </c>
      <c r="F76" s="5"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t>
        </is>
      </c>
      <c r="G76" s="5" t="inlineStr">
        <is>
          <t>Draft contains SEO Use / QA approval wording.</t>
        </is>
      </c>
      <c r="H76" s="5" t="inlineStr">
        <is>
          <t>Internal workflow language is not publish-ready storefront copy.</t>
        </is>
      </c>
      <c r="I76" s="5" t="inlineStr">
        <is>
          <t>Remove internal QA/import block and replace with customer-facing verified copy.</t>
        </is>
      </c>
      <c r="J76" s="5" t="inlineStr">
        <is>
          <t>Draft contains SEO Use / QA approval wording.</t>
        </is>
      </c>
      <c r="K76" s="5" t="inlineStr">
        <is>
          <t>Description HTML no longer contains SEO Use, QA, approval, import or draft language.</t>
        </is>
      </c>
      <c r="L76" s="2" t="inlineStr">
        <is>
          <t>RESOLVED</t>
        </is>
      </c>
    </row>
    <row r="77">
      <c r="A77" s="2" t="inlineStr">
        <is>
          <t>ISSUE-0076</t>
        </is>
      </c>
      <c r="B77" s="5" t="inlineStr">
        <is>
          <t>jeminise.com+pamnest-twin-halloween-comforter-set-with-sheets-5-pieces-design-06</t>
        </is>
      </c>
      <c r="C77" s="2" t="inlineStr"/>
      <c r="D77" s="2" t="inlineStr">
        <is>
          <t>MAJOR</t>
        </is>
      </c>
      <c r="E77" s="2" t="inlineStr">
        <is>
          <t>h1_proposed</t>
        </is>
      </c>
      <c r="F77" s="2" t="inlineStr"/>
      <c r="G77" s="5" t="inlineStr">
        <is>
          <t>The submitted workbook row has no proposed H1.</t>
        </is>
      </c>
      <c r="H77" s="5" t="inlineStr">
        <is>
          <t>A publishable SEO title/H1 pair is incomplete when the H1 field is blank.</t>
        </is>
      </c>
      <c r="I77" s="5" t="inlineStr">
        <is>
          <t>Write one English H1 that matches the verified product type and visible design; do not copy unsupported claims.</t>
        </is>
      </c>
      <c r="J77" s="5" t="inlineStr">
        <is>
          <t>The submitted workbook row has no proposed H1.</t>
        </is>
      </c>
      <c r="K77" s="5" t="inlineStr">
        <is>
          <t>Workbook contains a non-empty H1 and it is consistent with title, primary keyword and live product evidence.</t>
        </is>
      </c>
      <c r="L77" s="2" t="inlineStr">
        <is>
          <t>NOT_APPLICABLE</t>
        </is>
      </c>
    </row>
    <row r="78">
      <c r="A78" s="2" t="inlineStr">
        <is>
          <t>ISSUE-0077</t>
        </is>
      </c>
      <c r="B78" s="5" t="inlineStr">
        <is>
          <t>jeminise.com+pamnest-twin-halloween-comforter-set-with-sheets-5-pieces-design-06</t>
        </is>
      </c>
      <c r="C78" s="2" t="inlineStr"/>
      <c r="D78" s="2" t="inlineStr">
        <is>
          <t>MINOR</t>
        </is>
      </c>
      <c r="E78" s="2" t="inlineStr">
        <is>
          <t>meta_description_seo</t>
        </is>
      </c>
      <c r="F78" s="5" t="inlineStr">
        <is>
          <t>Shop a comforter set featuring white and red horror-style bedding with splatter graphics, handprints and deep red sheets. Review available sizes and set options before checkout.</t>
        </is>
      </c>
      <c r="G78" s="5" t="inlineStr">
        <is>
          <t>Meta description length is 177 characters.</t>
        </is>
      </c>
      <c r="H78" s="5" t="inlineStr">
        <is>
          <t>Likely to truncate in search results and repeats review/personality wording in several rows.</t>
        </is>
      </c>
      <c r="I78" s="5" t="inlineStr">
        <is>
          <t>Rewrite to roughly 145-155 characters while preserving verified design and product type.</t>
        </is>
      </c>
      <c r="J78" s="5" t="inlineStr">
        <is>
          <t>Meta description length is 177 characters.</t>
        </is>
      </c>
      <c r="K78" s="5" t="inlineStr">
        <is>
          <t>Length check &lt;=160 characters and no unsupported claim remains.</t>
        </is>
      </c>
      <c r="L78" s="2" t="inlineStr">
        <is>
          <t>RESOLVED</t>
        </is>
      </c>
    </row>
    <row r="79">
      <c r="A79" s="2" t="inlineStr">
        <is>
          <t>ISSUE-0078</t>
        </is>
      </c>
      <c r="B79" s="5" t="inlineStr">
        <is>
          <t>jeminise.com+pamnest-twin-halloween-comforter-set-with-sheets-5-pieces-design-06</t>
        </is>
      </c>
      <c r="C79" s="2" t="inlineStr"/>
      <c r="D79" s="2" t="inlineStr">
        <is>
          <t>LIMITATION</t>
        </is>
      </c>
      <c r="E79" s="2" t="inlineStr">
        <is>
          <t>keyword_evidence_level</t>
        </is>
      </c>
      <c r="F79" s="2" t="inlineStr">
        <is>
          <t>SERP_ONLY</t>
        </is>
      </c>
      <c r="G79" s="5" t="inlineStr">
        <is>
          <t>Only public SERP comparables are available.</t>
        </is>
      </c>
      <c r="H79" s="5" t="inlineStr">
        <is>
          <t>No Search Console, paid keyword volume or internal site search export was supplied.</t>
        </is>
      </c>
      <c r="I79" s="5" t="inlineStr">
        <is>
          <t>Keep demand statements qualitative; do not claim volume or ranking potential.</t>
        </is>
      </c>
      <c r="J79" s="5" t="inlineStr">
        <is>
          <t>Only public SERP comparables are available.</t>
        </is>
      </c>
      <c r="K79" s="5" t="inlineStr">
        <is>
          <t>Additional first-party or paid keyword evidence is attached, or limitation remains documented.</t>
        </is>
      </c>
      <c r="L79" s="2" t="inlineStr">
        <is>
          <t>PERSISTS</t>
        </is>
      </c>
    </row>
    <row r="80">
      <c r="A80" s="2" t="inlineStr">
        <is>
          <t>ISSUE-0079</t>
        </is>
      </c>
      <c r="B80" s="5" t="inlineStr">
        <is>
          <t>jeminise.com+pamnest-twin-halloween-comforter-set-with-sheets-5-pieces-design-06</t>
        </is>
      </c>
      <c r="C80" s="2" t="inlineStr">
        <is>
          <t>img_35d94528acc39338</t>
        </is>
      </c>
      <c r="D80" s="2" t="inlineStr">
        <is>
          <t>MINOR</t>
        </is>
      </c>
      <c r="E80" s="2" t="inlineStr">
        <is>
          <t>alt text</t>
        </is>
      </c>
      <c r="F80" s="5" t="inlineStr">
        <is>
          <t>Red Bloody Handprint Halloween Comforter Set displayed in a main product mockup</t>
        </is>
      </c>
      <c r="G80" s="5" t="inlineStr">
        <is>
          <t>Fresh image file: D:\Shopify_Workspace\jeminise_seo\seo_runs\jeminise.com\20260906_234129\qa\20260907_212312\images\169_01.jpg; source URL: https://cdn.shopify.com/s/files/1/0792/5098/1063/files/56881a19a51c01cc553fffe6fc20529fd559dd35981c52ef5bde9f745e19e0c6.jpg?v=1787936307</t>
        </is>
      </c>
      <c r="H80" s="5" t="inlineStr">
        <is>
          <t>Alt text is too generic or describes placement more than visible content.</t>
        </is>
      </c>
      <c r="I80" s="5" t="inlineStr">
        <is>
          <t>Rewrite observation/alt from the directly opened image, naming the visible motif and use context.</t>
        </is>
      </c>
      <c r="J80" s="5" t="inlineStr">
        <is>
          <t>Fresh image file: D:\Shopify_Workspace\jeminise_seo\seo_runs\jeminise.com\20260906_234129\qa\20260907_212312\images\169_01.jpg; source URL: https://cdn.shopify.com/s/files/1/0792/5098/1063/files/56881a19a51c01cc553fffe6fc20529fd559dd35981c52ef5bde9f745e19e0c6.jpg?v=1787936307</t>
        </is>
      </c>
      <c r="K80" s="5" t="inlineStr">
        <is>
          <t>The image row accurately describes the actual media at this gallery position.</t>
        </is>
      </c>
      <c r="L80" s="2" t="inlineStr">
        <is>
          <t>RESOLVED</t>
        </is>
      </c>
    </row>
    <row r="81">
      <c r="A81" s="2" t="inlineStr">
        <is>
          <t>ISSUE-0080</t>
        </is>
      </c>
      <c r="B81" s="5" t="inlineStr">
        <is>
          <t>jeminise.com+pamnest-twin-halloween-comforter-set-with-sheets-5-pieces-design-06</t>
        </is>
      </c>
      <c r="C81" s="2" t="inlineStr">
        <is>
          <t>img_a5acbfa809d8c02a</t>
        </is>
      </c>
      <c r="D81" s="2" t="inlineStr">
        <is>
          <t>MINOR</t>
        </is>
      </c>
      <c r="E81" s="2" t="inlineStr">
        <is>
          <t>image observation</t>
        </is>
      </c>
      <c r="F81" s="5" t="inlineStr">
        <is>
          <t>Bedding type, feature, lifestyle or material image for red bloody handprint Halloween comforter set.</t>
        </is>
      </c>
      <c r="G81" s="5" t="inlineStr">
        <is>
          <t>Fresh image file: D:\Shopify_Workspace\jeminise_seo\seo_runs\jeminise.com\20260906_234129\qa\20260907_212312\images\169_03.jpg; source URL: https://cdn.shopify.com/s/files/1/0792/5098/1063/files/14e0c414dcf8f732a3efcb85f1038b86f760c8561254aa5ccba8af1194c7a4b9.jpg?v=1787936307</t>
        </is>
      </c>
      <c r="H81" s="5" t="inlineStr">
        <is>
          <t>Observation is generic or position-based; rewrite from the actual image content.</t>
        </is>
      </c>
      <c r="I81" s="5" t="inlineStr">
        <is>
          <t>Rewrite observation/alt from the directly opened image, naming the visible motif and use context.</t>
        </is>
      </c>
      <c r="J81" s="5" t="inlineStr">
        <is>
          <t>Fresh image file: D:\Shopify_Workspace\jeminise_seo\seo_runs\jeminise.com\20260906_234129\qa\20260907_212312\images\169_03.jpg; source URL: https://cdn.shopify.com/s/files/1/0792/5098/1063/files/14e0c414dcf8f732a3efcb85f1038b86f760c8561254aa5ccba8af1194c7a4b9.jpg?v=1787936307</t>
        </is>
      </c>
      <c r="K81" s="5" t="inlineStr">
        <is>
          <t>The image row accurately describes the actual media at this gallery position.</t>
        </is>
      </c>
      <c r="L81" s="2" t="inlineStr">
        <is>
          <t>RESOLVED</t>
        </is>
      </c>
    </row>
    <row r="82">
      <c r="A82" s="2" t="inlineStr">
        <is>
          <t>ISSUE-0081</t>
        </is>
      </c>
      <c r="B82" s="5" t="inlineStr">
        <is>
          <t>jeminise.com+pamnest-twin-halloween-comforter-set-with-sheets-5-pieces-design-06</t>
        </is>
      </c>
      <c r="C82" s="2" t="inlineStr">
        <is>
          <t>img_c0d5bc796a75d91f</t>
        </is>
      </c>
      <c r="D82" s="2" t="inlineStr">
        <is>
          <t>MINOR</t>
        </is>
      </c>
      <c r="E82" s="2" t="inlineStr">
        <is>
          <t>image observation</t>
        </is>
      </c>
      <c r="F82" s="5" t="inlineStr">
        <is>
          <t>Detail, feature panel or lifestyle image connected to red bloody handprint Halloween comforter set.</t>
        </is>
      </c>
      <c r="G82" s="5" t="inlineStr">
        <is>
          <t>Fresh image file: D:\Shopify_Workspace\jeminise_seo\seo_runs\jeminise.com\20260906_234129\qa\20260907_212312\images\169_04.jpg; source URL: https://cdn.shopify.com/s/files/1/0792/5098/1063/files/60955256316c3a7bdd4e572c3f1101f8d5511e78a1d363f9d70104b52b193f71.jpg?v=1787936307</t>
        </is>
      </c>
      <c r="H82" s="5" t="inlineStr">
        <is>
          <t>Observation is generic or position-based; rewrite from the actual image content.</t>
        </is>
      </c>
      <c r="I82" s="5" t="inlineStr">
        <is>
          <t>Rewrite observation/alt from the directly opened image, naming the visible motif and use context.</t>
        </is>
      </c>
      <c r="J82" s="5" t="inlineStr">
        <is>
          <t>Fresh image file: D:\Shopify_Workspace\jeminise_seo\seo_runs\jeminise.com\20260906_234129\qa\20260907_212312\images\169_04.jpg; source URL: https://cdn.shopify.com/s/files/1/0792/5098/1063/files/60955256316c3a7bdd4e572c3f1101f8d5511e78a1d363f9d70104b52b193f71.jpg?v=1787936307</t>
        </is>
      </c>
      <c r="K82" s="5" t="inlineStr">
        <is>
          <t>The image row accurately describes the actual media at this gallery position.</t>
        </is>
      </c>
      <c r="L82" s="2" t="inlineStr">
        <is>
          <t>RESOLVED</t>
        </is>
      </c>
    </row>
    <row r="83">
      <c r="A83" s="2" t="inlineStr">
        <is>
          <t>ISSUE-0082</t>
        </is>
      </c>
      <c r="B83" s="5" t="inlineStr">
        <is>
          <t>jeminise.com+pamnest-twin-halloween-comforter-set-with-sheets-5-pieces-design-06</t>
        </is>
      </c>
      <c r="C83" s="2" t="inlineStr">
        <is>
          <t>img_65ea55de03874828</t>
        </is>
      </c>
      <c r="D83" s="2" t="inlineStr">
        <is>
          <t>MINOR</t>
        </is>
      </c>
      <c r="E83" s="2" t="inlineStr">
        <is>
          <t>image observation</t>
        </is>
      </c>
      <c r="F83" s="5" t="inlineStr">
        <is>
          <t>Easy-care, size guide or product feature image for red bloody handprint Halloween comforter set.</t>
        </is>
      </c>
      <c r="G83" s="5" t="inlineStr">
        <is>
          <t>Fresh image file: D:\Shopify_Workspace\jeminise_seo\seo_runs\jeminise.com\20260906_234129\qa\20260907_212312\images\169_06.jpg; source URL: https://cdn.shopify.com/s/files/1/0792/5098/1063/files/c704e78fea6b0af8659e3bb6318e69c7a083dd569ad0e78c293e9f2bb37a0b50.jpg?v=1787936307</t>
        </is>
      </c>
      <c r="H83" s="5" t="inlineStr">
        <is>
          <t>Observation is generic or position-based; rewrite from the actual image content.</t>
        </is>
      </c>
      <c r="I83" s="5" t="inlineStr">
        <is>
          <t>Rewrite observation/alt from the directly opened image, naming the visible motif and use context.</t>
        </is>
      </c>
      <c r="J83" s="5" t="inlineStr">
        <is>
          <t>Fresh image file: D:\Shopify_Workspace\jeminise_seo\seo_runs\jeminise.com\20260906_234129\qa\20260907_212312\images\169_06.jpg; source URL: https://cdn.shopify.com/s/files/1/0792/5098/1063/files/c704e78fea6b0af8659e3bb6318e69c7a083dd569ad0e78c293e9f2bb37a0b50.jpg?v=1787936307</t>
        </is>
      </c>
      <c r="K83" s="5" t="inlineStr">
        <is>
          <t>The image row accurately describes the actual media at this gallery position.</t>
        </is>
      </c>
      <c r="L83" s="2" t="inlineStr">
        <is>
          <t>RESOLVED</t>
        </is>
      </c>
    </row>
    <row r="84">
      <c r="A84" s="2" t="inlineStr">
        <is>
          <t>ISSUE-0083</t>
        </is>
      </c>
      <c r="B84" s="5" t="inlineStr">
        <is>
          <t>jeminise.com+pamnest-twin-halloween-comforter-set-with-sheets-5-pieces-design-06</t>
        </is>
      </c>
      <c r="C84" s="2" t="inlineStr">
        <is>
          <t>img_65ea55de03874828</t>
        </is>
      </c>
      <c r="D84" s="2" t="inlineStr">
        <is>
          <t>MINOR</t>
        </is>
      </c>
      <c r="E84" s="2" t="inlineStr">
        <is>
          <t>alt text</t>
        </is>
      </c>
      <c r="F84" s="5" t="inlineStr">
        <is>
          <t>Set contents and size chart image for Red Bloody Handprint Halloween Comforter Set</t>
        </is>
      </c>
      <c r="G84" s="5" t="inlineStr">
        <is>
          <t>Fresh image file: D:\Shopify_Workspace\jeminise_seo\seo_runs\jeminise.com\20260906_234129\qa\20260907_212312\images\169_06.jpg; source URL: https://cdn.shopify.com/s/files/1/0792/5098/1063/files/c704e78fea6b0af8659e3bb6318e69c7a083dd569ad0e78c293e9f2bb37a0b50.jpg?v=1787936307</t>
        </is>
      </c>
      <c r="H84" s="5" t="inlineStr">
        <is>
          <t>Alt text is too generic or describes placement more than visible content.</t>
        </is>
      </c>
      <c r="I84" s="5" t="inlineStr">
        <is>
          <t>Rewrite observation/alt from the directly opened image, naming the visible motif and use context.</t>
        </is>
      </c>
      <c r="J84" s="5" t="inlineStr">
        <is>
          <t>Fresh image file: D:\Shopify_Workspace\jeminise_seo\seo_runs\jeminise.com\20260906_234129\qa\20260907_212312\images\169_06.jpg; source URL: https://cdn.shopify.com/s/files/1/0792/5098/1063/files/c704e78fea6b0af8659e3bb6318e69c7a083dd569ad0e78c293e9f2bb37a0b50.jpg?v=1787936307</t>
        </is>
      </c>
      <c r="K84" s="5" t="inlineStr">
        <is>
          <t>The image row accurately describes the actual media at this gallery position.</t>
        </is>
      </c>
      <c r="L84" s="2" t="inlineStr">
        <is>
          <t>RESOLVED</t>
        </is>
      </c>
    </row>
    <row r="85">
      <c r="A85" s="2" t="inlineStr">
        <is>
          <t>ISSUE-0084</t>
        </is>
      </c>
      <c r="B85" s="5" t="inlineStr">
        <is>
          <t>jeminise.com+pamnest-twin-halloween-comforter-set-with-sheets-5-pieces-design-07</t>
        </is>
      </c>
      <c r="C85" s="2" t="inlineStr"/>
      <c r="D85" s="2" t="inlineStr">
        <is>
          <t>MAJOR</t>
        </is>
      </c>
      <c r="E85" s="2" t="inlineStr">
        <is>
          <t>description_proposed_html</t>
        </is>
      </c>
      <c r="F85" s="5"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t>
        </is>
      </c>
      <c r="G85" s="5" t="inlineStr">
        <is>
          <t>Draft contains SEO Use / QA approval wording.</t>
        </is>
      </c>
      <c r="H85" s="5" t="inlineStr">
        <is>
          <t>Internal workflow language is not publish-ready storefront copy.</t>
        </is>
      </c>
      <c r="I85" s="5" t="inlineStr">
        <is>
          <t>Remove internal QA/import block and replace with customer-facing verified copy.</t>
        </is>
      </c>
      <c r="J85" s="5" t="inlineStr">
        <is>
          <t>Draft contains SEO Use / QA approval wording.</t>
        </is>
      </c>
      <c r="K85" s="5" t="inlineStr">
        <is>
          <t>Description HTML no longer contains SEO Use, QA, approval, import or draft language.</t>
        </is>
      </c>
      <c r="L85" s="2" t="inlineStr">
        <is>
          <t>RESOLVED</t>
        </is>
      </c>
    </row>
    <row r="86">
      <c r="A86" s="2" t="inlineStr">
        <is>
          <t>ISSUE-0085</t>
        </is>
      </c>
      <c r="B86" s="5" t="inlineStr">
        <is>
          <t>jeminise.com+pamnest-twin-halloween-comforter-set-with-sheets-5-pieces-design-07</t>
        </is>
      </c>
      <c r="C86" s="2" t="inlineStr"/>
      <c r="D86" s="2" t="inlineStr">
        <is>
          <t>MAJOR</t>
        </is>
      </c>
      <c r="E86" s="2" t="inlineStr">
        <is>
          <t>h1_proposed</t>
        </is>
      </c>
      <c r="F86" s="2" t="inlineStr"/>
      <c r="G86" s="5" t="inlineStr">
        <is>
          <t>The submitted workbook row has no proposed H1.</t>
        </is>
      </c>
      <c r="H86" s="5" t="inlineStr">
        <is>
          <t>A publishable SEO title/H1 pair is incomplete when the H1 field is blank.</t>
        </is>
      </c>
      <c r="I86" s="5" t="inlineStr">
        <is>
          <t>Write one English H1 that matches the verified product type and visible design; do not copy unsupported claims.</t>
        </is>
      </c>
      <c r="J86" s="5" t="inlineStr">
        <is>
          <t>The submitted workbook row has no proposed H1.</t>
        </is>
      </c>
      <c r="K86" s="5" t="inlineStr">
        <is>
          <t>Workbook contains a non-empty H1 and it is consistent with title, primary keyword and live product evidence.</t>
        </is>
      </c>
      <c r="L86" s="2" t="inlineStr">
        <is>
          <t>NOT_APPLICABLE</t>
        </is>
      </c>
    </row>
    <row r="87">
      <c r="A87" s="2" t="inlineStr">
        <is>
          <t>ISSUE-0086</t>
        </is>
      </c>
      <c r="B87" s="5" t="inlineStr">
        <is>
          <t>jeminise.com+pamnest-twin-halloween-comforter-set-with-sheets-5-pieces-design-07</t>
        </is>
      </c>
      <c r="C87" s="2" t="inlineStr"/>
      <c r="D87" s="2" t="inlineStr">
        <is>
          <t>MINOR</t>
        </is>
      </c>
      <c r="E87" s="2" t="inlineStr">
        <is>
          <t>meta_description_seo</t>
        </is>
      </c>
      <c r="F87" s="5" t="inlineStr">
        <is>
          <t>Shop a comforter set featuring white Halloween bedding with haunted houses, pumpkins, black cats, bare trees, spiderwebs and rust orange sheets. Review available sizes and set options before checkout.</t>
        </is>
      </c>
      <c r="G87" s="5" t="inlineStr">
        <is>
          <t>Meta description length is 200 characters.</t>
        </is>
      </c>
      <c r="H87" s="5" t="inlineStr">
        <is>
          <t>Likely to truncate in search results and repeats review/personality wording in several rows.</t>
        </is>
      </c>
      <c r="I87" s="5" t="inlineStr">
        <is>
          <t>Rewrite to roughly 145-155 characters while preserving verified design and product type.</t>
        </is>
      </c>
      <c r="J87" s="5" t="inlineStr">
        <is>
          <t>Meta description length is 200 characters.</t>
        </is>
      </c>
      <c r="K87" s="5" t="inlineStr">
        <is>
          <t>Length check &lt;=160 characters and no unsupported claim remains.</t>
        </is>
      </c>
      <c r="L87" s="2" t="inlineStr">
        <is>
          <t>RESOLVED</t>
        </is>
      </c>
    </row>
    <row r="88">
      <c r="A88" s="2" t="inlineStr">
        <is>
          <t>ISSUE-0087</t>
        </is>
      </c>
      <c r="B88" s="5" t="inlineStr">
        <is>
          <t>jeminise.com+pamnest-twin-halloween-comforter-set-with-sheets-5-pieces-design-07</t>
        </is>
      </c>
      <c r="C88" s="2" t="inlineStr"/>
      <c r="D88" s="2" t="inlineStr">
        <is>
          <t>LIMITATION</t>
        </is>
      </c>
      <c r="E88" s="2" t="inlineStr">
        <is>
          <t>keyword_evidence_level</t>
        </is>
      </c>
      <c r="F88" s="2" t="inlineStr">
        <is>
          <t>SERP_ONLY</t>
        </is>
      </c>
      <c r="G88" s="5" t="inlineStr">
        <is>
          <t>Only public SERP comparables are available.</t>
        </is>
      </c>
      <c r="H88" s="5" t="inlineStr">
        <is>
          <t>No Search Console, paid keyword volume or internal site search export was supplied.</t>
        </is>
      </c>
      <c r="I88" s="5" t="inlineStr">
        <is>
          <t>Keep demand statements qualitative; do not claim volume or ranking potential.</t>
        </is>
      </c>
      <c r="J88" s="5" t="inlineStr">
        <is>
          <t>Only public SERP comparables are available.</t>
        </is>
      </c>
      <c r="K88" s="5" t="inlineStr">
        <is>
          <t>Additional first-party or paid keyword evidence is attached, or limitation remains documented.</t>
        </is>
      </c>
      <c r="L88" s="2" t="inlineStr">
        <is>
          <t>PERSISTS</t>
        </is>
      </c>
    </row>
    <row r="89">
      <c r="A89" s="2" t="inlineStr">
        <is>
          <t>ISSUE-0088</t>
        </is>
      </c>
      <c r="B89" s="5" t="inlineStr">
        <is>
          <t>jeminise.com+pamnest-twin-halloween-comforter-set-with-sheets-5-pieces-design-07</t>
        </is>
      </c>
      <c r="C89" s="2" t="inlineStr">
        <is>
          <t>img_9356d2ce7bad1793</t>
        </is>
      </c>
      <c r="D89" s="2" t="inlineStr">
        <is>
          <t>MINOR</t>
        </is>
      </c>
      <c r="E89" s="2" t="inlineStr">
        <is>
          <t>alt text</t>
        </is>
      </c>
      <c r="F89" s="5" t="inlineStr">
        <is>
          <t>White Haunted House Pumpkin Comforter Set displayed in a main product mockup</t>
        </is>
      </c>
      <c r="G89" s="5" t="inlineStr">
        <is>
          <t>Fresh image file: D:\Shopify_Workspace\jeminise_seo\seo_runs\jeminise.com\20260906_234129\qa\20260907_212312\images\170_01.jpg; source URL: https://cdn.shopify.com/s/files/1/0792/5098/1063/files/feceab1269e0c41029cfcb73e8317439de8337d84336b09e87d52e7744326f5e.jpg?v=1787936313</t>
        </is>
      </c>
      <c r="H89" s="5" t="inlineStr">
        <is>
          <t>Alt text is too generic or describes placement more than visible content.</t>
        </is>
      </c>
      <c r="I89" s="5" t="inlineStr">
        <is>
          <t>Rewrite observation/alt from the directly opened image, naming the visible motif and use context.</t>
        </is>
      </c>
      <c r="J89" s="5" t="inlineStr">
        <is>
          <t>Fresh image file: D:\Shopify_Workspace\jeminise_seo\seo_runs\jeminise.com\20260906_234129\qa\20260907_212312\images\170_01.jpg; source URL: https://cdn.shopify.com/s/files/1/0792/5098/1063/files/feceab1269e0c41029cfcb73e8317439de8337d84336b09e87d52e7744326f5e.jpg?v=1787936313</t>
        </is>
      </c>
      <c r="K89" s="5" t="inlineStr">
        <is>
          <t>The image row accurately describes the actual media at this gallery position.</t>
        </is>
      </c>
      <c r="L89" s="2" t="inlineStr">
        <is>
          <t>RESOLVED</t>
        </is>
      </c>
    </row>
    <row r="90">
      <c r="A90" s="2" t="inlineStr">
        <is>
          <t>ISSUE-0089</t>
        </is>
      </c>
      <c r="B90" s="5" t="inlineStr">
        <is>
          <t>jeminise.com+pamnest-twin-halloween-comforter-set-with-sheets-5-pieces-design-07</t>
        </is>
      </c>
      <c r="C90" s="2" t="inlineStr">
        <is>
          <t>img_0bf2807db76246ec</t>
        </is>
      </c>
      <c r="D90" s="2" t="inlineStr">
        <is>
          <t>MINOR</t>
        </is>
      </c>
      <c r="E90" s="2" t="inlineStr">
        <is>
          <t>image observation</t>
        </is>
      </c>
      <c r="F90" s="5" t="inlineStr">
        <is>
          <t>Bedding type, feature, lifestyle or material image for white haunted house pumpkin Halloween comforter set.</t>
        </is>
      </c>
      <c r="G90" s="5" t="inlineStr">
        <is>
          <t>Fresh image file: D:\Shopify_Workspace\jeminise_seo\seo_runs\jeminise.com\20260906_234129\qa\20260907_212312\images\170_03.jpg; source URL: https://cdn.shopify.com/s/files/1/0792/5098/1063/files/d15de982cf49c61d63dcb3e70a085c7480d7757447c46dfe1f4e360681c9f501.jpg?v=1787936313</t>
        </is>
      </c>
      <c r="H90" s="5" t="inlineStr">
        <is>
          <t>Observation is generic or position-based; rewrite from the actual image content.</t>
        </is>
      </c>
      <c r="I90" s="5" t="inlineStr">
        <is>
          <t>Rewrite observation/alt from the directly opened image, naming the visible motif and use context.</t>
        </is>
      </c>
      <c r="J90" s="5" t="inlineStr">
        <is>
          <t>Fresh image file: D:\Shopify_Workspace\jeminise_seo\seo_runs\jeminise.com\20260906_234129\qa\20260907_212312\images\170_03.jpg; source URL: https://cdn.shopify.com/s/files/1/0792/5098/1063/files/d15de982cf49c61d63dcb3e70a085c7480d7757447c46dfe1f4e360681c9f501.jpg?v=1787936313</t>
        </is>
      </c>
      <c r="K90" s="5" t="inlineStr">
        <is>
          <t>The image row accurately describes the actual media at this gallery position.</t>
        </is>
      </c>
      <c r="L90" s="2" t="inlineStr">
        <is>
          <t>RESOLVED</t>
        </is>
      </c>
    </row>
    <row r="91">
      <c r="A91" s="2" t="inlineStr">
        <is>
          <t>ISSUE-0090</t>
        </is>
      </c>
      <c r="B91" s="5" t="inlineStr">
        <is>
          <t>jeminise.com+pamnest-twin-halloween-comforter-set-with-sheets-5-pieces-design-07</t>
        </is>
      </c>
      <c r="C91" s="2" t="inlineStr">
        <is>
          <t>img_44dde367352679f8</t>
        </is>
      </c>
      <c r="D91" s="2" t="inlineStr">
        <is>
          <t>MINOR</t>
        </is>
      </c>
      <c r="E91" s="2" t="inlineStr">
        <is>
          <t>image observation</t>
        </is>
      </c>
      <c r="F91" s="5" t="inlineStr">
        <is>
          <t>Detail, feature panel or lifestyle image connected to white haunted house pumpkin Halloween comforter set.</t>
        </is>
      </c>
      <c r="G91" s="5" t="inlineStr">
        <is>
          <t>Fresh image file: D:\Shopify_Workspace\jeminise_seo\seo_runs\jeminise.com\20260906_234129\qa\20260907_212312\images\170_04.jpg; source URL: https://cdn.shopify.com/s/files/1/0792/5098/1063/files/30ac2af2067079c32aee59f6826a158fdef74dbd36e4a379b1f3dad211c0c404.jpg?v=1787936313</t>
        </is>
      </c>
      <c r="H91" s="5" t="inlineStr">
        <is>
          <t>Observation is generic or position-based; rewrite from the actual image content.</t>
        </is>
      </c>
      <c r="I91" s="5" t="inlineStr">
        <is>
          <t>Rewrite observation/alt from the directly opened image, naming the visible motif and use context.</t>
        </is>
      </c>
      <c r="J91" s="5" t="inlineStr">
        <is>
          <t>Fresh image file: D:\Shopify_Workspace\jeminise_seo\seo_runs\jeminise.com\20260906_234129\qa\20260907_212312\images\170_04.jpg; source URL: https://cdn.shopify.com/s/files/1/0792/5098/1063/files/30ac2af2067079c32aee59f6826a158fdef74dbd36e4a379b1f3dad211c0c404.jpg?v=1787936313</t>
        </is>
      </c>
      <c r="K91" s="5" t="inlineStr">
        <is>
          <t>The image row accurately describes the actual media at this gallery position.</t>
        </is>
      </c>
      <c r="L91" s="2" t="inlineStr">
        <is>
          <t>RESOLVED</t>
        </is>
      </c>
    </row>
    <row r="92">
      <c r="A92" s="2" t="inlineStr">
        <is>
          <t>ISSUE-0091</t>
        </is>
      </c>
      <c r="B92" s="5" t="inlineStr">
        <is>
          <t>jeminise.com+pamnest-twin-halloween-comforter-set-with-sheets-5-pieces-design-07</t>
        </is>
      </c>
      <c r="C92" s="2" t="inlineStr">
        <is>
          <t>img_ef6bb6e803199e76</t>
        </is>
      </c>
      <c r="D92" s="2" t="inlineStr">
        <is>
          <t>MINOR</t>
        </is>
      </c>
      <c r="E92" s="2" t="inlineStr">
        <is>
          <t>image observation</t>
        </is>
      </c>
      <c r="F92" s="5" t="inlineStr">
        <is>
          <t>Easy-care, size guide or product feature image for white haunted house pumpkin Halloween comforter set.</t>
        </is>
      </c>
      <c r="G92" s="5" t="inlineStr">
        <is>
          <t>Fresh image file: D:\Shopify_Workspace\jeminise_seo\seo_runs\jeminise.com\20260906_234129\qa\20260907_212312\images\170_06.jpg; source URL: https://cdn.shopify.com/s/files/1/0792/5098/1063/files/3e227101e2e9c24d641f1ea4dd5f5e1cb8ef75e8fe6c70b298e93002e2905f25.jpg?v=1787936313</t>
        </is>
      </c>
      <c r="H92" s="5" t="inlineStr">
        <is>
          <t>Observation is generic or position-based; rewrite from the actual image content.</t>
        </is>
      </c>
      <c r="I92" s="5" t="inlineStr">
        <is>
          <t>Rewrite observation/alt from the directly opened image, naming the visible motif and use context.</t>
        </is>
      </c>
      <c r="J92" s="5" t="inlineStr">
        <is>
          <t>Fresh image file: D:\Shopify_Workspace\jeminise_seo\seo_runs\jeminise.com\20260906_234129\qa\20260907_212312\images\170_06.jpg; source URL: https://cdn.shopify.com/s/files/1/0792/5098/1063/files/3e227101e2e9c24d641f1ea4dd5f5e1cb8ef75e8fe6c70b298e93002e2905f25.jpg?v=1787936313</t>
        </is>
      </c>
      <c r="K92" s="5" t="inlineStr">
        <is>
          <t>The image row accurately describes the actual media at this gallery position.</t>
        </is>
      </c>
      <c r="L92" s="2" t="inlineStr">
        <is>
          <t>RESOLVED</t>
        </is>
      </c>
    </row>
    <row r="93">
      <c r="A93" s="2" t="inlineStr">
        <is>
          <t>ISSUE-0092</t>
        </is>
      </c>
      <c r="B93" s="5" t="inlineStr">
        <is>
          <t>jeminise.com+pamnest-twin-halloween-comforter-set-with-sheets-5-pieces-design-07</t>
        </is>
      </c>
      <c r="C93" s="2" t="inlineStr">
        <is>
          <t>img_ef6bb6e803199e76</t>
        </is>
      </c>
      <c r="D93" s="2" t="inlineStr">
        <is>
          <t>MINOR</t>
        </is>
      </c>
      <c r="E93" s="2" t="inlineStr">
        <is>
          <t>alt text</t>
        </is>
      </c>
      <c r="F93" s="5" t="inlineStr">
        <is>
          <t>Set contents and size chart image for White Haunted House Pumpkin Comforter Set</t>
        </is>
      </c>
      <c r="G93" s="5" t="inlineStr">
        <is>
          <t>Fresh image file: D:\Shopify_Workspace\jeminise_seo\seo_runs\jeminise.com\20260906_234129\qa\20260907_212312\images\170_06.jpg; source URL: https://cdn.shopify.com/s/files/1/0792/5098/1063/files/3e227101e2e9c24d641f1ea4dd5f5e1cb8ef75e8fe6c70b298e93002e2905f25.jpg?v=1787936313</t>
        </is>
      </c>
      <c r="H93" s="5" t="inlineStr">
        <is>
          <t>Alt text is too generic or describes placement more than visible content.</t>
        </is>
      </c>
      <c r="I93" s="5" t="inlineStr">
        <is>
          <t>Rewrite observation/alt from the directly opened image, naming the visible motif and use context.</t>
        </is>
      </c>
      <c r="J93" s="5" t="inlineStr">
        <is>
          <t>Fresh image file: D:\Shopify_Workspace\jeminise_seo\seo_runs\jeminise.com\20260906_234129\qa\20260907_212312\images\170_06.jpg; source URL: https://cdn.shopify.com/s/files/1/0792/5098/1063/files/3e227101e2e9c24d641f1ea4dd5f5e1cb8ef75e8fe6c70b298e93002e2905f25.jpg?v=1787936313</t>
        </is>
      </c>
      <c r="K93" s="5" t="inlineStr">
        <is>
          <t>The image row accurately describes the actual media at this gallery position.</t>
        </is>
      </c>
      <c r="L93" s="2" t="inlineStr">
        <is>
          <t>RESOLVED</t>
        </is>
      </c>
    </row>
    <row r="94">
      <c r="A94" s="2" t="inlineStr">
        <is>
          <t>ISSUE-0093</t>
        </is>
      </c>
      <c r="B94" s="5" t="inlineStr">
        <is>
          <t>jeminise.com+norse-mythology-raven-within-celtic-knot-frame-quilt-906ee24d68-906ee24d68</t>
        </is>
      </c>
      <c r="C94" s="2" t="inlineStr"/>
      <c r="D94" s="2" t="inlineStr">
        <is>
          <t>MAJOR</t>
        </is>
      </c>
      <c r="E94" s="2" t="inlineStr">
        <is>
          <t>description_proposed_html</t>
        </is>
      </c>
      <c r="F94" s="5" t="inlineStr">
        <is>
          <t>&lt;p&gt;Blue Raven Celtic Knot Quilt features blue and black raven artwork inside a Celtic knot frame with moon and patchwork...</t>
        </is>
      </c>
      <c r="G94" s="5" t="inlineStr">
        <is>
          <t>Revision r3 description contains meta-commentary sentences explaining copywriting rules rather than customer-facing merchandising copy, and omits verified technical/package specifications.</t>
        </is>
      </c>
      <c r="H94" s="5" t="inlineStr">
        <is>
          <t>Customer-facing copy must describe the actual physical product clearly. It should eliminate meta-commentary phrases and include verified microfiber fabric layers (microfiber woven top, filling, back) and machine washable care instructions.</t>
        </is>
      </c>
      <c r="I94" s="5" t="inlineStr">
        <is>
          <t>Rewrite description_proposed_html to remove robotic meta-commentary, and add verified product specifications: microfiber fabric layers (microfiber woven top, filling, back) and machine washable care instructions.</t>
        </is>
      </c>
      <c r="J94" s="5" t="inlineStr">
        <is>
          <t>Verified from high-resolution image audit (infographic panels 5 and 6) and storefront option sets.</t>
        </is>
      </c>
      <c r="K94" s="5" t="inlineStr">
        <is>
          <t>Description HTML is engaging, natural, free of internal meta-commentary, and provides complete package pieces, sizing, and care specs.</t>
        </is>
      </c>
      <c r="L94" s="2" t="inlineStr">
        <is>
          <t>NEW</t>
        </is>
      </c>
    </row>
    <row r="95">
      <c r="A95" s="2" t="inlineStr">
        <is>
          <t>ISSUE-0094</t>
        </is>
      </c>
      <c r="B95" s="5" t="inlineStr">
        <is>
          <t>jeminise.com+norse-mythology-viking-shield-with-crossed-axes-quilt-ca630a284e-ca630a284e</t>
        </is>
      </c>
      <c r="C95" s="2" t="inlineStr"/>
      <c r="D95" s="2" t="inlineStr">
        <is>
          <t>MAJOR</t>
        </is>
      </c>
      <c r="E95" s="2" t="inlineStr">
        <is>
          <t>description_proposed_html</t>
        </is>
      </c>
      <c r="F95" s="5" t="inlineStr">
        <is>
          <t>&lt;p&gt;Valhalla Viking Shield Quilt features Viking shield and crossed axes artwork with Valhalla text on a black runic back...</t>
        </is>
      </c>
      <c r="G95" s="5" t="inlineStr">
        <is>
          <t>Revision r3 description contains meta-commentary sentences explaining copywriting rules rather than customer-facing merchandising copy, and omits verified technical/package specifications.</t>
        </is>
      </c>
      <c r="H95" s="5" t="inlineStr">
        <is>
          <t>Customer-facing copy must describe the actual physical product clearly. It should eliminate meta-commentary phrases and include verified microfiber fabric layers (microfiber woven top, filling, back) and machine washable care instructions.</t>
        </is>
      </c>
      <c r="I95" s="5" t="inlineStr">
        <is>
          <t>Rewrite description_proposed_html to remove robotic meta-commentary, and add verified product specifications: microfiber fabric layers (microfiber woven top, filling, back) and machine washable care instructions.</t>
        </is>
      </c>
      <c r="J95" s="5" t="inlineStr">
        <is>
          <t>Verified from high-resolution image audit (infographic panels 5 and 6) and storefront option sets.</t>
        </is>
      </c>
      <c r="K95" s="5" t="inlineStr">
        <is>
          <t>Description HTML is engaging, natural, free of internal meta-commentary, and provides complete package pieces, sizing, and care specs.</t>
        </is>
      </c>
      <c r="L95" s="2" t="inlineStr">
        <is>
          <t>NEW</t>
        </is>
      </c>
    </row>
    <row r="96">
      <c r="A96" s="2" t="inlineStr">
        <is>
          <t>ISSUE-0095</t>
        </is>
      </c>
      <c r="B96" s="5" t="inlineStr">
        <is>
          <t>jeminise.com+owl-patchwork-pattern-quilt-set-animals-quilt-set-style-owl-nights</t>
        </is>
      </c>
      <c r="C96" s="2" t="inlineStr"/>
      <c r="D96" s="2" t="inlineStr">
        <is>
          <t>MAJOR</t>
        </is>
      </c>
      <c r="E96" s="2" t="inlineStr">
        <is>
          <t>description_proposed_html</t>
        </is>
      </c>
      <c r="F96" s="5" t="inlineStr">
        <is>
          <t>&lt;p&gt;Blue Gold Owl Night Quilt Set features owl perched on a branch inside a moon-style round frame with navy and gold pat...</t>
        </is>
      </c>
      <c r="G96" s="5" t="inlineStr">
        <is>
          <t>Revision r3 description contains meta-commentary sentences explaining copywriting rules rather than customer-facing merchandising copy, and omits verified technical/package specifications.</t>
        </is>
      </c>
      <c r="H96" s="5" t="inlineStr">
        <is>
          <t>Customer-facing copy must describe the actual physical product clearly. It should eliminate meta-commentary phrases and include verified microfiber fabric layers (microfiber woven top, filling, back) and machine washable care instructions.</t>
        </is>
      </c>
      <c r="I96" s="5" t="inlineStr">
        <is>
          <t>Rewrite description_proposed_html to remove robotic meta-commentary, and add verified product specifications: microfiber fabric layers (microfiber woven top, filling, back) and machine washable care instructions.</t>
        </is>
      </c>
      <c r="J96" s="5" t="inlineStr">
        <is>
          <t>Verified from high-resolution image audit (infographic panels 5 and 6) and storefront option sets.</t>
        </is>
      </c>
      <c r="K96" s="5" t="inlineStr">
        <is>
          <t>Description HTML is engaging, natural, free of internal meta-commentary, and provides complete package pieces, sizing, and care specs.</t>
        </is>
      </c>
      <c r="L96" s="2" t="inlineStr">
        <is>
          <t>NEW</t>
        </is>
      </c>
    </row>
    <row r="97">
      <c r="A97" s="2" t="inlineStr">
        <is>
          <t>ISSUE-0096</t>
        </is>
      </c>
      <c r="B97" s="5" t="inlineStr">
        <is>
          <t>jeminise.com+pamnest-twin-halloween-comforter-set-with-sheets-5-pieces-design-01</t>
        </is>
      </c>
      <c r="C97" s="2" t="inlineStr"/>
      <c r="D97" s="2" t="inlineStr">
        <is>
          <t>MAJOR</t>
        </is>
      </c>
      <c r="E97" s="2" t="inlineStr">
        <is>
          <t>description_proposed_html</t>
        </is>
      </c>
      <c r="F97" s="5" t="inlineStr">
        <is>
          <t>&lt;p&gt;Witch Moon Halloween Comforter Set features black and white Halloween design with flying witch, moon, bats, pumpkins ...</t>
        </is>
      </c>
      <c r="G97" s="5" t="inlineStr">
        <is>
          <t>Revision r3 description contains meta-commentary sentences explaining copywriting rules rather than customer-facing merchandising copy, and omits verified technical/package specifications.</t>
        </is>
      </c>
      <c r="H97"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97"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97" s="5" t="inlineStr">
        <is>
          <t>Verified from high-resolution image audit (infographic panels 5 and 6) and storefront option sets.</t>
        </is>
      </c>
      <c r="K97" s="5" t="inlineStr">
        <is>
          <t>Description HTML is engaging, natural, free of internal meta-commentary, and provides complete package pieces, sizing, and care specs.</t>
        </is>
      </c>
      <c r="L97" s="2" t="inlineStr">
        <is>
          <t>NEW</t>
        </is>
      </c>
    </row>
    <row r="98">
      <c r="A98" s="2" t="inlineStr">
        <is>
          <t>ISSUE-0097</t>
        </is>
      </c>
      <c r="B98" s="5" t="inlineStr">
        <is>
          <t>jeminise.com+pamnest-twin-halloween-comforter-set-with-sheets-5-pieces-design-02</t>
        </is>
      </c>
      <c r="C98" s="2" t="inlineStr"/>
      <c r="D98" s="2" t="inlineStr">
        <is>
          <t>MAJOR</t>
        </is>
      </c>
      <c r="E98" s="2" t="inlineStr">
        <is>
          <t>description_proposed_html</t>
        </is>
      </c>
      <c r="F98" s="5" t="inlineStr">
        <is>
          <t>&lt;p&gt;Ghost Pumpkin Halloween Comforter Set features dark blue and gray Halloween pattern with white ghosts, orange pumpkin...</t>
        </is>
      </c>
      <c r="G98" s="5" t="inlineStr">
        <is>
          <t>Revision r3 description contains meta-commentary sentences explaining copywriting rules rather than customer-facing merchandising copy, and omits verified technical/package specifications.</t>
        </is>
      </c>
      <c r="H98"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98"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98" s="5" t="inlineStr">
        <is>
          <t>Verified from high-resolution image audit (infographic panels 5 and 6) and storefront option sets.</t>
        </is>
      </c>
      <c r="K98" s="5" t="inlineStr">
        <is>
          <t>Description HTML is engaging, natural, free of internal meta-commentary, and provides complete package pieces, sizing, and care specs.</t>
        </is>
      </c>
      <c r="L98" s="2" t="inlineStr">
        <is>
          <t>NEW</t>
        </is>
      </c>
    </row>
    <row r="99">
      <c r="A99" s="2" t="inlineStr">
        <is>
          <t>ISSUE-0098</t>
        </is>
      </c>
      <c r="B99" s="5" t="inlineStr">
        <is>
          <t>jeminise.com+pamnest-twin-halloween-comforter-set-with-sheets-5-pieces-design-03</t>
        </is>
      </c>
      <c r="C99" s="2" t="inlineStr"/>
      <c r="D99" s="2" t="inlineStr">
        <is>
          <t>MAJOR</t>
        </is>
      </c>
      <c r="E99" s="2" t="inlineStr">
        <is>
          <t>description_proposed_html</t>
        </is>
      </c>
      <c r="F99" s="5" t="inlineStr">
        <is>
          <t>&lt;p&gt;Black Ghost Halloween Comforter Set features black Halloween comforter design covered with simple white ghost faces a...</t>
        </is>
      </c>
      <c r="G99" s="5" t="inlineStr">
        <is>
          <t>Revision r3 description contains meta-commentary sentences explaining copywriting rules rather than customer-facing merchandising copy, and omits verified technical/package specifications.</t>
        </is>
      </c>
      <c r="H99"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99"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99" s="5" t="inlineStr">
        <is>
          <t>Verified from high-resolution image audit (infographic panels 5 and 6) and storefront option sets.</t>
        </is>
      </c>
      <c r="K99" s="5" t="inlineStr">
        <is>
          <t>Description HTML is engaging, natural, free of internal meta-commentary, and provides complete package pieces, sizing, and care specs.</t>
        </is>
      </c>
      <c r="L99" s="2" t="inlineStr">
        <is>
          <t>NEW</t>
        </is>
      </c>
    </row>
    <row r="100">
      <c r="A100" s="2" t="inlineStr">
        <is>
          <t>ISSUE-0099</t>
        </is>
      </c>
      <c r="B100" s="5" t="inlineStr">
        <is>
          <t>jeminise.com+pamnest-twin-halloween-comforter-set-with-sheets-5-pieces-design-04</t>
        </is>
      </c>
      <c r="C100" s="2" t="inlineStr"/>
      <c r="D100" s="2" t="inlineStr">
        <is>
          <t>MAJOR</t>
        </is>
      </c>
      <c r="E100" s="2" t="inlineStr">
        <is>
          <t>description_proposed_html</t>
        </is>
      </c>
      <c r="F100" s="5" t="inlineStr">
        <is>
          <t>&lt;p&gt;Haunted Pumpkin Ghost Comforter Set features blue Halloween scene with ghosts, jack-o-lantern pumpkins, yellow moon, ...</t>
        </is>
      </c>
      <c r="G100" s="5" t="inlineStr">
        <is>
          <t>Revision r3 description contains meta-commentary sentences explaining copywriting rules rather than customer-facing merchandising copy, and omits verified technical/package specifications.</t>
        </is>
      </c>
      <c r="H100"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100"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100" s="5" t="inlineStr">
        <is>
          <t>Verified from high-resolution image audit (infographic panels 5 and 6) and storefront option sets.</t>
        </is>
      </c>
      <c r="K100" s="5" t="inlineStr">
        <is>
          <t>Description HTML is engaging, natural, free of internal meta-commentary, and provides complete package pieces, sizing, and care specs.</t>
        </is>
      </c>
      <c r="L100" s="2" t="inlineStr">
        <is>
          <t>NEW</t>
        </is>
      </c>
    </row>
    <row r="101">
      <c r="A101" s="2" t="inlineStr">
        <is>
          <t>ISSUE-0100</t>
        </is>
      </c>
      <c r="B101" s="5" t="inlineStr">
        <is>
          <t>jeminise.com+pamnest-twin-halloween-comforter-set-with-sheets-5-pieces-design-05</t>
        </is>
      </c>
      <c r="C101" s="2" t="inlineStr"/>
      <c r="D101" s="2" t="inlineStr">
        <is>
          <t>MAJOR</t>
        </is>
      </c>
      <c r="E101" s="2" t="inlineStr">
        <is>
          <t>description_proposed_html</t>
        </is>
      </c>
      <c r="F101" s="5" t="inlineStr">
        <is>
          <t>&lt;p&gt;Pink Cute Ghost Halloween Comforter Set features pink Halloween pattern with cute white ghosts, witch hats, candy, st...</t>
        </is>
      </c>
      <c r="G101" s="5" t="inlineStr">
        <is>
          <t>Revision r3 description contains meta-commentary sentences explaining copywriting rules rather than customer-facing merchandising copy, and omits verified technical/package specifications.</t>
        </is>
      </c>
      <c r="H101"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101"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101" s="5" t="inlineStr">
        <is>
          <t>Verified from high-resolution image audit (infographic panels 5 and 6) and storefront option sets.</t>
        </is>
      </c>
      <c r="K101" s="5" t="inlineStr">
        <is>
          <t>Description HTML is engaging, natural, free of internal meta-commentary, and provides complete package pieces, sizing, and care specs.</t>
        </is>
      </c>
      <c r="L101" s="2" t="inlineStr">
        <is>
          <t>NEW</t>
        </is>
      </c>
    </row>
    <row r="102">
      <c r="A102" s="2" t="inlineStr">
        <is>
          <t>ISSUE-0101</t>
        </is>
      </c>
      <c r="B102" s="5" t="inlineStr">
        <is>
          <t>jeminise.com+pamnest-twin-halloween-comforter-set-with-sheets-5-pieces-design-06</t>
        </is>
      </c>
      <c r="C102" s="2" t="inlineStr"/>
      <c r="D102" s="2" t="inlineStr">
        <is>
          <t>MAJOR</t>
        </is>
      </c>
      <c r="E102" s="2" t="inlineStr">
        <is>
          <t>description_proposed_html</t>
        </is>
      </c>
      <c r="F102" s="5" t="inlineStr">
        <is>
          <t>&lt;p&gt;Red Handprint Halloween Comforter Set features white comforter design with red splatter-style marks and red handprint...</t>
        </is>
      </c>
      <c r="G102" s="5" t="inlineStr">
        <is>
          <t>Revision r3 description contains meta-commentary sentences explaining copywriting rules rather than customer-facing merchandising copy, and omits verified technical/package specifications.</t>
        </is>
      </c>
      <c r="H102"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102"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102" s="5" t="inlineStr">
        <is>
          <t>Verified from high-resolution image audit (infographic panels 5 and 6) and storefront option sets.</t>
        </is>
      </c>
      <c r="K102" s="5" t="inlineStr">
        <is>
          <t>Description HTML is engaging, natural, free of internal meta-commentary, and provides complete package pieces, sizing, and care specs.</t>
        </is>
      </c>
      <c r="L102" s="2" t="inlineStr">
        <is>
          <t>NEW</t>
        </is>
      </c>
    </row>
    <row r="103">
      <c r="A103" s="2" t="inlineStr">
        <is>
          <t>ISSUE-0102</t>
        </is>
      </c>
      <c r="B103" s="5" t="inlineStr">
        <is>
          <t>jeminise.com+pamnest-twin-halloween-comforter-set-with-sheets-5-pieces-design-07</t>
        </is>
      </c>
      <c r="C103" s="2" t="inlineStr"/>
      <c r="D103" s="2" t="inlineStr">
        <is>
          <t>MAJOR</t>
        </is>
      </c>
      <c r="E103" s="2" t="inlineStr">
        <is>
          <t>description_proposed_html</t>
        </is>
      </c>
      <c r="F103" s="5" t="inlineStr">
        <is>
          <t>&lt;p&gt;Haunted House Pumpkin Comforter Set features white Halloween pattern with haunted houses, pumpkins, black cats, spide...</t>
        </is>
      </c>
      <c r="G103" s="5" t="inlineStr">
        <is>
          <t>Revision r3 description contains meta-commentary sentences explaining copywriting rules rather than customer-facing merchandising copy, and omits verified technical/package specifications.</t>
        </is>
      </c>
      <c r="H103" s="5" t="inlineStr">
        <is>
          <t>Customer-facing copy must describe the actual physical product clearly. It should eliminate meta-commentary phrases and include verified complete package contents breakdown (Twin: 5 pieces; Full/Queen/King: 7 pieces including flat sheet, fitted sheet up to 14 inches deep, pillow shams/cases) and microfiber machine washable care.</t>
        </is>
      </c>
      <c r="I103" s="5" t="inlineStr">
        <is>
          <t>Rewrite description_proposed_html to remove robotic meta-commentary, and add verified product specifications: complete package contents breakdown (Twin: 5 pieces; Full/Queen/King: 7 pieces including flat sheet, fitted sheet up to 14 inches deep, pillow shams/cases) and microfiber machine washable care.</t>
        </is>
      </c>
      <c r="J103" s="5" t="inlineStr">
        <is>
          <t>Verified from high-resolution image audit (infographic panels 5 and 6) and storefront option sets.</t>
        </is>
      </c>
      <c r="K103" s="5" t="inlineStr">
        <is>
          <t>Description HTML is engaging, natural, free of internal meta-commentary, and provides complete package pieces, sizing, and care specs.</t>
        </is>
      </c>
      <c r="L103" s="2" t="inlineStr">
        <is>
          <t>NEW</t>
        </is>
      </c>
    </row>
  </sheetData>
  <autoFilter ref="A1:L10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2026-09-08T03:36:21Z</dcterms:created>
  <dcterms:modified xmlns:dcterms="http://purl.org/dc/terms/" xmlns:xsi="http://www.w3.org/2001/XMLSchema-instance" xsi:type="dcterms:W3CDTF">2026-09-08T03:36:22Z</dcterms:modified>
</cp:coreProperties>
</file>