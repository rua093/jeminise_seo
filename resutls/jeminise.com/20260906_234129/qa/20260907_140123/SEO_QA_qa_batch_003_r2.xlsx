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'QA_Summary'!$A$1:$C$14</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'QA_Images'!$A$1:$Z$51</definedName>
    <definedName name="_xlnm.Print_Titles" localSheetId="3">'QA_Images'!$1:$1</definedName>
    <definedName name="_xlnm._FilterDatabase" localSheetId="4" hidden="1">'QA_Issues'!$A$1:$K$49</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hristmas-bedding-quilt-soft-microfiber-holiday-bedsprea-design-05" TargetMode="External" Id="rId1"/><Relationship Type="http://schemas.openxmlformats.org/officeDocument/2006/relationships/hyperlink" Target="https://jeminise.com/products/christmas-bedding-quilt-soft-microfiber-holiday-bedsprea-design-06" TargetMode="External" Id="rId2"/><Relationship Type="http://schemas.openxmlformats.org/officeDocument/2006/relationships/hyperlink" Target="https://jeminise.com/products/christmas-bedding-quilt-soft-microfiber-holiday-bedsprea-design-08" TargetMode="External" Id="rId3"/><Relationship Type="http://schemas.openxmlformats.org/officeDocument/2006/relationships/hyperlink" Target="https://jeminise.com/products/christmas-bedding-quilt-soft-microfiber-holiday-bedsprea-design-09" TargetMode="External" Id="rId4"/><Relationship Type="http://schemas.openxmlformats.org/officeDocument/2006/relationships/hyperlink" Target="https://jeminise.com/products/christmas-bedding-quilt-soft-microfiber-holiday-bedsprea-design-10" TargetMode="External" Id="rId5"/><Relationship Type="http://schemas.openxmlformats.org/officeDocument/2006/relationships/hyperlink" Target="https://jeminise.com/products/christmas-bedding-quilt-soft-microfiber-holiday-bedsprea-design-11" TargetMode="External" Id="rId6"/><Relationship Type="http://schemas.openxmlformats.org/officeDocument/2006/relationships/hyperlink" Target="https://jeminise.com/products/christmas-bedding-quilt-soft-microfiber-holiday-bedsprea-design-12" TargetMode="External" Id="rId7"/><Relationship Type="http://schemas.openxmlformats.org/officeDocument/2006/relationships/hyperlink" Target="https://jeminise.com/products/christmas-bedding-quilt-soft-microfiber-holiday-bedspread" TargetMode="External" Id="rId8"/><Relationship Type="http://schemas.openxmlformats.org/officeDocument/2006/relationships/hyperlink" Target="https://jeminise.com/products/christmas-cardinal-on-branch-within-patchwork-winter-quilt-892d70543a-892d70543a" TargetMode="External" Id="rId9"/><Relationship Type="http://schemas.openxmlformats.org/officeDocument/2006/relationships/hyperlink" Target="https://jeminise.com/products/christmas-cardinal-perched-on-branch-within-wreath-patchwork-winter-quilt-9e7c0b5896-9e7c0b5896"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7db6811c66637965300a2e7b9c74cbf013694f223ecb0c00a52fba2970fa6e22.jpg?v=1787239304" TargetMode="External" Id="rId1"/><Relationship Type="http://schemas.openxmlformats.org/officeDocument/2006/relationships/hyperlink" Target="https://cdn.shopify.com/s/files/1/0792/5098/1063/files/7db6811c66637965300a2e7b9c74cbf013694f223ecb0c00a52fba2970fa6e22.jpg?v=1787239304" TargetMode="External" Id="rId2"/><Relationship Type="http://schemas.openxmlformats.org/officeDocument/2006/relationships/hyperlink" Target="https://cdn.shopify.com/s/files/1/0792/5098/1063/files/16c248973ae48e0a9cc4448f2002965ba9049a188545c2818d9f66e2db24f2a5.jpg?v=1787239304" TargetMode="External" Id="rId3"/><Relationship Type="http://schemas.openxmlformats.org/officeDocument/2006/relationships/hyperlink" Target="https://cdn.shopify.com/s/files/1/0792/5098/1063/files/16c248973ae48e0a9cc4448f2002965ba9049a188545c2818d9f66e2db24f2a5.jpg?v=1787239304" TargetMode="External" Id="rId4"/><Relationship Type="http://schemas.openxmlformats.org/officeDocument/2006/relationships/hyperlink" Target="https://cdn.shopify.com/s/files/1/0792/5098/1063/files/323ea5e3469590e61df70a45da30caeee15b2197d409a07ec242f1425c067466.jpg?v=1787239304" TargetMode="External" Id="rId5"/><Relationship Type="http://schemas.openxmlformats.org/officeDocument/2006/relationships/hyperlink" Target="https://cdn.shopify.com/s/files/1/0792/5098/1063/files/323ea5e3469590e61df70a45da30caeee15b2197d409a07ec242f1425c067466.jpg?v=1787239304" TargetMode="External" Id="rId6"/><Relationship Type="http://schemas.openxmlformats.org/officeDocument/2006/relationships/hyperlink" Target="https://cdn.shopify.com/s/files/1/0792/5098/1063/files/a9d73f05a5624e29d69e9f45c9035fc8ce6d17dce0280be079f2697dfabb6a95.jpg?v=1787239304" TargetMode="External" Id="rId7"/><Relationship Type="http://schemas.openxmlformats.org/officeDocument/2006/relationships/hyperlink" Target="https://cdn.shopify.com/s/files/1/0792/5098/1063/files/a9d73f05a5624e29d69e9f45c9035fc8ce6d17dce0280be079f2697dfabb6a95.jpg?v=1787239304" TargetMode="External" Id="rId8"/><Relationship Type="http://schemas.openxmlformats.org/officeDocument/2006/relationships/hyperlink" Target="https://cdn.shopify.com/s/files/1/0792/5098/1063/files/0461d860e029a4d27649c56e37e256172572e09064aab3d6823b9226c1ee8c9b.jpg?v=1787239304" TargetMode="External" Id="rId9"/><Relationship Type="http://schemas.openxmlformats.org/officeDocument/2006/relationships/hyperlink" Target="https://cdn.shopify.com/s/files/1/0792/5098/1063/files/0461d860e029a4d27649c56e37e256172572e09064aab3d6823b9226c1ee8c9b.jpg?v=1787239304" TargetMode="External" Id="rId10"/><Relationship Type="http://schemas.openxmlformats.org/officeDocument/2006/relationships/hyperlink" Target="https://cdn.shopify.com/s/files/1/0792/5098/1063/files/72e69cf5279e1503866df817e765ec4b9528ac9d374090ff6a383b64dc802f0f.jpg?v=1787239327" TargetMode="External" Id="rId11"/><Relationship Type="http://schemas.openxmlformats.org/officeDocument/2006/relationships/hyperlink" Target="https://cdn.shopify.com/s/files/1/0792/5098/1063/files/72e69cf5279e1503866df817e765ec4b9528ac9d374090ff6a383b64dc802f0f.jpg?v=1787239327" TargetMode="External" Id="rId12"/><Relationship Type="http://schemas.openxmlformats.org/officeDocument/2006/relationships/hyperlink" Target="https://cdn.shopify.com/s/files/1/0792/5098/1063/files/1f0bc53734f9d184eafeba37de9d2d68714be1c73b540fbe08ef60be1bc69fa5.jpg?v=1787239327" TargetMode="External" Id="rId13"/><Relationship Type="http://schemas.openxmlformats.org/officeDocument/2006/relationships/hyperlink" Target="https://cdn.shopify.com/s/files/1/0792/5098/1063/files/1f0bc53734f9d184eafeba37de9d2d68714be1c73b540fbe08ef60be1bc69fa5.jpg?v=1787239327" TargetMode="External" Id="rId14"/><Relationship Type="http://schemas.openxmlformats.org/officeDocument/2006/relationships/hyperlink" Target="https://cdn.shopify.com/s/files/1/0792/5098/1063/files/9f875161013c7183bc18456508e00b3634194100adb029e0ff7c1be3bada05cf.jpg?v=1787239327" TargetMode="External" Id="rId15"/><Relationship Type="http://schemas.openxmlformats.org/officeDocument/2006/relationships/hyperlink" Target="https://cdn.shopify.com/s/files/1/0792/5098/1063/files/9f875161013c7183bc18456508e00b3634194100adb029e0ff7c1be3bada05cf.jpg?v=1787239327" TargetMode="External" Id="rId16"/><Relationship Type="http://schemas.openxmlformats.org/officeDocument/2006/relationships/hyperlink" Target="https://cdn.shopify.com/s/files/1/0792/5098/1063/files/de596ab0879cec52ad5e2a96c2ef7ec529fa83fcec514ad55907502143e123a0.jpg?v=1787239327" TargetMode="External" Id="rId17"/><Relationship Type="http://schemas.openxmlformats.org/officeDocument/2006/relationships/hyperlink" Target="https://cdn.shopify.com/s/files/1/0792/5098/1063/files/de596ab0879cec52ad5e2a96c2ef7ec529fa83fcec514ad55907502143e123a0.jpg?v=1787239327" TargetMode="External" Id="rId18"/><Relationship Type="http://schemas.openxmlformats.org/officeDocument/2006/relationships/hyperlink" Target="https://cdn.shopify.com/s/files/1/0792/5098/1063/files/c551c6c00f378c8ae6d61af5e53faaf79a1375863eefd1febffb9ecee0e3e4c9.jpg?v=1787239327" TargetMode="External" Id="rId19"/><Relationship Type="http://schemas.openxmlformats.org/officeDocument/2006/relationships/hyperlink" Target="https://cdn.shopify.com/s/files/1/0792/5098/1063/files/c551c6c00f378c8ae6d61af5e53faaf79a1375863eefd1febffb9ecee0e3e4c9.jpg?v=1787239327" TargetMode="External" Id="rId20"/><Relationship Type="http://schemas.openxmlformats.org/officeDocument/2006/relationships/hyperlink" Target="https://cdn.shopify.com/s/files/1/0792/5098/1063/files/46ac5bc18554d3c8eef4fcfd803278c3caa3d66a0c5dad038cb8e03d55416938.jpg?v=1787239336" TargetMode="External" Id="rId21"/><Relationship Type="http://schemas.openxmlformats.org/officeDocument/2006/relationships/hyperlink" Target="https://cdn.shopify.com/s/files/1/0792/5098/1063/files/46ac5bc18554d3c8eef4fcfd803278c3caa3d66a0c5dad038cb8e03d55416938.jpg?v=1787239336" TargetMode="External" Id="rId22"/><Relationship Type="http://schemas.openxmlformats.org/officeDocument/2006/relationships/hyperlink" Target="https://cdn.shopify.com/s/files/1/0792/5098/1063/files/6253d0d99a44a39ec73a70fccf1fd5474c4304769ed308a2bce71e6ae7fc6773.jpg?v=1787239336" TargetMode="External" Id="rId23"/><Relationship Type="http://schemas.openxmlformats.org/officeDocument/2006/relationships/hyperlink" Target="https://cdn.shopify.com/s/files/1/0792/5098/1063/files/6253d0d99a44a39ec73a70fccf1fd5474c4304769ed308a2bce71e6ae7fc6773.jpg?v=1787239336" TargetMode="External" Id="rId24"/><Relationship Type="http://schemas.openxmlformats.org/officeDocument/2006/relationships/hyperlink" Target="https://cdn.shopify.com/s/files/1/0792/5098/1063/files/2de8ef1ba93562897c63ce73c8318e5dfa629b1dde66298ab9a0975f5c8e67fa.jpg?v=1787239336" TargetMode="External" Id="rId25"/><Relationship Type="http://schemas.openxmlformats.org/officeDocument/2006/relationships/hyperlink" Target="https://cdn.shopify.com/s/files/1/0792/5098/1063/files/2de8ef1ba93562897c63ce73c8318e5dfa629b1dde66298ab9a0975f5c8e67fa.jpg?v=1787239336" TargetMode="External" Id="rId26"/><Relationship Type="http://schemas.openxmlformats.org/officeDocument/2006/relationships/hyperlink" Target="https://cdn.shopify.com/s/files/1/0792/5098/1063/files/3b2f22710d1a46e0e095953b6c975ddfea342c3464885dc25bfef9b9378fdb2e.jpg?v=1787239336" TargetMode="External" Id="rId27"/><Relationship Type="http://schemas.openxmlformats.org/officeDocument/2006/relationships/hyperlink" Target="https://cdn.shopify.com/s/files/1/0792/5098/1063/files/3b2f22710d1a46e0e095953b6c975ddfea342c3464885dc25bfef9b9378fdb2e.jpg?v=1787239336" TargetMode="External" Id="rId28"/><Relationship Type="http://schemas.openxmlformats.org/officeDocument/2006/relationships/hyperlink" Target="https://cdn.shopify.com/s/files/1/0792/5098/1063/files/0dee6830a719b55bc41e1ff6962d26e0a61f2f790098df31d82ccf6c573e00bb.jpg?v=1787239336" TargetMode="External" Id="rId29"/><Relationship Type="http://schemas.openxmlformats.org/officeDocument/2006/relationships/hyperlink" Target="https://cdn.shopify.com/s/files/1/0792/5098/1063/files/0dee6830a719b55bc41e1ff6962d26e0a61f2f790098df31d82ccf6c573e00bb.jpg?v=1787239336" TargetMode="External" Id="rId30"/><Relationship Type="http://schemas.openxmlformats.org/officeDocument/2006/relationships/hyperlink" Target="https://cdn.shopify.com/s/files/1/0792/5098/1063/files/d2bc26d7e0a1539757ff02234b818258378a4fed938876959c8d6c2a9252ab74.jpg?v=1787239380" TargetMode="External" Id="rId31"/><Relationship Type="http://schemas.openxmlformats.org/officeDocument/2006/relationships/hyperlink" Target="https://cdn.shopify.com/s/files/1/0792/5098/1063/files/d2bc26d7e0a1539757ff02234b818258378a4fed938876959c8d6c2a9252ab74.jpg?v=1787239380" TargetMode="External" Id="rId32"/><Relationship Type="http://schemas.openxmlformats.org/officeDocument/2006/relationships/hyperlink" Target="https://cdn.shopify.com/s/files/1/0792/5098/1063/files/92819bbb1bab62430498426868c03f6a71d83b02976baffe6e9ae7c163a8d57a.jpg?v=1787239380" TargetMode="External" Id="rId33"/><Relationship Type="http://schemas.openxmlformats.org/officeDocument/2006/relationships/hyperlink" Target="https://cdn.shopify.com/s/files/1/0792/5098/1063/files/92819bbb1bab62430498426868c03f6a71d83b02976baffe6e9ae7c163a8d57a.jpg?v=1787239380" TargetMode="External" Id="rId34"/><Relationship Type="http://schemas.openxmlformats.org/officeDocument/2006/relationships/hyperlink" Target="https://cdn.shopify.com/s/files/1/0792/5098/1063/files/8b9b39ff116a9ed0e810e59f32df8035bc7842af460038e5fe9e42fe52d11d2b.jpg?v=1787239380" TargetMode="External" Id="rId35"/><Relationship Type="http://schemas.openxmlformats.org/officeDocument/2006/relationships/hyperlink" Target="https://cdn.shopify.com/s/files/1/0792/5098/1063/files/8b9b39ff116a9ed0e810e59f32df8035bc7842af460038e5fe9e42fe52d11d2b.jpg?v=1787239380" TargetMode="External" Id="rId36"/><Relationship Type="http://schemas.openxmlformats.org/officeDocument/2006/relationships/hyperlink" Target="https://cdn.shopify.com/s/files/1/0792/5098/1063/files/ff6861c326fe77551be0989f5304657a44c60df7dd12c0c301ad5ca8d111f257.jpg?v=1787239380" TargetMode="External" Id="rId37"/><Relationship Type="http://schemas.openxmlformats.org/officeDocument/2006/relationships/hyperlink" Target="https://cdn.shopify.com/s/files/1/0792/5098/1063/files/ff6861c326fe77551be0989f5304657a44c60df7dd12c0c301ad5ca8d111f257.jpg?v=1787239380" TargetMode="External" Id="rId38"/><Relationship Type="http://schemas.openxmlformats.org/officeDocument/2006/relationships/hyperlink" Target="https://cdn.shopify.com/s/files/1/0792/5098/1063/files/a525d08980e5d668ee538fa59be8827c6e640884669920a738b16cc49b1b4c24.jpg?v=1787239380" TargetMode="External" Id="rId39"/><Relationship Type="http://schemas.openxmlformats.org/officeDocument/2006/relationships/hyperlink" Target="https://cdn.shopify.com/s/files/1/0792/5098/1063/files/a525d08980e5d668ee538fa59be8827c6e640884669920a738b16cc49b1b4c24.jpg?v=1787239380" TargetMode="External" Id="rId40"/><Relationship Type="http://schemas.openxmlformats.org/officeDocument/2006/relationships/hyperlink" Target="https://cdn.shopify.com/s/files/1/0792/5098/1063/files/c9012211f4a80fc29b04e6c36a6d06286d3bcd99481ba14bb0f48bbd8dc22628.jpg?v=1787239292" TargetMode="External" Id="rId41"/><Relationship Type="http://schemas.openxmlformats.org/officeDocument/2006/relationships/hyperlink" Target="https://cdn.shopify.com/s/files/1/0792/5098/1063/files/c9012211f4a80fc29b04e6c36a6d06286d3bcd99481ba14bb0f48bbd8dc22628.jpg?v=1787239292" TargetMode="External" Id="rId42"/><Relationship Type="http://schemas.openxmlformats.org/officeDocument/2006/relationships/hyperlink" Target="https://cdn.shopify.com/s/files/1/0792/5098/1063/files/839d3838d97a9792a8c1011e15becc2872cb904640fdb176e9d34c9ec4a1382f.jpg?v=1787239292" TargetMode="External" Id="rId43"/><Relationship Type="http://schemas.openxmlformats.org/officeDocument/2006/relationships/hyperlink" Target="https://cdn.shopify.com/s/files/1/0792/5098/1063/files/839d3838d97a9792a8c1011e15becc2872cb904640fdb176e9d34c9ec4a1382f.jpg?v=1787239292" TargetMode="External" Id="rId44"/><Relationship Type="http://schemas.openxmlformats.org/officeDocument/2006/relationships/hyperlink" Target="https://cdn.shopify.com/s/files/1/0792/5098/1063/files/029f59325955756dff3beb424bb93f337eade1161d1694ef1f392a84a004e0d4.jpg?v=1787239292" TargetMode="External" Id="rId45"/><Relationship Type="http://schemas.openxmlformats.org/officeDocument/2006/relationships/hyperlink" Target="https://cdn.shopify.com/s/files/1/0792/5098/1063/files/029f59325955756dff3beb424bb93f337eade1161d1694ef1f392a84a004e0d4.jpg?v=1787239292" TargetMode="External" Id="rId46"/><Relationship Type="http://schemas.openxmlformats.org/officeDocument/2006/relationships/hyperlink" Target="https://cdn.shopify.com/s/files/1/0792/5098/1063/files/b12a3b8244039f69fe8236f2263a3bb2f6cef1a9d48030f14c267fcc7b0cf9e0.jpg?v=1787239292" TargetMode="External" Id="rId47"/><Relationship Type="http://schemas.openxmlformats.org/officeDocument/2006/relationships/hyperlink" Target="https://cdn.shopify.com/s/files/1/0792/5098/1063/files/b12a3b8244039f69fe8236f2263a3bb2f6cef1a9d48030f14c267fcc7b0cf9e0.jpg?v=1787239292" TargetMode="External" Id="rId48"/><Relationship Type="http://schemas.openxmlformats.org/officeDocument/2006/relationships/hyperlink" Target="https://cdn.shopify.com/s/files/1/0792/5098/1063/files/db17975966105e572ee398b3501c29ac2c8a38f61dae4eb1e3d795982c917bc2.jpg?v=1787239292" TargetMode="External" Id="rId49"/><Relationship Type="http://schemas.openxmlformats.org/officeDocument/2006/relationships/hyperlink" Target="https://cdn.shopify.com/s/files/1/0792/5098/1063/files/db17975966105e572ee398b3501c29ac2c8a38f61dae4eb1e3d795982c917bc2.jpg?v=1787239292" TargetMode="External" Id="rId50"/><Relationship Type="http://schemas.openxmlformats.org/officeDocument/2006/relationships/hyperlink" Target="https://cdn.shopify.com/s/files/1/0792/5098/1063/files/cfd15964c5a578a0d72eca69fce5d3b6e69d208ab70ee89a4fecaa6fc490d6dc.jpg?v=1787239369" TargetMode="External" Id="rId51"/><Relationship Type="http://schemas.openxmlformats.org/officeDocument/2006/relationships/hyperlink" Target="https://cdn.shopify.com/s/files/1/0792/5098/1063/files/cfd15964c5a578a0d72eca69fce5d3b6e69d208ab70ee89a4fecaa6fc490d6dc.jpg?v=1787239369" TargetMode="External" Id="rId52"/><Relationship Type="http://schemas.openxmlformats.org/officeDocument/2006/relationships/hyperlink" Target="https://cdn.shopify.com/s/files/1/0792/5098/1063/files/86e7cf9fde4b0b585dedce2199d4a124a61ae29e25d0eeffb64f5836d7944670.jpg?v=1787239369" TargetMode="External" Id="rId53"/><Relationship Type="http://schemas.openxmlformats.org/officeDocument/2006/relationships/hyperlink" Target="https://cdn.shopify.com/s/files/1/0792/5098/1063/files/86e7cf9fde4b0b585dedce2199d4a124a61ae29e25d0eeffb64f5836d7944670.jpg?v=1787239369" TargetMode="External" Id="rId54"/><Relationship Type="http://schemas.openxmlformats.org/officeDocument/2006/relationships/hyperlink" Target="https://cdn.shopify.com/s/files/1/0792/5098/1063/files/831baca24e7f78fe5b238f870105905aebb283699f1d966c44611c51f763376c.jpg?v=1787239368" TargetMode="External" Id="rId55"/><Relationship Type="http://schemas.openxmlformats.org/officeDocument/2006/relationships/hyperlink" Target="https://cdn.shopify.com/s/files/1/0792/5098/1063/files/831baca24e7f78fe5b238f870105905aebb283699f1d966c44611c51f763376c.jpg?v=1787239368" TargetMode="External" Id="rId56"/><Relationship Type="http://schemas.openxmlformats.org/officeDocument/2006/relationships/hyperlink" Target="https://cdn.shopify.com/s/files/1/0792/5098/1063/files/2f4d4c35afff8f2089e0135e46abde6f635650c9769aa95164023d71bd8441f7.jpg?v=1787239368" TargetMode="External" Id="rId57"/><Relationship Type="http://schemas.openxmlformats.org/officeDocument/2006/relationships/hyperlink" Target="https://cdn.shopify.com/s/files/1/0792/5098/1063/files/2f4d4c35afff8f2089e0135e46abde6f635650c9769aa95164023d71bd8441f7.jpg?v=1787239368" TargetMode="External" Id="rId58"/><Relationship Type="http://schemas.openxmlformats.org/officeDocument/2006/relationships/hyperlink" Target="https://cdn.shopify.com/s/files/1/0792/5098/1063/files/1061d99508b65a3791be2f40d46d11d955f9c37d218235d1ab797254f993a666.jpg?v=1787239369" TargetMode="External" Id="rId59"/><Relationship Type="http://schemas.openxmlformats.org/officeDocument/2006/relationships/hyperlink" Target="https://cdn.shopify.com/s/files/1/0792/5098/1063/files/1061d99508b65a3791be2f40d46d11d955f9c37d218235d1ab797254f993a666.jpg?v=1787239369" TargetMode="External" Id="rId60"/><Relationship Type="http://schemas.openxmlformats.org/officeDocument/2006/relationships/hyperlink" Target="https://cdn.shopify.com/s/files/1/0792/5098/1063/files/76a7585bd4cd30b07b5040b9e886936f39bc38e39d68a0e9ad8c7762fc463cc2.jpg?v=1787239299" TargetMode="External" Id="rId61"/><Relationship Type="http://schemas.openxmlformats.org/officeDocument/2006/relationships/hyperlink" Target="https://cdn.shopify.com/s/files/1/0792/5098/1063/files/76a7585bd4cd30b07b5040b9e886936f39bc38e39d68a0e9ad8c7762fc463cc2.jpg?v=1787239299" TargetMode="External" Id="rId62"/><Relationship Type="http://schemas.openxmlformats.org/officeDocument/2006/relationships/hyperlink" Target="https://cdn.shopify.com/s/files/1/0792/5098/1063/files/771b444bc3c1e5abffae2b5c7e4c8a21e7d9116e9df079048baf711d9cdab5de.jpg?v=1787239299" TargetMode="External" Id="rId63"/><Relationship Type="http://schemas.openxmlformats.org/officeDocument/2006/relationships/hyperlink" Target="https://cdn.shopify.com/s/files/1/0792/5098/1063/files/771b444bc3c1e5abffae2b5c7e4c8a21e7d9116e9df079048baf711d9cdab5de.jpg?v=1787239299" TargetMode="External" Id="rId64"/><Relationship Type="http://schemas.openxmlformats.org/officeDocument/2006/relationships/hyperlink" Target="https://cdn.shopify.com/s/files/1/0792/5098/1063/files/1633b2e89fa22831d4dc4a89053d8f3b3c491963e2b6b8e797728b03f280d901.jpg?v=1787239299" TargetMode="External" Id="rId65"/><Relationship Type="http://schemas.openxmlformats.org/officeDocument/2006/relationships/hyperlink" Target="https://cdn.shopify.com/s/files/1/0792/5098/1063/files/1633b2e89fa22831d4dc4a89053d8f3b3c491963e2b6b8e797728b03f280d901.jpg?v=1787239299" TargetMode="External" Id="rId66"/><Relationship Type="http://schemas.openxmlformats.org/officeDocument/2006/relationships/hyperlink" Target="https://cdn.shopify.com/s/files/1/0792/5098/1063/files/8f72705c73157de73c90d17e957027dab4c5f6da82cd04f8c0291ff9478cbcb5.jpg?v=1787239299" TargetMode="External" Id="rId67"/><Relationship Type="http://schemas.openxmlformats.org/officeDocument/2006/relationships/hyperlink" Target="https://cdn.shopify.com/s/files/1/0792/5098/1063/files/8f72705c73157de73c90d17e957027dab4c5f6da82cd04f8c0291ff9478cbcb5.jpg?v=1787239299" TargetMode="External" Id="rId68"/><Relationship Type="http://schemas.openxmlformats.org/officeDocument/2006/relationships/hyperlink" Target="https://cdn.shopify.com/s/files/1/0792/5098/1063/files/581cabcc8f29304036025dfeda00684fc9b10f6fda52339d78d676869aca4f8d.jpg?v=1787239300" TargetMode="External" Id="rId69"/><Relationship Type="http://schemas.openxmlformats.org/officeDocument/2006/relationships/hyperlink" Target="https://cdn.shopify.com/s/files/1/0792/5098/1063/files/581cabcc8f29304036025dfeda00684fc9b10f6fda52339d78d676869aca4f8d.jpg?v=1787239300" TargetMode="External" Id="rId70"/><Relationship Type="http://schemas.openxmlformats.org/officeDocument/2006/relationships/hyperlink" Target="https://cdn.shopify.com/s/files/1/0792/5098/1063/files/46766faf8cb22969ec6d9243d29501302e7d75e6617406cd4d523e3d582c385e.jpg?v=1787239287" TargetMode="External" Id="rId71"/><Relationship Type="http://schemas.openxmlformats.org/officeDocument/2006/relationships/hyperlink" Target="https://cdn.shopify.com/s/files/1/0792/5098/1063/files/46766faf8cb22969ec6d9243d29501302e7d75e6617406cd4d523e3d582c385e.jpg?v=1787239287" TargetMode="External" Id="rId72"/><Relationship Type="http://schemas.openxmlformats.org/officeDocument/2006/relationships/hyperlink" Target="https://cdn.shopify.com/s/files/1/0792/5098/1063/files/aefdb300474b2be72d2922e6647c41bde3bb061800ef5a5d164b41494b81fb19.jpg?v=1787239287" TargetMode="External" Id="rId73"/><Relationship Type="http://schemas.openxmlformats.org/officeDocument/2006/relationships/hyperlink" Target="https://cdn.shopify.com/s/files/1/0792/5098/1063/files/aefdb300474b2be72d2922e6647c41bde3bb061800ef5a5d164b41494b81fb19.jpg?v=1787239287" TargetMode="External" Id="rId74"/><Relationship Type="http://schemas.openxmlformats.org/officeDocument/2006/relationships/hyperlink" Target="https://cdn.shopify.com/s/files/1/0792/5098/1063/files/3a3d71b9e950f5c9823b2552370a6a4a7cba089c4b15f174d2430e5fa07d5a5d.jpg?v=1787239286" TargetMode="External" Id="rId75"/><Relationship Type="http://schemas.openxmlformats.org/officeDocument/2006/relationships/hyperlink" Target="https://cdn.shopify.com/s/files/1/0792/5098/1063/files/3a3d71b9e950f5c9823b2552370a6a4a7cba089c4b15f174d2430e5fa07d5a5d.jpg?v=1787239286" TargetMode="External" Id="rId76"/><Relationship Type="http://schemas.openxmlformats.org/officeDocument/2006/relationships/hyperlink" Target="https://cdn.shopify.com/s/files/1/0792/5098/1063/files/7066a2433b3f12d4cacd6f4e8cc8c23427cc728f21337e12f0e0996e3b9d0eac.jpg?v=1787239286" TargetMode="External" Id="rId77"/><Relationship Type="http://schemas.openxmlformats.org/officeDocument/2006/relationships/hyperlink" Target="https://cdn.shopify.com/s/files/1/0792/5098/1063/files/7066a2433b3f12d4cacd6f4e8cc8c23427cc728f21337e12f0e0996e3b9d0eac.jpg?v=1787239286" TargetMode="External" Id="rId78"/><Relationship Type="http://schemas.openxmlformats.org/officeDocument/2006/relationships/hyperlink" Target="https://cdn.shopify.com/s/files/1/0792/5098/1063/files/7b383fdda314586dd2b1631d354d11f6044cf860e78d60b0da30f368498ad48f.jpg?v=1787239286" TargetMode="External" Id="rId79"/><Relationship Type="http://schemas.openxmlformats.org/officeDocument/2006/relationships/hyperlink" Target="https://cdn.shopify.com/s/files/1/0792/5098/1063/files/7b383fdda314586dd2b1631d354d11f6044cf860e78d60b0da30f368498ad48f.jpg?v=1787239286" TargetMode="External" Id="rId80"/><Relationship Type="http://schemas.openxmlformats.org/officeDocument/2006/relationships/hyperlink" Target="https://cdn.shopify.com/s/files/1/0792/5098/1063/files/bf28c41377cdb7a1ead58c1b8bf6522ea073b8840f5304f63418bda5d7a7b388.jpg?v=1785098877" TargetMode="External" Id="rId81"/><Relationship Type="http://schemas.openxmlformats.org/officeDocument/2006/relationships/hyperlink" Target="https://cdn.shopify.com/s/files/1/0792/5098/1063/files/bf28c41377cdb7a1ead58c1b8bf6522ea073b8840f5304f63418bda5d7a7b388.jpg?v=1785098877" TargetMode="External" Id="rId82"/><Relationship Type="http://schemas.openxmlformats.org/officeDocument/2006/relationships/hyperlink" Target="https://cdn.shopify.com/s/files/1/0792/5098/1063/files/81f3805955113fdaf94272a97be66d4eb8728684496654f5010e77aa4ab8e87b.jpg?v=1785098877" TargetMode="External" Id="rId83"/><Relationship Type="http://schemas.openxmlformats.org/officeDocument/2006/relationships/hyperlink" Target="https://cdn.shopify.com/s/files/1/0792/5098/1063/files/81f3805955113fdaf94272a97be66d4eb8728684496654f5010e77aa4ab8e87b.jpg?v=1785098877" TargetMode="External" Id="rId84"/><Relationship Type="http://schemas.openxmlformats.org/officeDocument/2006/relationships/hyperlink" Target="https://cdn.shopify.com/s/files/1/0792/5098/1063/files/71627aa23557dde06f36d989c7eea33ac95d6403196bf70fbc4eefcf56b6e70f.jpg?v=1785098877" TargetMode="External" Id="rId85"/><Relationship Type="http://schemas.openxmlformats.org/officeDocument/2006/relationships/hyperlink" Target="https://cdn.shopify.com/s/files/1/0792/5098/1063/files/71627aa23557dde06f36d989c7eea33ac95d6403196bf70fbc4eefcf56b6e70f.jpg?v=1785098877" TargetMode="External" Id="rId86"/><Relationship Type="http://schemas.openxmlformats.org/officeDocument/2006/relationships/hyperlink" Target="https://cdn.shopify.com/s/files/1/0792/5098/1063/files/b845f1cebf41c07e8603d709af5f48108735e52a2b08909404bc927ce2f2fba6.jpg?v=1785098877" TargetMode="External" Id="rId87"/><Relationship Type="http://schemas.openxmlformats.org/officeDocument/2006/relationships/hyperlink" Target="https://cdn.shopify.com/s/files/1/0792/5098/1063/files/b845f1cebf41c07e8603d709af5f48108735e52a2b08909404bc927ce2f2fba6.jpg?v=1785098877" TargetMode="External" Id="rId88"/><Relationship Type="http://schemas.openxmlformats.org/officeDocument/2006/relationships/hyperlink" Target="https://cdn.shopify.com/s/files/1/0792/5098/1063/files/1fac1cce8b7ccababe2eb09442d3c916aba2c52da0db73e8cf64b748a51cde9b.jpg?v=1785098877" TargetMode="External" Id="rId89"/><Relationship Type="http://schemas.openxmlformats.org/officeDocument/2006/relationships/hyperlink" Target="https://cdn.shopify.com/s/files/1/0792/5098/1063/files/1fac1cce8b7ccababe2eb09442d3c916aba2c52da0db73e8cf64b748a51cde9b.jpg?v=1785098877" TargetMode="External" Id="rId90"/><Relationship Type="http://schemas.openxmlformats.org/officeDocument/2006/relationships/hyperlink" Target="https://cdn.shopify.com/s/files/1/0792/5098/1063/files/7f0f7c972b51dc5c33f101a4d3a2b691df2bbeddf273a1476dd88ac51d509beb.jpg?v=1785099457" TargetMode="External" Id="rId91"/><Relationship Type="http://schemas.openxmlformats.org/officeDocument/2006/relationships/hyperlink" Target="https://cdn.shopify.com/s/files/1/0792/5098/1063/files/7f0f7c972b51dc5c33f101a4d3a2b691df2bbeddf273a1476dd88ac51d509beb.jpg?v=1785099457" TargetMode="External" Id="rId92"/><Relationship Type="http://schemas.openxmlformats.org/officeDocument/2006/relationships/hyperlink" Target="https://cdn.shopify.com/s/files/1/0792/5098/1063/files/5e721c7639a6dabb93bc6beaa75f1f177b995a54e6852aab0e8a13d284356650.jpg?v=1785099457" TargetMode="External" Id="rId93"/><Relationship Type="http://schemas.openxmlformats.org/officeDocument/2006/relationships/hyperlink" Target="https://cdn.shopify.com/s/files/1/0792/5098/1063/files/5e721c7639a6dabb93bc6beaa75f1f177b995a54e6852aab0e8a13d284356650.jpg?v=1785099457" TargetMode="External" Id="rId94"/><Relationship Type="http://schemas.openxmlformats.org/officeDocument/2006/relationships/hyperlink" Target="https://cdn.shopify.com/s/files/1/0792/5098/1063/files/d9efdd2323a7b245add351d35c70df2b8916ba50b2c07232a28ce2618017c7ca.jpg?v=1785099457" TargetMode="External" Id="rId95"/><Relationship Type="http://schemas.openxmlformats.org/officeDocument/2006/relationships/hyperlink" Target="https://cdn.shopify.com/s/files/1/0792/5098/1063/files/d9efdd2323a7b245add351d35c70df2b8916ba50b2c07232a28ce2618017c7ca.jpg?v=1785099457" TargetMode="External" Id="rId96"/><Relationship Type="http://schemas.openxmlformats.org/officeDocument/2006/relationships/hyperlink" Target="https://cdn.shopify.com/s/files/1/0792/5098/1063/files/b311d7393465380998bca8b3a9210a013c229b61d664f3dce0691513d873c82e.jpg?v=1785099457" TargetMode="External" Id="rId97"/><Relationship Type="http://schemas.openxmlformats.org/officeDocument/2006/relationships/hyperlink" Target="https://cdn.shopify.com/s/files/1/0792/5098/1063/files/b311d7393465380998bca8b3a9210a013c229b61d664f3dce0691513d873c82e.jpg?v=1785099457" TargetMode="External" Id="rId98"/><Relationship Type="http://schemas.openxmlformats.org/officeDocument/2006/relationships/hyperlink" Target="https://cdn.shopify.com/s/files/1/0792/5098/1063/files/b3f4b380fddc0b4717e5a8960ebd73a239442861c5a0cc84575c35c7339c41e1.jpg?v=1785099457" TargetMode="External" Id="rId99"/><Relationship Type="http://schemas.openxmlformats.org/officeDocument/2006/relationships/hyperlink" Target="https://cdn.shopify.com/s/files/1/0792/5098/1063/files/b3f4b380fddc0b4717e5a8960ebd73a239442861c5a0cc84575c35c7339c41e1.jpg?v=1785099457" TargetMode="External" Id="rId100"/></Relationships>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prompt_qa.md@sha256:C2C1DEFDB72362291F7DA656FA7FEA9283A02782FC8CA66D2E4637F2511500DD</t>
        </is>
      </c>
      <c r="C2" s="2" t="inlineStr">
        <is>
          <t>Rubric QA áp dụng.</t>
        </is>
      </c>
    </row>
    <row r="3" ht="42" customHeight="1">
      <c r="A3" s="3" t="inlineStr">
        <is>
          <t>source_workbook</t>
        </is>
      </c>
      <c r="B3" s="3" t="inlineStr">
        <is>
          <t>D:\Shopify_Workspace\jeminise_seo\resutls\jeminise.com\20260906_234129\revisions\qa_batch_003_r2\SEO_Product_Optimization_qa_batch_003_r2.xlsx</t>
        </is>
      </c>
      <c r="C3" s="3" t="inlineStr">
        <is>
          <t>Workbook giai đoạn 1 được đóng băng; không chỉnh sửa.</t>
        </is>
      </c>
    </row>
    <row r="4" ht="42" customHeight="1">
      <c r="A4" s="2" t="inlineStr">
        <is>
          <t>source_sha256_at_handoff</t>
        </is>
      </c>
      <c r="B4" s="2" t="inlineStr">
        <is>
          <t>D7284B208FD4B5DB5B98B0AC5215CD835B7F42CDC858B5F27899F6F0B9CFDC20</t>
        </is>
      </c>
      <c r="C4" s="2" t="inlineStr">
        <is>
          <t>Hash tính lại khi hoàn tất báo cáo.</t>
        </is>
      </c>
    </row>
    <row r="5" ht="42" customHeight="1">
      <c r="A5" s="3" t="inlineStr">
        <is>
          <t>qa_run_id</t>
        </is>
      </c>
      <c r="B5" s="3" t="inlineStr">
        <is>
          <t>20260907_140123</t>
        </is>
      </c>
      <c r="C5" s="3" t="inlineStr">
        <is>
          <t>Run QA độc lập.</t>
        </is>
      </c>
    </row>
    <row r="6" ht="42" customHeight="1">
      <c r="A6" s="2" t="inlineStr">
        <is>
          <t>batch_id</t>
        </is>
      </c>
      <c r="B6" s="2" t="inlineStr">
        <is>
          <t>qa_batch_003_r2</t>
        </is>
      </c>
      <c r="C6" s="2" t="inlineStr">
        <is>
          <t>Inventory positions 21–30.</t>
        </is>
      </c>
    </row>
    <row r="7" ht="42" customHeight="1">
      <c r="A7" s="3" t="inlineStr">
        <is>
          <t>products_checked</t>
        </is>
      </c>
      <c r="B7" s="3" t="n">
        <v>10</v>
      </c>
      <c r="C7" s="3" t="inlineStr">
        <is>
          <t>Đúng 10 product key.</t>
        </is>
      </c>
    </row>
    <row r="8" ht="42" customHeight="1">
      <c r="A8" s="2" t="inlineStr">
        <is>
          <t>images_checked</t>
        </is>
      </c>
      <c r="B8" s="2" t="n">
        <v>50</v>
      </c>
      <c r="C8" s="2" t="inlineStr">
        <is>
          <t>50/50 ảnh mở trực tiếp ở ảnh gốc.</t>
        </is>
      </c>
    </row>
    <row r="9" ht="42" customHeight="1">
      <c r="A9" s="3" t="inlineStr">
        <is>
          <t>batch_final_score</t>
        </is>
      </c>
      <c r="B9" s="3">
        <f>AVERAGE('QA_Products'!$K$2:$K$11)</f>
        <v/>
      </c>
      <c r="C9" s="3" t="inlineStr">
        <is>
          <t>Trung bình đều 10 final_score; không bù lỗi chặn.</t>
        </is>
      </c>
    </row>
    <row r="10" ht="42" customHeight="1">
      <c r="A10" s="2" t="inlineStr">
        <is>
          <t>batch_result</t>
        </is>
      </c>
      <c r="B10" s="2">
        <f>IF(COUNTIF('QA_Products'!$L$2:$L$11,"QA_PASS")=ROWS('QA_Products'!$L$2:$L$11),"PASSED","NOT_PASSED")</f>
        <v/>
      </c>
      <c r="C10" s="2" t="inlineStr">
        <is>
          <t>Lô chỉ đạt khi mọi sản phẩm QA_PASS.</t>
        </is>
      </c>
    </row>
    <row r="11" ht="42" customHeight="1">
      <c r="A11" s="3" t="inlineStr">
        <is>
          <t>status_counts</t>
        </is>
      </c>
      <c r="B11" s="3">
        <f>"PASS="&amp;COUNTIF('QA_Products'!$L$2:$L$11,"QA_PASS")&amp;"; REVISE="&amp;COUNTIF('QA_Products'!$L$2:$L$11,"QA_REVISE")&amp;"; FAIL="&amp;COUNTIF('QA_Products'!$L$2:$L$11,"QA_FAIL")&amp;"; INCOMPLETE="&amp;COUNTIF('QA_Products'!$L$2:$L$11,"QA_INCOMPLETE")</f>
        <v/>
      </c>
      <c r="C11" s="3" t="inlineStr">
        <is>
          <t>Số sản phẩm theo kết luận.</t>
        </is>
      </c>
    </row>
    <row r="12" ht="42" customHeight="1">
      <c r="A12" s="2" t="inlineStr">
        <is>
          <t>issue_counts</t>
        </is>
      </c>
      <c r="B12" s="2" t="inlineStr">
        <is>
          <t>{"MAJOR": 37, "MINOR": 8, "CRITICAL": 2, "LIMITATION": 1}</t>
        </is>
      </c>
      <c r="C12" s="2" t="inlineStr">
        <is>
          <t>Số phát hiện theo severity.</t>
        </is>
      </c>
    </row>
    <row r="13" ht="42" customHeight="1">
      <c r="A13" s="3" t="inlineStr">
        <is>
          <t>admin_limitation</t>
        </is>
      </c>
      <c r="B13" s="3" t="inlineStr">
        <is>
          <t>No Shopify admin export</t>
        </is>
      </c>
      <c r="C13" s="3" t="inlineStr">
        <is>
          <t>Không suy ra admin SEO fields/alt từ storefront.</t>
        </is>
      </c>
    </row>
    <row r="14" ht="42" customHeight="1">
      <c r="A14" s="2" t="inlineStr">
        <is>
          <t>xlsx_status</t>
        </is>
      </c>
      <c r="B14" s="2" t="inlineStr">
        <is>
          <t>COMPLETE</t>
        </is>
      </c>
      <c r="C14" s="2" t="inlineStr">
        <is>
          <t>Workbook QA được tạo bằng openpyxl theo yêu cầu người dùng, mở lại kiểm tra cấu trúc/công thức và render kiểm tra.</t>
        </is>
      </c>
    </row>
  </sheetData>
  <autoFilter ref="A1:C14"/>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21</v>
      </c>
      <c r="B2" s="2" t="inlineStr">
        <is>
          <t>jeminise.com+christmas-bedding-quilt-soft-microfiber-holiday-bedsprea-design-05</t>
        </is>
      </c>
      <c r="C2" s="4" t="inlineStr">
        <is>
          <t>https://jeminise.com/products/christmas-bedding-quilt-soft-microfiber-holiday-bedsprea-design-05</t>
        </is>
      </c>
      <c r="D2" s="2" t="inlineStr">
        <is>
          <t>christmas-bedding-quilt-soft-microfiber-holiday-bedsprea-design-05</t>
        </is>
      </c>
      <c r="E2" s="2" t="inlineStr">
        <is>
          <t>8867157835975</t>
        </is>
      </c>
      <c r="F2" s="2" t="inlineStr">
        <is>
          <t>r2</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5</v>
      </c>
      <c r="O2" s="2" t="n">
        <v>5</v>
      </c>
      <c r="P2" s="2" t="b">
        <v>1</v>
      </c>
      <c r="Q2" s="6" t="n">
        <v>1</v>
      </c>
      <c r="R2" s="2">
        <f>COUNTIFS('QA_Issues'!$B$2:$B$49,B2,'QA_Issues'!$D$2:$D$49,"CRITICAL")</f>
        <v/>
      </c>
      <c r="S2" s="2">
        <f>COUNTIFS('QA_Issues'!$B$2:$B$49,B2,'QA_Issues'!$D$2:$D$49,"MAJOR")</f>
        <v/>
      </c>
      <c r="T2" s="2">
        <f>COUNTIFS('QA_Issues'!$B$2:$B$49,B2,'QA_Issues'!$D$2:$D$49,"MINOR")</f>
        <v/>
      </c>
      <c r="U2" s="2">
        <f>COUNTIFS('QA_Issues'!$B$2:$B$49,B2,'QA_Issues'!$D$2:$D$49,"LIMITATION")</f>
        <v/>
      </c>
      <c r="V2" s="2" t="inlineStr">
        <is>
          <t>["R2-ISS-021-IMG-03", "R2-ISS-021-IMG-04", "R2-ISS-021-DESC", "ISS-021-ENC", "R2-ISS-021-PERS", "R2-ISS-021-SERP"]</t>
        </is>
      </c>
      <c r="W2" s="2" t="inlineStr">
        <is>
          <t>["evidence_batch_003_021", "https://jeminise.com/products/christmas-bedding-quilt-soft-microfiber-holiday-bedsprea-design-05", "serp_qa_021"]</t>
        </is>
      </c>
    </row>
    <row r="3" ht="42" customHeight="1">
      <c r="A3" s="3" t="n">
        <v>22</v>
      </c>
      <c r="B3" s="3" t="inlineStr">
        <is>
          <t>jeminise.com+christmas-bedding-quilt-soft-microfiber-holiday-bedsprea-design-06</t>
        </is>
      </c>
      <c r="C3" s="4" t="inlineStr">
        <is>
          <t>https://jeminise.com/products/christmas-bedding-quilt-soft-microfiber-holiday-bedsprea-design-06</t>
        </is>
      </c>
      <c r="D3" s="3" t="inlineStr">
        <is>
          <t>christmas-bedding-quilt-soft-microfiber-holiday-bedsprea-design-06</t>
        </is>
      </c>
      <c r="E3" s="3" t="inlineStr">
        <is>
          <t>8867157868743</t>
        </is>
      </c>
      <c r="F3" s="3" t="inlineStr">
        <is>
          <t>r2</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5</v>
      </c>
      <c r="O3" s="3" t="n">
        <v>5</v>
      </c>
      <c r="P3" s="3" t="b">
        <v>1</v>
      </c>
      <c r="Q3" s="8" t="n">
        <v>1</v>
      </c>
      <c r="R3" s="3">
        <f>COUNTIFS('QA_Issues'!$B$2:$B$49,B3,'QA_Issues'!$D$2:$D$49,"CRITICAL")</f>
        <v/>
      </c>
      <c r="S3" s="3">
        <f>COUNTIFS('QA_Issues'!$B$2:$B$49,B3,'QA_Issues'!$D$2:$D$49,"MAJOR")</f>
        <v/>
      </c>
      <c r="T3" s="3">
        <f>COUNTIFS('QA_Issues'!$B$2:$B$49,B3,'QA_Issues'!$D$2:$D$49,"MINOR")</f>
        <v/>
      </c>
      <c r="U3" s="3">
        <f>COUNTIFS('QA_Issues'!$B$2:$B$49,B3,'QA_Issues'!$D$2:$D$49,"LIMITATION")</f>
        <v/>
      </c>
      <c r="V3" s="3" t="inlineStr">
        <is>
          <t>["R2-ISS-022-DESC", "ISS-022-ENC", "R2-ISS-022-PERS"]</t>
        </is>
      </c>
      <c r="W3" s="3" t="inlineStr">
        <is>
          <t>["evidence_batch_003_022", "https://jeminise.com/products/christmas-bedding-quilt-soft-microfiber-holiday-bedsprea-design-06", "serp_qa_022"]</t>
        </is>
      </c>
    </row>
    <row r="4" ht="42" customHeight="1">
      <c r="A4" s="2" t="n">
        <v>23</v>
      </c>
      <c r="B4" s="2" t="inlineStr">
        <is>
          <t>jeminise.com+christmas-bedding-quilt-soft-microfiber-holiday-bedsprea-design-08</t>
        </is>
      </c>
      <c r="C4" s="4" t="inlineStr">
        <is>
          <t>https://jeminise.com/products/christmas-bedding-quilt-soft-microfiber-holiday-bedsprea-design-08</t>
        </is>
      </c>
      <c r="D4" s="2" t="inlineStr">
        <is>
          <t>christmas-bedding-quilt-soft-microfiber-holiday-bedsprea-design-08</t>
        </is>
      </c>
      <c r="E4" s="2" t="inlineStr">
        <is>
          <t>8867157999815</t>
        </is>
      </c>
      <c r="F4" s="2" t="inlineStr">
        <is>
          <t>r2</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5</v>
      </c>
      <c r="O4" s="2" t="n">
        <v>5</v>
      </c>
      <c r="P4" s="2" t="b">
        <v>1</v>
      </c>
      <c r="Q4" s="6" t="n">
        <v>1</v>
      </c>
      <c r="R4" s="2">
        <f>COUNTIFS('QA_Issues'!$B$2:$B$49,B4,'QA_Issues'!$D$2:$D$49,"CRITICAL")</f>
        <v/>
      </c>
      <c r="S4" s="2">
        <f>COUNTIFS('QA_Issues'!$B$2:$B$49,B4,'QA_Issues'!$D$2:$D$49,"MAJOR")</f>
        <v/>
      </c>
      <c r="T4" s="2">
        <f>COUNTIFS('QA_Issues'!$B$2:$B$49,B4,'QA_Issues'!$D$2:$D$49,"MINOR")</f>
        <v/>
      </c>
      <c r="U4" s="2">
        <f>COUNTIFS('QA_Issues'!$B$2:$B$49,B4,'QA_Issues'!$D$2:$D$49,"LIMITATION")</f>
        <v/>
      </c>
      <c r="V4" s="2" t="inlineStr">
        <is>
          <t>["R2-ISS-023-DESC", "ISS-023-ENC", "R2-ISS-023-PERS", "R2-ISS-023-SERP"]</t>
        </is>
      </c>
      <c r="W4" s="2" t="inlineStr">
        <is>
          <t>["evidence_batch_003_023", "https://jeminise.com/products/christmas-bedding-quilt-soft-microfiber-holiday-bedsprea-design-08", "serp_qa_023"]</t>
        </is>
      </c>
    </row>
    <row r="5" ht="42" customHeight="1">
      <c r="A5" s="3" t="n">
        <v>24</v>
      </c>
      <c r="B5" s="3" t="inlineStr">
        <is>
          <t>jeminise.com+christmas-bedding-quilt-soft-microfiber-holiday-bedsprea-design-09</t>
        </is>
      </c>
      <c r="C5" s="4" t="inlineStr">
        <is>
          <t>https://jeminise.com/products/christmas-bedding-quilt-soft-microfiber-holiday-bedsprea-design-09</t>
        </is>
      </c>
      <c r="D5" s="3" t="inlineStr">
        <is>
          <t>christmas-bedding-quilt-soft-microfiber-holiday-bedsprea-design-09</t>
        </is>
      </c>
      <c r="E5" s="3" t="inlineStr">
        <is>
          <t>8867158393031</t>
        </is>
      </c>
      <c r="F5" s="3" t="inlineStr">
        <is>
          <t>r2</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5</v>
      </c>
      <c r="O5" s="3" t="n">
        <v>5</v>
      </c>
      <c r="P5" s="3" t="b">
        <v>1</v>
      </c>
      <c r="Q5" s="8" t="n">
        <v>1</v>
      </c>
      <c r="R5" s="3">
        <f>COUNTIFS('QA_Issues'!$B$2:$B$49,B5,'QA_Issues'!$D$2:$D$49,"CRITICAL")</f>
        <v/>
      </c>
      <c r="S5" s="3">
        <f>COUNTIFS('QA_Issues'!$B$2:$B$49,B5,'QA_Issues'!$D$2:$D$49,"MAJOR")</f>
        <v/>
      </c>
      <c r="T5" s="3">
        <f>COUNTIFS('QA_Issues'!$B$2:$B$49,B5,'QA_Issues'!$D$2:$D$49,"MINOR")</f>
        <v/>
      </c>
      <c r="U5" s="3">
        <f>COUNTIFS('QA_Issues'!$B$2:$B$49,B5,'QA_Issues'!$D$2:$D$49,"LIMITATION")</f>
        <v/>
      </c>
      <c r="V5" s="3" t="inlineStr">
        <is>
          <t>["R2-ISS-024-DESC", "ISS-024-ENC", "R2-ISS-024-PERS"]</t>
        </is>
      </c>
      <c r="W5" s="3" t="inlineStr">
        <is>
          <t>["evidence_batch_003_024", "https://jeminise.com/products/christmas-bedding-quilt-soft-microfiber-holiday-bedsprea-design-09", "serp_qa_024"]</t>
        </is>
      </c>
    </row>
    <row r="6" ht="42" customHeight="1">
      <c r="A6" s="2" t="n">
        <v>25</v>
      </c>
      <c r="B6" s="2" t="inlineStr">
        <is>
          <t>jeminise.com+christmas-bedding-quilt-soft-microfiber-holiday-bedsprea-design-10</t>
        </is>
      </c>
      <c r="C6" s="4" t="inlineStr">
        <is>
          <t>https://jeminise.com/products/christmas-bedding-quilt-soft-microfiber-holiday-bedsprea-design-10</t>
        </is>
      </c>
      <c r="D6" s="2" t="inlineStr">
        <is>
          <t>christmas-bedding-quilt-soft-microfiber-holiday-bedsprea-design-10</t>
        </is>
      </c>
      <c r="E6" s="2" t="inlineStr">
        <is>
          <t>8867157737671</t>
        </is>
      </c>
      <c r="F6" s="2" t="inlineStr">
        <is>
          <t>r2</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5</v>
      </c>
      <c r="O6" s="2" t="n">
        <v>5</v>
      </c>
      <c r="P6" s="2" t="b">
        <v>1</v>
      </c>
      <c r="Q6" s="6" t="n">
        <v>1</v>
      </c>
      <c r="R6" s="2">
        <f>COUNTIFS('QA_Issues'!$B$2:$B$49,B6,'QA_Issues'!$D$2:$D$49,"CRITICAL")</f>
        <v/>
      </c>
      <c r="S6" s="2">
        <f>COUNTIFS('QA_Issues'!$B$2:$B$49,B6,'QA_Issues'!$D$2:$D$49,"MAJOR")</f>
        <v/>
      </c>
      <c r="T6" s="2">
        <f>COUNTIFS('QA_Issues'!$B$2:$B$49,B6,'QA_Issues'!$D$2:$D$49,"MINOR")</f>
        <v/>
      </c>
      <c r="U6" s="2">
        <f>COUNTIFS('QA_Issues'!$B$2:$B$49,B6,'QA_Issues'!$D$2:$D$49,"LIMITATION")</f>
        <v/>
      </c>
      <c r="V6" s="2" t="inlineStr">
        <is>
          <t>["R2-ISS-025-IMG-01", "R2-ISS-025-IMG-02", "R2-ISS-025-IMG-03", "R2-ISS-025-IMG-04", "R2-ISS-025-IMG-05", "R2-ISS-025-DESC", "ISS-025-ENC", "R2-ISS-025-PERS", "R2-ISS-025-DESIGN"]</t>
        </is>
      </c>
      <c r="W6" s="2" t="inlineStr">
        <is>
          <t>["evidence_batch_003_025", "https://jeminise.com/products/christmas-bedding-quilt-soft-microfiber-holiday-bedsprea-design-10", "serp_qa_025"]</t>
        </is>
      </c>
    </row>
    <row r="7" ht="42" customHeight="1">
      <c r="A7" s="3" t="n">
        <v>26</v>
      </c>
      <c r="B7" s="3" t="inlineStr">
        <is>
          <t>jeminise.com+christmas-bedding-quilt-soft-microfiber-holiday-bedsprea-design-11</t>
        </is>
      </c>
      <c r="C7" s="4" t="inlineStr">
        <is>
          <t>https://jeminise.com/products/christmas-bedding-quilt-soft-microfiber-holiday-bedsprea-design-11</t>
        </is>
      </c>
      <c r="D7" s="3" t="inlineStr">
        <is>
          <t>christmas-bedding-quilt-soft-microfiber-holiday-bedsprea-design-11</t>
        </is>
      </c>
      <c r="E7" s="3" t="inlineStr">
        <is>
          <t>8867158261959</t>
        </is>
      </c>
      <c r="F7" s="3" t="inlineStr">
        <is>
          <t>r2</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5</v>
      </c>
      <c r="O7" s="3" t="n">
        <v>5</v>
      </c>
      <c r="P7" s="3" t="b">
        <v>1</v>
      </c>
      <c r="Q7" s="8" t="n">
        <v>1</v>
      </c>
      <c r="R7" s="3">
        <f>COUNTIFS('QA_Issues'!$B$2:$B$49,B7,'QA_Issues'!$D$2:$D$49,"CRITICAL")</f>
        <v/>
      </c>
      <c r="S7" s="3">
        <f>COUNTIFS('QA_Issues'!$B$2:$B$49,B7,'QA_Issues'!$D$2:$D$49,"MAJOR")</f>
        <v/>
      </c>
      <c r="T7" s="3">
        <f>COUNTIFS('QA_Issues'!$B$2:$B$49,B7,'QA_Issues'!$D$2:$D$49,"MINOR")</f>
        <v/>
      </c>
      <c r="U7" s="3">
        <f>COUNTIFS('QA_Issues'!$B$2:$B$49,B7,'QA_Issues'!$D$2:$D$49,"LIMITATION")</f>
        <v/>
      </c>
      <c r="V7" s="3" t="inlineStr">
        <is>
          <t>["R2-ISS-026-DESC", "ISS-026-ENC", "R2-ISS-026-PERS"]</t>
        </is>
      </c>
      <c r="W7" s="3" t="inlineStr">
        <is>
          <t>["evidence_batch_003_026", "https://jeminise.com/products/christmas-bedding-quilt-soft-microfiber-holiday-bedsprea-design-11", "serp_qa_026"]</t>
        </is>
      </c>
    </row>
    <row r="8" ht="42" customHeight="1">
      <c r="A8" s="2" t="n">
        <v>27</v>
      </c>
      <c r="B8" s="2" t="inlineStr">
        <is>
          <t>jeminise.com+christmas-bedding-quilt-soft-microfiber-holiday-bedsprea-design-12</t>
        </is>
      </c>
      <c r="C8" s="4" t="inlineStr">
        <is>
          <t>https://jeminise.com/products/christmas-bedding-quilt-soft-microfiber-holiday-bedsprea-design-12</t>
        </is>
      </c>
      <c r="D8" s="2" t="inlineStr">
        <is>
          <t>christmas-bedding-quilt-soft-microfiber-holiday-bedsprea-design-12</t>
        </is>
      </c>
      <c r="E8" s="2" t="inlineStr">
        <is>
          <t>8867157803207</t>
        </is>
      </c>
      <c r="F8" s="2" t="inlineStr">
        <is>
          <t>r2</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5</v>
      </c>
      <c r="O8" s="2" t="n">
        <v>5</v>
      </c>
      <c r="P8" s="2" t="b">
        <v>1</v>
      </c>
      <c r="Q8" s="6" t="n">
        <v>1</v>
      </c>
      <c r="R8" s="2">
        <f>COUNTIFS('QA_Issues'!$B$2:$B$49,B8,'QA_Issues'!$D$2:$D$49,"CRITICAL")</f>
        <v/>
      </c>
      <c r="S8" s="2">
        <f>COUNTIFS('QA_Issues'!$B$2:$B$49,B8,'QA_Issues'!$D$2:$D$49,"MAJOR")</f>
        <v/>
      </c>
      <c r="T8" s="2">
        <f>COUNTIFS('QA_Issues'!$B$2:$B$49,B8,'QA_Issues'!$D$2:$D$49,"MINOR")</f>
        <v/>
      </c>
      <c r="U8" s="2">
        <f>COUNTIFS('QA_Issues'!$B$2:$B$49,B8,'QA_Issues'!$D$2:$D$49,"LIMITATION")</f>
        <v/>
      </c>
      <c r="V8" s="2" t="inlineStr">
        <is>
          <t>["R2-ISS-027-IMG-01", "R2-ISS-027-IMG-02", "R2-ISS-027-IMG-03", "R2-ISS-027-IMG-04", "R2-ISS-027-IMG-05", "R2-ISS-027-DESC", "ISS-027-ENC", "R2-ISS-027-PERS", "R2-ISS-027-DESIGN"]</t>
        </is>
      </c>
      <c r="W8" s="2" t="inlineStr">
        <is>
          <t>["evidence_batch_003_027", "https://jeminise.com/products/christmas-bedding-quilt-soft-microfiber-holiday-bedsprea-design-12", "serp_qa_027"]</t>
        </is>
      </c>
    </row>
    <row r="9" ht="42" customHeight="1">
      <c r="A9" s="3" t="n">
        <v>28</v>
      </c>
      <c r="B9" s="3" t="inlineStr">
        <is>
          <t>jeminise.com+christmas-bedding-quilt-soft-microfiber-holiday-bedspread</t>
        </is>
      </c>
      <c r="C9" s="4" t="inlineStr">
        <is>
          <t>https://jeminise.com/products/christmas-bedding-quilt-soft-microfiber-holiday-bedspread</t>
        </is>
      </c>
      <c r="D9" s="3" t="inlineStr">
        <is>
          <t>christmas-bedding-quilt-soft-microfiber-holiday-bedspread</t>
        </is>
      </c>
      <c r="E9" s="3" t="inlineStr">
        <is>
          <t>8867157704903</t>
        </is>
      </c>
      <c r="F9" s="3" t="inlineStr">
        <is>
          <t>r2</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5</v>
      </c>
      <c r="O9" s="3" t="n">
        <v>5</v>
      </c>
      <c r="P9" s="3" t="b">
        <v>1</v>
      </c>
      <c r="Q9" s="8" t="n">
        <v>1</v>
      </c>
      <c r="R9" s="3">
        <f>COUNTIFS('QA_Issues'!$B$2:$B$49,B9,'QA_Issues'!$D$2:$D$49,"CRITICAL")</f>
        <v/>
      </c>
      <c r="S9" s="3">
        <f>COUNTIFS('QA_Issues'!$B$2:$B$49,B9,'QA_Issues'!$D$2:$D$49,"MAJOR")</f>
        <v/>
      </c>
      <c r="T9" s="3">
        <f>COUNTIFS('QA_Issues'!$B$2:$B$49,B9,'QA_Issues'!$D$2:$D$49,"MINOR")</f>
        <v/>
      </c>
      <c r="U9" s="3">
        <f>COUNTIFS('QA_Issues'!$B$2:$B$49,B9,'QA_Issues'!$D$2:$D$49,"LIMITATION")</f>
        <v/>
      </c>
      <c r="V9" s="3" t="inlineStr">
        <is>
          <t>["R2-ISS-028-DESC", "ISS-028-ENC", "R2-ISS-028-PERS"]</t>
        </is>
      </c>
      <c r="W9" s="3" t="inlineStr">
        <is>
          <t>["evidence_batch_003_028", "https://jeminise.com/products/christmas-bedding-quilt-soft-microfiber-holiday-bedspread", "serp_qa_028"]</t>
        </is>
      </c>
    </row>
    <row r="10" ht="42" customHeight="1">
      <c r="A10" s="2" t="n">
        <v>29</v>
      </c>
      <c r="B10" s="2" t="inlineStr">
        <is>
          <t>jeminise.com+christmas-cardinal-on-branch-within-patchwork-winter-quilt-892d70543a-892d70543a</t>
        </is>
      </c>
      <c r="C10" s="4" t="inlineStr">
        <is>
          <t>https://jeminise.com/products/christmas-cardinal-on-branch-within-patchwork-winter-quilt-892d70543a-892d70543a</t>
        </is>
      </c>
      <c r="D10" s="2" t="inlineStr">
        <is>
          <t>christmas-cardinal-on-branch-within-patchwork-winter-quilt-892d70543a-892d70543a</t>
        </is>
      </c>
      <c r="E10" s="2" t="inlineStr">
        <is>
          <t>8834708111559</t>
        </is>
      </c>
      <c r="F10" s="2" t="inlineStr">
        <is>
          <t>r2</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5</v>
      </c>
      <c r="O10" s="2" t="n">
        <v>5</v>
      </c>
      <c r="P10" s="2" t="b">
        <v>1</v>
      </c>
      <c r="Q10" s="6" t="n">
        <v>1</v>
      </c>
      <c r="R10" s="2">
        <f>COUNTIFS('QA_Issues'!$B$2:$B$49,B10,'QA_Issues'!$D$2:$D$49,"CRITICAL")</f>
        <v/>
      </c>
      <c r="S10" s="2">
        <f>COUNTIFS('QA_Issues'!$B$2:$B$49,B10,'QA_Issues'!$D$2:$D$49,"MAJOR")</f>
        <v/>
      </c>
      <c r="T10" s="2">
        <f>COUNTIFS('QA_Issues'!$B$2:$B$49,B10,'QA_Issues'!$D$2:$D$49,"MINOR")</f>
        <v/>
      </c>
      <c r="U10" s="2">
        <f>COUNTIFS('QA_Issues'!$B$2:$B$49,B10,'QA_Issues'!$D$2:$D$49,"LIMITATION")</f>
        <v/>
      </c>
      <c r="V10" s="2" t="inlineStr">
        <is>
          <t>["R2-ISS-029-IMG-02", "R2-ISS-029-IMG-04", "R2-ISS-029-DESC"]</t>
        </is>
      </c>
      <c r="W10" s="2" t="inlineStr">
        <is>
          <t>["evidence_batch_003_029", "https://jeminise.com/products/christmas-cardinal-on-branch-within-patchwork-winter-quilt-892d70543a-892d70543a", "serp_qa_029"]</t>
        </is>
      </c>
    </row>
    <row r="11" ht="42" customHeight="1">
      <c r="A11" s="3" t="n">
        <v>30</v>
      </c>
      <c r="B11" s="3" t="inlineStr">
        <is>
          <t>jeminise.com+christmas-cardinal-perched-on-branch-within-wreath-patchwork-winter-quilt-9e7c0b5896-9e7c0b5896</t>
        </is>
      </c>
      <c r="C11" s="4" t="inlineStr">
        <is>
          <t>https://jeminise.com/products/christmas-cardinal-perched-on-branch-within-wreath-patchwork-winter-quilt-9e7c0b5896-9e7c0b5896</t>
        </is>
      </c>
      <c r="D11" s="3" t="inlineStr">
        <is>
          <t>christmas-cardinal-perched-on-branch-within-wreath-patchwork-winter-quilt-9e7c0b5896-9e7c0b5896</t>
        </is>
      </c>
      <c r="E11" s="3" t="inlineStr">
        <is>
          <t>8834727805127</t>
        </is>
      </c>
      <c r="F11" s="3" t="inlineStr">
        <is>
          <t>r2</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5</v>
      </c>
      <c r="O11" s="3" t="n">
        <v>5</v>
      </c>
      <c r="P11" s="3" t="b">
        <v>1</v>
      </c>
      <c r="Q11" s="8" t="n">
        <v>1</v>
      </c>
      <c r="R11" s="3">
        <f>COUNTIFS('QA_Issues'!$B$2:$B$49,B11,'QA_Issues'!$D$2:$D$49,"CRITICAL")</f>
        <v/>
      </c>
      <c r="S11" s="3">
        <f>COUNTIFS('QA_Issues'!$B$2:$B$49,B11,'QA_Issues'!$D$2:$D$49,"MAJOR")</f>
        <v/>
      </c>
      <c r="T11" s="3">
        <f>COUNTIFS('QA_Issues'!$B$2:$B$49,B11,'QA_Issues'!$D$2:$D$49,"MINOR")</f>
        <v/>
      </c>
      <c r="U11" s="3">
        <f>COUNTIFS('QA_Issues'!$B$2:$B$49,B11,'QA_Issues'!$D$2:$D$49,"LIMITATION")</f>
        <v/>
      </c>
      <c r="V11" s="3" t="inlineStr">
        <is>
          <t>["R2-ISS-030-IMG-02", "R2-ISS-030-IMG-04", "R2-ISS-030-DESC", "R2-ISS-030-PERS"]</t>
        </is>
      </c>
      <c r="W11" s="3" t="inlineStr">
        <is>
          <t>["evidence_batch_003_030", "https://jeminise.com/products/christmas-cardinal-perched-on-branch-within-wreath-patchwork-winter-quilt-9e7c0b5896-9e7c0b5896", "serp_qa_030"]</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jeminise.com+christmas-bedding-quilt-soft-microfiber-holiday-bedsprea-design-05</t>
        </is>
      </c>
      <c r="B2" s="2" t="inlineStr">
        <is>
          <t>P1</t>
        </is>
      </c>
      <c r="C2" s="2" t="n">
        <v>15</v>
      </c>
      <c r="D2" s="2" t="inlineStr">
        <is>
          <t>FULL</t>
        </is>
      </c>
      <c r="E2" s="5">
        <f>IF(B2="I1",AVERAGEIF('QA_Images'!$A$2:$A$51,A2,'QA_Images'!$T$2:$T$51)/100,IF(D2="FULL",1,IF(D2="PARTIAL",0.5,IF(D2="FAIL",0,""))))</f>
        <v/>
      </c>
      <c r="F2" s="5">
        <f>IF(E2="",0,C2*E2)</f>
        <v/>
      </c>
      <c r="G2" s="5">
        <f>IF(B2="I1",20*AVERAGEIF('QA_Images'!$A$2:$A$51,A2,'QA_Images'!$U$2:$U$51)/100,IF(D2="NOT_CHECKED",0,C2))</f>
        <v/>
      </c>
      <c r="H2" s="2" t="inlineStr">
        <is>
          <t>Đối chiếu loại sản phẩm, thiết kế và màu với product JSON, H1 live và toàn bộ gallery.</t>
        </is>
      </c>
      <c r="I2" s="2" t="inlineStr">
        <is>
          <t>["evidence_batch_003_021", "https://jeminise.com/products/christmas-bedding-quilt-soft-microfiber-holiday-bedsprea-design-05", "serp_qa_021"]</t>
        </is>
      </c>
      <c r="J2" s="2" t="inlineStr">
        <is>
          <t>["R2-ISS-021-IMG-03", "R2-ISS-021-IMG-04", "R2-ISS-021-DESC", "ISS-021-ENC", "R2-ISS-021-PERS", "R2-ISS-021-SERP"]</t>
        </is>
      </c>
    </row>
    <row r="3" ht="42" customHeight="1">
      <c r="A3" s="3" t="inlineStr">
        <is>
          <t>jeminise.com+christmas-bedding-quilt-soft-microfiber-holiday-bedsprea-design-05</t>
        </is>
      </c>
      <c r="B3" s="3" t="inlineStr">
        <is>
          <t>P2</t>
        </is>
      </c>
      <c r="C3" s="3" t="n">
        <v>10</v>
      </c>
      <c r="D3" s="3" t="inlineStr">
        <is>
          <t>PARTIAL</t>
        </is>
      </c>
      <c r="E3" s="7">
        <f>IF(B3="I1",AVERAGEIF('QA_Images'!$A$2:$A$51,A3,'QA_Images'!$T$2:$T$51)/100,IF(D3="FULL",1,IF(D3="PARTIAL",0.5,IF(D3="FAIL",0,""))))</f>
        <v/>
      </c>
      <c r="F3" s="7">
        <f>IF(E3="",0,C3*E3)</f>
        <v/>
      </c>
      <c r="G3" s="7">
        <f>IF(B3="I1",20*AVERAGEIF('QA_Images'!$A$2:$A$51,A3,'QA_Images'!$U$2:$U$51)/100,IF(D3="NOT_CHECKED",0,C3))</f>
        <v/>
      </c>
      <c r="H3" s="3" t="inlineStr">
        <is>
          <t>Đối chiếu material, dimensions, components, variants và personalization với product.js live, body HTML và gallery.</t>
        </is>
      </c>
      <c r="I3" s="3" t="inlineStr">
        <is>
          <t>["evidence_batch_003_021", "https://jeminise.com/products/christmas-bedding-quilt-soft-microfiber-holiday-bedsprea-design-05", "serp_qa_021"]</t>
        </is>
      </c>
      <c r="J3" s="3" t="inlineStr">
        <is>
          <t>["R2-ISS-021-IMG-03", "R2-ISS-021-IMG-04", "R2-ISS-021-DESC", "ISS-021-ENC", "R2-ISS-021-PERS", "R2-ISS-021-SERP"]</t>
        </is>
      </c>
    </row>
    <row r="4" ht="42" customHeight="1">
      <c r="A4" s="2" t="inlineStr">
        <is>
          <t>jeminise.com+christmas-bedding-quilt-soft-microfiber-holiday-bedsprea-design-05</t>
        </is>
      </c>
      <c r="B4" s="2" t="inlineStr">
        <is>
          <t>K1</t>
        </is>
      </c>
      <c r="C4" s="2" t="n">
        <v>10</v>
      </c>
      <c r="D4" s="2" t="inlineStr">
        <is>
          <t>PARTIAL</t>
        </is>
      </c>
      <c r="E4" s="5">
        <f>IF(B4="I1",AVERAGEIF('QA_Images'!$A$2:$A$51,A4,'QA_Images'!$T$2:$T$51)/100,IF(D4="FULL",1,IF(D4="PARTIAL",0.5,IF(D4="FAIL",0,""))))</f>
        <v/>
      </c>
      <c r="F4" s="5">
        <f>IF(E4="",0,C4*E4)</f>
        <v/>
      </c>
      <c r="G4" s="5">
        <f>IF(B4="I1",20*AVERAGEIF('QA_Images'!$A$2:$A$51,A4,'QA_Images'!$U$2:$U$51)/100,IF(D4="NOT_CHECKED",0,C4))</f>
        <v/>
      </c>
      <c r="H4" s="2" t="inlineStr">
        <is>
          <t>Đối chiếu long-tail với thiết kế trực tiếp nhìn thấy và nguy cơ trùng intent trong cụm Christmas/cardinal.</t>
        </is>
      </c>
      <c r="I4" s="2" t="inlineStr">
        <is>
          <t>["evidence_batch_003_021", "https://jeminise.com/products/christmas-bedding-quilt-soft-microfiber-holiday-bedsprea-design-05", "serp_qa_021"]</t>
        </is>
      </c>
      <c r="J4" s="2" t="inlineStr">
        <is>
          <t>["R2-ISS-021-IMG-03", "R2-ISS-021-IMG-04", "R2-ISS-021-DESC", "ISS-021-ENC", "R2-ISS-021-PERS", "R2-ISS-021-SERP"]</t>
        </is>
      </c>
    </row>
    <row r="5" ht="42" customHeight="1">
      <c r="A5" s="3" t="inlineStr">
        <is>
          <t>jeminise.com+christmas-bedding-quilt-soft-microfiber-holiday-bedsprea-design-05</t>
        </is>
      </c>
      <c r="B5" s="3" t="inlineStr">
        <is>
          <t>K2</t>
        </is>
      </c>
      <c r="C5" s="3" t="n">
        <v>5</v>
      </c>
      <c r="D5" s="3" t="inlineStr">
        <is>
          <t>PARTIAL</t>
        </is>
      </c>
      <c r="E5" s="7">
        <f>IF(B5="I1",AVERAGEIF('QA_Images'!$A$2:$A$51,A5,'QA_Images'!$T$2:$T$51)/100,IF(D5="FULL",1,IF(D5="PARTIAL",0.5,IF(D5="FAIL",0,""))))</f>
        <v/>
      </c>
      <c r="F5" s="7">
        <f>IF(E5="",0,C5*E5)</f>
        <v/>
      </c>
      <c r="G5" s="7">
        <f>IF(B5="I1",20*AVERAGEIF('QA_Images'!$A$2:$A$51,A5,'QA_Images'!$U$2:$U$51)/100,IF(D5="NOT_CHECKED",0,C5))</f>
        <v/>
      </c>
      <c r="H5" s="3" t="inlineStr">
        <is>
          <t>Đã đọc lại primary và comparator SERP theo US intent; đánh giá product/kit/pattern result type.</t>
        </is>
      </c>
      <c r="I5" s="3" t="inlineStr">
        <is>
          <t>["evidence_batch_003_021", "https://jeminise.com/products/christmas-bedding-quilt-soft-microfiber-holiday-bedsprea-design-05", "serp_qa_021"]</t>
        </is>
      </c>
      <c r="J5" s="3" t="inlineStr">
        <is>
          <t>["R2-ISS-021-IMG-03", "R2-ISS-021-IMG-04", "R2-ISS-021-DESC", "ISS-021-ENC", "R2-ISS-021-PERS", "R2-ISS-021-SERP"]</t>
        </is>
      </c>
    </row>
    <row r="6" ht="42" customHeight="1">
      <c r="A6" s="2" t="inlineStr">
        <is>
          <t>jeminise.com+christmas-bedding-quilt-soft-microfiber-holiday-bedsprea-design-05</t>
        </is>
      </c>
      <c r="B6" s="2" t="inlineStr">
        <is>
          <t>K3</t>
        </is>
      </c>
      <c r="C6" s="2" t="n">
        <v>5</v>
      </c>
      <c r="D6" s="2" t="inlineStr">
        <is>
          <t>FULL</t>
        </is>
      </c>
      <c r="E6" s="5">
        <f>IF(B6="I1",AVERAGEIF('QA_Images'!$A$2:$A$51,A6,'QA_Images'!$T$2:$T$51)/100,IF(D6="FULL",1,IF(D6="PARTIAL",0.5,IF(D6="FAIL",0,""))))</f>
        <v/>
      </c>
      <c r="F6" s="5">
        <f>IF(E6="",0,C6*E6)</f>
        <v/>
      </c>
      <c r="G6" s="5">
        <f>IF(B6="I1",20*AVERAGEIF('QA_Images'!$A$2:$A$51,A6,'QA_Images'!$U$2:$U$51)/100,IF(D6="NOT_CHECKED",0,C6))</f>
        <v/>
      </c>
      <c r="H6" s="2" t="inlineStr">
        <is>
          <t>Không suy diễn volume; phân biệt SERP_ONLY và HYPOTHESIS_ONLY.</t>
        </is>
      </c>
      <c r="I6" s="2" t="inlineStr">
        <is>
          <t>["evidence_batch_003_021", "https://jeminise.com/products/christmas-bedding-quilt-soft-microfiber-holiday-bedsprea-design-05", "serp_qa_021"]</t>
        </is>
      </c>
      <c r="J6" s="2" t="inlineStr">
        <is>
          <t>["R2-ISS-021-IMG-03", "R2-ISS-021-IMG-04", "R2-ISS-021-DESC", "ISS-021-ENC", "R2-ISS-021-PERS", "R2-ISS-021-SERP"]</t>
        </is>
      </c>
    </row>
    <row r="7" ht="42" customHeight="1">
      <c r="A7" s="3" t="inlineStr">
        <is>
          <t>jeminise.com+christmas-bedding-quilt-soft-microfiber-holiday-bedsprea-design-05</t>
        </is>
      </c>
      <c r="B7" s="3" t="inlineStr">
        <is>
          <t>T1</t>
        </is>
      </c>
      <c r="C7" s="3" t="n">
        <v>10</v>
      </c>
      <c r="D7" s="3" t="inlineStr">
        <is>
          <t>FULL</t>
        </is>
      </c>
      <c r="E7" s="7">
        <f>IF(B7="I1",AVERAGEIF('QA_Images'!$A$2:$A$51,A7,'QA_Images'!$T$2:$T$51)/100,IF(D7="FULL",1,IF(D7="PARTIAL",0.5,IF(D7="FAIL",0,""))))</f>
        <v/>
      </c>
      <c r="F7" s="7">
        <f>IF(E7="",0,C7*E7)</f>
        <v/>
      </c>
      <c r="G7" s="7">
        <f>IF(B7="I1",20*AVERAGEIF('QA_Images'!$A$2:$A$51,A7,'QA_Images'!$U$2:$U$51)/100,IF(D7="NOT_CHECKED",0,C7))</f>
        <v/>
      </c>
      <c r="H7" s="3" t="inlineStr">
        <is>
          <t>Đánh giá SEO title English về độ đúng, tự nhiên, keyword và điểm phân biệt.</t>
        </is>
      </c>
      <c r="I7" s="3" t="inlineStr">
        <is>
          <t>["evidence_batch_003_021", "https://jeminise.com/products/christmas-bedding-quilt-soft-microfiber-holiday-bedsprea-design-05", "serp_qa_021"]</t>
        </is>
      </c>
      <c r="J7" s="3" t="inlineStr">
        <is>
          <t>["R2-ISS-021-IMG-03", "R2-ISS-021-IMG-04", "R2-ISS-021-DESC", "ISS-021-ENC", "R2-ISS-021-PERS", "R2-ISS-021-SERP"]</t>
        </is>
      </c>
    </row>
    <row r="8" ht="42" customHeight="1">
      <c r="A8" s="2" t="inlineStr">
        <is>
          <t>jeminise.com+christmas-bedding-quilt-soft-microfiber-holiday-bedsprea-design-05</t>
        </is>
      </c>
      <c r="B8" s="2" t="inlineStr">
        <is>
          <t>T2</t>
        </is>
      </c>
      <c r="C8" s="2" t="n">
        <v>5</v>
      </c>
      <c r="D8" s="2" t="inlineStr">
        <is>
          <t>FULL</t>
        </is>
      </c>
      <c r="E8" s="5">
        <f>IF(B8="I1",AVERAGEIF('QA_Images'!$A$2:$A$51,A8,'QA_Images'!$T$2:$T$51)/100,IF(D8="FULL",1,IF(D8="PARTIAL",0.5,IF(D8="FAIL",0,""))))</f>
        <v/>
      </c>
      <c r="F8" s="5">
        <f>IF(E8="",0,C8*E8)</f>
        <v/>
      </c>
      <c r="G8" s="5">
        <f>IF(B8="I1",20*AVERAGEIF('QA_Images'!$A$2:$A$51,A8,'QA_Images'!$U$2:$U$51)/100,IF(D8="NOT_CHECKED",0,C8))</f>
        <v/>
      </c>
      <c r="H8" s="2" t="inlineStr">
        <is>
          <t>Đánh giá H1 đề xuất độc lập với SEO title và đối chiếu lỗi ký tự nguồn.</t>
        </is>
      </c>
      <c r="I8" s="2" t="inlineStr">
        <is>
          <t>["evidence_batch_003_021", "https://jeminise.com/products/christmas-bedding-quilt-soft-microfiber-holiday-bedsprea-design-05", "serp_qa_021"]</t>
        </is>
      </c>
      <c r="J8" s="2" t="inlineStr">
        <is>
          <t>["R2-ISS-021-IMG-03", "R2-ISS-021-IMG-04", "R2-ISS-021-DESC", "ISS-021-ENC", "R2-ISS-021-PERS", "R2-ISS-021-SERP"]</t>
        </is>
      </c>
    </row>
    <row r="9" ht="42" customHeight="1">
      <c r="A9" s="3" t="inlineStr">
        <is>
          <t>jeminise.com+christmas-bedding-quilt-soft-microfiber-holiday-bedsprea-design-05</t>
        </is>
      </c>
      <c r="B9" s="3" t="inlineStr">
        <is>
          <t>D1</t>
        </is>
      </c>
      <c r="C9" s="3" t="n">
        <v>5</v>
      </c>
      <c r="D9" s="3" t="inlineStr">
        <is>
          <t>PARTIAL</t>
        </is>
      </c>
      <c r="E9" s="7">
        <f>IF(B9="I1",AVERAGEIF('QA_Images'!$A$2:$A$51,A9,'QA_Images'!$T$2:$T$51)/100,IF(D9="FULL",1,IF(D9="PARTIAL",0.5,IF(D9="FAIL",0,""))))</f>
        <v/>
      </c>
      <c r="F9" s="7">
        <f>IF(E9="",0,C9*E9)</f>
        <v/>
      </c>
      <c r="G9" s="7">
        <f>IF(B9="I1",20*AVERAGEIF('QA_Images'!$A$2:$A$51,A9,'QA_Images'!$U$2:$U$51)/100,IF(D9="NOT_CHECKED",0,C9))</f>
        <v/>
      </c>
      <c r="H9" s="3" t="inlineStr">
        <is>
          <t>Đánh giá meta description về tính cụ thể và căn cứ claim.</t>
        </is>
      </c>
      <c r="I9" s="3" t="inlineStr">
        <is>
          <t>["evidence_batch_003_021", "https://jeminise.com/products/christmas-bedding-quilt-soft-microfiber-holiday-bedsprea-design-05", "serp_qa_021"]</t>
        </is>
      </c>
      <c r="J9" s="3" t="inlineStr">
        <is>
          <t>["R2-ISS-021-IMG-03", "R2-ISS-021-IMG-04", "R2-ISS-021-DESC", "ISS-021-ENC", "R2-ISS-021-PERS", "R2-ISS-021-SERP"]</t>
        </is>
      </c>
    </row>
    <row r="10" ht="42" customHeight="1">
      <c r="A10" s="2" t="inlineStr">
        <is>
          <t>jeminise.com+christmas-bedding-quilt-soft-microfiber-holiday-bedsprea-design-05</t>
        </is>
      </c>
      <c r="B10" s="2" t="inlineStr">
        <is>
          <t>D2</t>
        </is>
      </c>
      <c r="C10" s="2" t="n">
        <v>10</v>
      </c>
      <c r="D10" s="2" t="inlineStr">
        <is>
          <t>PARTIAL</t>
        </is>
      </c>
      <c r="E10" s="5">
        <f>IF(B10="I1",AVERAGEIF('QA_Images'!$A$2:$A$51,A10,'QA_Images'!$T$2:$T$51)/100,IF(D10="FULL",1,IF(D10="PARTIAL",0.5,IF(D10="FAIL",0,""))))</f>
        <v/>
      </c>
      <c r="F10" s="5">
        <f>IF(E10="",0,C10*E10)</f>
        <v/>
      </c>
      <c r="G10" s="5">
        <f>IF(B10="I1",20*AVERAGEIF('QA_Images'!$A$2:$A$51,A10,'QA_Images'!$U$2:$U$51)/100,IF(D10="NOT_CHECKED",0,C10))</f>
        <v/>
      </c>
      <c r="H10" s="2" t="inlineStr">
        <is>
          <t>Description SET có HTML đầy đủ nhưng chứa câu nội bộ 'This draft should be reviewed...' và dữ liệu nguồn thô/mâu thuẫn; chưa phải nội dung publish-ready.</t>
        </is>
      </c>
      <c r="I10" s="2" t="inlineStr">
        <is>
          <t>["evidence_batch_003_021", "https://jeminise.com/products/christmas-bedding-quilt-soft-microfiber-holiday-bedsprea-design-05", "serp_qa_021"]</t>
        </is>
      </c>
      <c r="J10" s="2" t="inlineStr">
        <is>
          <t>["R2-ISS-021-IMG-03", "R2-ISS-021-IMG-04", "R2-ISS-021-DESC", "ISS-021-ENC", "R2-ISS-021-PERS", "R2-ISS-021-SERP"]</t>
        </is>
      </c>
    </row>
    <row r="11" ht="42" customHeight="1">
      <c r="A11" s="3" t="inlineStr">
        <is>
          <t>jeminise.com+christmas-bedding-quilt-soft-microfiber-holiday-bedsprea-design-05</t>
        </is>
      </c>
      <c r="B11" s="3" t="inlineStr">
        <is>
          <t>I1</t>
        </is>
      </c>
      <c r="C11" s="3" t="n">
        <v>20</v>
      </c>
      <c r="D11" s="3" t="inlineStr">
        <is>
          <t>DERIVED</t>
        </is>
      </c>
      <c r="E11" s="7">
        <f>IF(B11="I1",AVERAGEIF('QA_Images'!$A$2:$A$51,A11,'QA_Images'!$T$2:$T$51)/100,IF(D11="FULL",1,IF(D11="PARTIAL",0.5,IF(D11="FAIL",0,""))))</f>
        <v/>
      </c>
      <c r="F11" s="7">
        <f>IF(E11="",0,C11*E11)</f>
        <v/>
      </c>
      <c r="G11" s="7">
        <f>IF(B11="I1",20*AVERAGEIF('QA_Images'!$A$2:$A$51,A11,'QA_Images'!$U$2:$U$51)/100,IF(D11="NOT_CHECKED",0,C11))</f>
        <v/>
      </c>
      <c r="H11" s="3" t="inlineStr">
        <is>
          <t>Tính từ trung bình 5 ảnh: 80.0000/100.</t>
        </is>
      </c>
      <c r="I11" s="3" t="inlineStr">
        <is>
          <t>["evidence_batch_003_021", "https://jeminise.com/products/christmas-bedding-quilt-soft-microfiber-holiday-bedsprea-design-05", "serp_qa_021"]</t>
        </is>
      </c>
      <c r="J11" s="3" t="inlineStr">
        <is>
          <t>["R2-ISS-021-IMG-03", "R2-ISS-021-IMG-04", "R2-ISS-021-DESC", "ISS-021-ENC", "R2-ISS-021-PERS", "R2-ISS-021-SERP"]</t>
        </is>
      </c>
    </row>
    <row r="12" ht="42" customHeight="1">
      <c r="A12" s="2" t="inlineStr">
        <is>
          <t>jeminise.com+christmas-bedding-quilt-soft-microfiber-holiday-bedsprea-design-05</t>
        </is>
      </c>
      <c r="B12" s="2" t="inlineStr">
        <is>
          <t>E1</t>
        </is>
      </c>
      <c r="C12" s="2" t="n">
        <v>5</v>
      </c>
      <c r="D12" s="2" t="inlineStr">
        <is>
          <t>FULL</t>
        </is>
      </c>
      <c r="E12" s="5">
        <f>IF(B12="I1",AVERAGEIF('QA_Images'!$A$2:$A$51,A12,'QA_Images'!$T$2:$T$51)/100,IF(D12="FULL",1,IF(D12="PARTIAL",0.5,IF(D12="FAIL",0,""))))</f>
        <v/>
      </c>
      <c r="F12" s="5">
        <f>IF(E12="",0,C12*E12)</f>
        <v/>
      </c>
      <c r="G12" s="5">
        <f>IF(B12="I1",20*AVERAGEIF('QA_Images'!$A$2:$A$51,A12,'QA_Images'!$U$2:$U$51)/100,IF(D12="NOT_CHECKED",0,C12))</f>
        <v/>
      </c>
      <c r="H12" s="2" t="inlineStr">
        <is>
          <t>Kiểm tra liên kết product key/handle/evidence/revision giữa workbook, snapshot và nguồn live.</t>
        </is>
      </c>
      <c r="I12" s="2" t="inlineStr">
        <is>
          <t>["evidence_batch_003_021", "https://jeminise.com/products/christmas-bedding-quilt-soft-microfiber-holiday-bedsprea-design-05", "serp_qa_021"]</t>
        </is>
      </c>
      <c r="J12" s="2" t="inlineStr">
        <is>
          <t>["R2-ISS-021-IMG-03", "R2-ISS-021-IMG-04", "R2-ISS-021-DESC", "ISS-021-ENC", "R2-ISS-021-PERS", "R2-ISS-021-SERP"]</t>
        </is>
      </c>
    </row>
    <row r="13" ht="42" customHeight="1">
      <c r="A13" s="3" t="inlineStr">
        <is>
          <t>jeminise.com+christmas-bedding-quilt-soft-microfiber-holiday-bedsprea-design-06</t>
        </is>
      </c>
      <c r="B13" s="3" t="inlineStr">
        <is>
          <t>P1</t>
        </is>
      </c>
      <c r="C13" s="3" t="n">
        <v>15</v>
      </c>
      <c r="D13" s="3" t="inlineStr">
        <is>
          <t>FULL</t>
        </is>
      </c>
      <c r="E13" s="7">
        <f>IF(B13="I1",AVERAGEIF('QA_Images'!$A$2:$A$51,A13,'QA_Images'!$T$2:$T$51)/100,IF(D13="FULL",1,IF(D13="PARTIAL",0.5,IF(D13="FAIL",0,""))))</f>
        <v/>
      </c>
      <c r="F13" s="7">
        <f>IF(E13="",0,C13*E13)</f>
        <v/>
      </c>
      <c r="G13" s="7">
        <f>IF(B13="I1",20*AVERAGEIF('QA_Images'!$A$2:$A$51,A13,'QA_Images'!$U$2:$U$51)/100,IF(D13="NOT_CHECKED",0,C13))</f>
        <v/>
      </c>
      <c r="H13" s="3" t="inlineStr">
        <is>
          <t>Đối chiếu loại sản phẩm, thiết kế và màu với product JSON, H1 live và toàn bộ gallery.</t>
        </is>
      </c>
      <c r="I13" s="3" t="inlineStr">
        <is>
          <t>["evidence_batch_003_022", "https://jeminise.com/products/christmas-bedding-quilt-soft-microfiber-holiday-bedsprea-design-06", "serp_qa_022"]</t>
        </is>
      </c>
      <c r="J13" s="3" t="inlineStr">
        <is>
          <t>["R2-ISS-022-DESC", "ISS-022-ENC", "R2-ISS-022-PERS"]</t>
        </is>
      </c>
    </row>
    <row r="14" ht="42" customHeight="1">
      <c r="A14" s="2" t="inlineStr">
        <is>
          <t>jeminise.com+christmas-bedding-quilt-soft-microfiber-holiday-bedsprea-design-06</t>
        </is>
      </c>
      <c r="B14" s="2" t="inlineStr">
        <is>
          <t>P2</t>
        </is>
      </c>
      <c r="C14" s="2" t="n">
        <v>10</v>
      </c>
      <c r="D14" s="2" t="inlineStr">
        <is>
          <t>PARTIAL</t>
        </is>
      </c>
      <c r="E14" s="5">
        <f>IF(B14="I1",AVERAGEIF('QA_Images'!$A$2:$A$51,A14,'QA_Images'!$T$2:$T$51)/100,IF(D14="FULL",1,IF(D14="PARTIAL",0.5,IF(D14="FAIL",0,""))))</f>
        <v/>
      </c>
      <c r="F14" s="5">
        <f>IF(E14="",0,C14*E14)</f>
        <v/>
      </c>
      <c r="G14" s="5">
        <f>IF(B14="I1",20*AVERAGEIF('QA_Images'!$A$2:$A$51,A14,'QA_Images'!$U$2:$U$51)/100,IF(D14="NOT_CHECKED",0,C14))</f>
        <v/>
      </c>
      <c r="H14" s="2" t="inlineStr">
        <is>
          <t>Đối chiếu material, dimensions, components, variants và personalization với product.js live, body HTML và gallery.</t>
        </is>
      </c>
      <c r="I14" s="2" t="inlineStr">
        <is>
          <t>["evidence_batch_003_022", "https://jeminise.com/products/christmas-bedding-quilt-soft-microfiber-holiday-bedsprea-design-06", "serp_qa_022"]</t>
        </is>
      </c>
      <c r="J14" s="2" t="inlineStr">
        <is>
          <t>["R2-ISS-022-DESC", "ISS-022-ENC", "R2-ISS-022-PERS"]</t>
        </is>
      </c>
    </row>
    <row r="15" ht="42" customHeight="1">
      <c r="A15" s="3" t="inlineStr">
        <is>
          <t>jeminise.com+christmas-bedding-quilt-soft-microfiber-holiday-bedsprea-design-06</t>
        </is>
      </c>
      <c r="B15" s="3" t="inlineStr">
        <is>
          <t>K1</t>
        </is>
      </c>
      <c r="C15" s="3" t="n">
        <v>10</v>
      </c>
      <c r="D15" s="3" t="inlineStr">
        <is>
          <t>FULL</t>
        </is>
      </c>
      <c r="E15" s="7">
        <f>IF(B15="I1",AVERAGEIF('QA_Images'!$A$2:$A$51,A15,'QA_Images'!$T$2:$T$51)/100,IF(D15="FULL",1,IF(D15="PARTIAL",0.5,IF(D15="FAIL",0,""))))</f>
        <v/>
      </c>
      <c r="F15" s="7">
        <f>IF(E15="",0,C15*E15)</f>
        <v/>
      </c>
      <c r="G15" s="7">
        <f>IF(B15="I1",20*AVERAGEIF('QA_Images'!$A$2:$A$51,A15,'QA_Images'!$U$2:$U$51)/100,IF(D15="NOT_CHECKED",0,C15))</f>
        <v/>
      </c>
      <c r="H15" s="3" t="inlineStr">
        <is>
          <t>Đối chiếu long-tail với thiết kế trực tiếp nhìn thấy và nguy cơ trùng intent trong cụm Christmas/cardinal.</t>
        </is>
      </c>
      <c r="I15" s="3" t="inlineStr">
        <is>
          <t>["evidence_batch_003_022", "https://jeminise.com/products/christmas-bedding-quilt-soft-microfiber-holiday-bedsprea-design-06", "serp_qa_022"]</t>
        </is>
      </c>
      <c r="J15" s="3" t="inlineStr">
        <is>
          <t>["R2-ISS-022-DESC", "ISS-022-ENC", "R2-ISS-022-PERS"]</t>
        </is>
      </c>
    </row>
    <row r="16" ht="42" customHeight="1">
      <c r="A16" s="2" t="inlineStr">
        <is>
          <t>jeminise.com+christmas-bedding-quilt-soft-microfiber-holiday-bedsprea-design-06</t>
        </is>
      </c>
      <c r="B16" s="2" t="inlineStr">
        <is>
          <t>K2</t>
        </is>
      </c>
      <c r="C16" s="2" t="n">
        <v>5</v>
      </c>
      <c r="D16" s="2" t="inlineStr">
        <is>
          <t>FULL</t>
        </is>
      </c>
      <c r="E16" s="5">
        <f>IF(B16="I1",AVERAGEIF('QA_Images'!$A$2:$A$51,A16,'QA_Images'!$T$2:$T$51)/100,IF(D16="FULL",1,IF(D16="PARTIAL",0.5,IF(D16="FAIL",0,""))))</f>
        <v/>
      </c>
      <c r="F16" s="5">
        <f>IF(E16="",0,C16*E16)</f>
        <v/>
      </c>
      <c r="G16" s="5">
        <f>IF(B16="I1",20*AVERAGEIF('QA_Images'!$A$2:$A$51,A16,'QA_Images'!$U$2:$U$51)/100,IF(D16="NOT_CHECKED",0,C16))</f>
        <v/>
      </c>
      <c r="H16" s="2" t="inlineStr">
        <is>
          <t>Đã đọc lại primary và comparator SERP theo US intent; đánh giá product/kit/pattern result type.</t>
        </is>
      </c>
      <c r="I16" s="2" t="inlineStr">
        <is>
          <t>["evidence_batch_003_022", "https://jeminise.com/products/christmas-bedding-quilt-soft-microfiber-holiday-bedsprea-design-06", "serp_qa_022"]</t>
        </is>
      </c>
      <c r="J16" s="2" t="inlineStr">
        <is>
          <t>["R2-ISS-022-DESC", "ISS-022-ENC", "R2-ISS-022-PERS"]</t>
        </is>
      </c>
    </row>
    <row r="17" ht="42" customHeight="1">
      <c r="A17" s="3" t="inlineStr">
        <is>
          <t>jeminise.com+christmas-bedding-quilt-soft-microfiber-holiday-bedsprea-design-06</t>
        </is>
      </c>
      <c r="B17" s="3" t="inlineStr">
        <is>
          <t>K3</t>
        </is>
      </c>
      <c r="C17" s="3" t="n">
        <v>5</v>
      </c>
      <c r="D17" s="3" t="inlineStr">
        <is>
          <t>FULL</t>
        </is>
      </c>
      <c r="E17" s="7">
        <f>IF(B17="I1",AVERAGEIF('QA_Images'!$A$2:$A$51,A17,'QA_Images'!$T$2:$T$51)/100,IF(D17="FULL",1,IF(D17="PARTIAL",0.5,IF(D17="FAIL",0,""))))</f>
        <v/>
      </c>
      <c r="F17" s="7">
        <f>IF(E17="",0,C17*E17)</f>
        <v/>
      </c>
      <c r="G17" s="7">
        <f>IF(B17="I1",20*AVERAGEIF('QA_Images'!$A$2:$A$51,A17,'QA_Images'!$U$2:$U$51)/100,IF(D17="NOT_CHECKED",0,C17))</f>
        <v/>
      </c>
      <c r="H17" s="3" t="inlineStr">
        <is>
          <t>Không suy diễn volume; phân biệt SERP_ONLY và HYPOTHESIS_ONLY.</t>
        </is>
      </c>
      <c r="I17" s="3" t="inlineStr">
        <is>
          <t>["evidence_batch_003_022", "https://jeminise.com/products/christmas-bedding-quilt-soft-microfiber-holiday-bedsprea-design-06", "serp_qa_022"]</t>
        </is>
      </c>
      <c r="J17" s="3" t="inlineStr">
        <is>
          <t>["R2-ISS-022-DESC", "ISS-022-ENC", "R2-ISS-022-PERS"]</t>
        </is>
      </c>
    </row>
    <row r="18" ht="42" customHeight="1">
      <c r="A18" s="2" t="inlineStr">
        <is>
          <t>jeminise.com+christmas-bedding-quilt-soft-microfiber-holiday-bedsprea-design-06</t>
        </is>
      </c>
      <c r="B18" s="2" t="inlineStr">
        <is>
          <t>T1</t>
        </is>
      </c>
      <c r="C18" s="2" t="n">
        <v>10</v>
      </c>
      <c r="D18" s="2" t="inlineStr">
        <is>
          <t>FULL</t>
        </is>
      </c>
      <c r="E18" s="5">
        <f>IF(B18="I1",AVERAGEIF('QA_Images'!$A$2:$A$51,A18,'QA_Images'!$T$2:$T$51)/100,IF(D18="FULL",1,IF(D18="PARTIAL",0.5,IF(D18="FAIL",0,""))))</f>
        <v/>
      </c>
      <c r="F18" s="5">
        <f>IF(E18="",0,C18*E18)</f>
        <v/>
      </c>
      <c r="G18" s="5">
        <f>IF(B18="I1",20*AVERAGEIF('QA_Images'!$A$2:$A$51,A18,'QA_Images'!$U$2:$U$51)/100,IF(D18="NOT_CHECKED",0,C18))</f>
        <v/>
      </c>
      <c r="H18" s="2" t="inlineStr">
        <is>
          <t>Đánh giá SEO title English về độ đúng, tự nhiên, keyword và điểm phân biệt.</t>
        </is>
      </c>
      <c r="I18" s="2" t="inlineStr">
        <is>
          <t>["evidence_batch_003_022", "https://jeminise.com/products/christmas-bedding-quilt-soft-microfiber-holiday-bedsprea-design-06", "serp_qa_022"]</t>
        </is>
      </c>
      <c r="J18" s="2" t="inlineStr">
        <is>
          <t>["R2-ISS-022-DESC", "ISS-022-ENC", "R2-ISS-022-PERS"]</t>
        </is>
      </c>
    </row>
    <row r="19" ht="42" customHeight="1">
      <c r="A19" s="3" t="inlineStr">
        <is>
          <t>jeminise.com+christmas-bedding-quilt-soft-microfiber-holiday-bedsprea-design-06</t>
        </is>
      </c>
      <c r="B19" s="3" t="inlineStr">
        <is>
          <t>T2</t>
        </is>
      </c>
      <c r="C19" s="3" t="n">
        <v>5</v>
      </c>
      <c r="D19" s="3" t="inlineStr">
        <is>
          <t>FULL</t>
        </is>
      </c>
      <c r="E19" s="7">
        <f>IF(B19="I1",AVERAGEIF('QA_Images'!$A$2:$A$51,A19,'QA_Images'!$T$2:$T$51)/100,IF(D19="FULL",1,IF(D19="PARTIAL",0.5,IF(D19="FAIL",0,""))))</f>
        <v/>
      </c>
      <c r="F19" s="7">
        <f>IF(E19="",0,C19*E19)</f>
        <v/>
      </c>
      <c r="G19" s="7">
        <f>IF(B19="I1",20*AVERAGEIF('QA_Images'!$A$2:$A$51,A19,'QA_Images'!$U$2:$U$51)/100,IF(D19="NOT_CHECKED",0,C19))</f>
        <v/>
      </c>
      <c r="H19" s="3" t="inlineStr">
        <is>
          <t>Đánh giá H1 đề xuất độc lập với SEO title và đối chiếu lỗi ký tự nguồn.</t>
        </is>
      </c>
      <c r="I19" s="3" t="inlineStr">
        <is>
          <t>["evidence_batch_003_022", "https://jeminise.com/products/christmas-bedding-quilt-soft-microfiber-holiday-bedsprea-design-06", "serp_qa_022"]</t>
        </is>
      </c>
      <c r="J19" s="3" t="inlineStr">
        <is>
          <t>["R2-ISS-022-DESC", "ISS-022-ENC", "R2-ISS-022-PERS"]</t>
        </is>
      </c>
    </row>
    <row r="20" ht="42" customHeight="1">
      <c r="A20" s="2" t="inlineStr">
        <is>
          <t>jeminise.com+christmas-bedding-quilt-soft-microfiber-holiday-bedsprea-design-06</t>
        </is>
      </c>
      <c r="B20" s="2" t="inlineStr">
        <is>
          <t>D1</t>
        </is>
      </c>
      <c r="C20" s="2" t="n">
        <v>5</v>
      </c>
      <c r="D20" s="2" t="inlineStr">
        <is>
          <t>PARTIAL</t>
        </is>
      </c>
      <c r="E20" s="5">
        <f>IF(B20="I1",AVERAGEIF('QA_Images'!$A$2:$A$51,A20,'QA_Images'!$T$2:$T$51)/100,IF(D20="FULL",1,IF(D20="PARTIAL",0.5,IF(D20="FAIL",0,""))))</f>
        <v/>
      </c>
      <c r="F20" s="5">
        <f>IF(E20="",0,C20*E20)</f>
        <v/>
      </c>
      <c r="G20" s="5">
        <f>IF(B20="I1",20*AVERAGEIF('QA_Images'!$A$2:$A$51,A20,'QA_Images'!$U$2:$U$51)/100,IF(D20="NOT_CHECKED",0,C20))</f>
        <v/>
      </c>
      <c r="H20" s="2" t="inlineStr">
        <is>
          <t>Đánh giá meta description về tính cụ thể và căn cứ claim.</t>
        </is>
      </c>
      <c r="I20" s="2" t="inlineStr">
        <is>
          <t>["evidence_batch_003_022", "https://jeminise.com/products/christmas-bedding-quilt-soft-microfiber-holiday-bedsprea-design-06", "serp_qa_022"]</t>
        </is>
      </c>
      <c r="J20" s="2" t="inlineStr">
        <is>
          <t>["R2-ISS-022-DESC", "ISS-022-ENC", "R2-ISS-022-PERS"]</t>
        </is>
      </c>
    </row>
    <row r="21" ht="42" customHeight="1">
      <c r="A21" s="3" t="inlineStr">
        <is>
          <t>jeminise.com+christmas-bedding-quilt-soft-microfiber-holiday-bedsprea-design-06</t>
        </is>
      </c>
      <c r="B21" s="3" t="inlineStr">
        <is>
          <t>D2</t>
        </is>
      </c>
      <c r="C21" s="3" t="n">
        <v>10</v>
      </c>
      <c r="D21" s="3" t="inlineStr">
        <is>
          <t>PARTIAL</t>
        </is>
      </c>
      <c r="E21" s="7">
        <f>IF(B21="I1",AVERAGEIF('QA_Images'!$A$2:$A$51,A21,'QA_Images'!$T$2:$T$51)/100,IF(D21="FULL",1,IF(D21="PARTIAL",0.5,IF(D21="FAIL",0,""))))</f>
        <v/>
      </c>
      <c r="F21" s="7">
        <f>IF(E21="",0,C21*E21)</f>
        <v/>
      </c>
      <c r="G21" s="7">
        <f>IF(B21="I1",20*AVERAGEIF('QA_Images'!$A$2:$A$51,A21,'QA_Images'!$U$2:$U$51)/100,IF(D21="NOT_CHECKED",0,C21))</f>
        <v/>
      </c>
      <c r="H21" s="3" t="inlineStr">
        <is>
          <t>Description SET có HTML đầy đủ nhưng chứa câu nội bộ 'This draft should be reviewed...' và dữ liệu nguồn thô/mâu thuẫn; chưa phải nội dung publish-ready.</t>
        </is>
      </c>
      <c r="I21" s="3" t="inlineStr">
        <is>
          <t>["evidence_batch_003_022", "https://jeminise.com/products/christmas-bedding-quilt-soft-microfiber-holiday-bedsprea-design-06", "serp_qa_022"]</t>
        </is>
      </c>
      <c r="J21" s="3" t="inlineStr">
        <is>
          <t>["R2-ISS-022-DESC", "ISS-022-ENC", "R2-ISS-022-PERS"]</t>
        </is>
      </c>
    </row>
    <row r="22" ht="42" customHeight="1">
      <c r="A22" s="2" t="inlineStr">
        <is>
          <t>jeminise.com+christmas-bedding-quilt-soft-microfiber-holiday-bedsprea-design-06</t>
        </is>
      </c>
      <c r="B22" s="2" t="inlineStr">
        <is>
          <t>I1</t>
        </is>
      </c>
      <c r="C22" s="2" t="n">
        <v>20</v>
      </c>
      <c r="D22" s="2" t="inlineStr">
        <is>
          <t>DERIVED</t>
        </is>
      </c>
      <c r="E22" s="5">
        <f>IF(B22="I1",AVERAGEIF('QA_Images'!$A$2:$A$51,A22,'QA_Images'!$T$2:$T$51)/100,IF(D22="FULL",1,IF(D22="PARTIAL",0.5,IF(D22="FAIL",0,""))))</f>
        <v/>
      </c>
      <c r="F22" s="5">
        <f>IF(E22="",0,C22*E22)</f>
        <v/>
      </c>
      <c r="G22" s="5">
        <f>IF(B22="I1",20*AVERAGEIF('QA_Images'!$A$2:$A$51,A22,'QA_Images'!$U$2:$U$51)/100,IF(D22="NOT_CHECKED",0,C22))</f>
        <v/>
      </c>
      <c r="H22" s="2" t="inlineStr">
        <is>
          <t>Tính từ trung bình 5 ảnh: 100.0000/100.</t>
        </is>
      </c>
      <c r="I22" s="2" t="inlineStr">
        <is>
          <t>["evidence_batch_003_022", "https://jeminise.com/products/christmas-bedding-quilt-soft-microfiber-holiday-bedsprea-design-06", "serp_qa_022"]</t>
        </is>
      </c>
      <c r="J22" s="2" t="inlineStr">
        <is>
          <t>["R2-ISS-022-DESC", "ISS-022-ENC", "R2-ISS-022-PERS"]</t>
        </is>
      </c>
    </row>
    <row r="23" ht="42" customHeight="1">
      <c r="A23" s="3" t="inlineStr">
        <is>
          <t>jeminise.com+christmas-bedding-quilt-soft-microfiber-holiday-bedsprea-design-06</t>
        </is>
      </c>
      <c r="B23" s="3" t="inlineStr">
        <is>
          <t>E1</t>
        </is>
      </c>
      <c r="C23" s="3" t="n">
        <v>5</v>
      </c>
      <c r="D23" s="3" t="inlineStr">
        <is>
          <t>FULL</t>
        </is>
      </c>
      <c r="E23" s="7">
        <f>IF(B23="I1",AVERAGEIF('QA_Images'!$A$2:$A$51,A23,'QA_Images'!$T$2:$T$51)/100,IF(D23="FULL",1,IF(D23="PARTIAL",0.5,IF(D23="FAIL",0,""))))</f>
        <v/>
      </c>
      <c r="F23" s="7">
        <f>IF(E23="",0,C23*E23)</f>
        <v/>
      </c>
      <c r="G23" s="7">
        <f>IF(B23="I1",20*AVERAGEIF('QA_Images'!$A$2:$A$51,A23,'QA_Images'!$U$2:$U$51)/100,IF(D23="NOT_CHECKED",0,C23))</f>
        <v/>
      </c>
      <c r="H23" s="3" t="inlineStr">
        <is>
          <t>Kiểm tra liên kết product key/handle/evidence/revision giữa workbook, snapshot và nguồn live.</t>
        </is>
      </c>
      <c r="I23" s="3" t="inlineStr">
        <is>
          <t>["evidence_batch_003_022", "https://jeminise.com/products/christmas-bedding-quilt-soft-microfiber-holiday-bedsprea-design-06", "serp_qa_022"]</t>
        </is>
      </c>
      <c r="J23" s="3" t="inlineStr">
        <is>
          <t>["R2-ISS-022-DESC", "ISS-022-ENC", "R2-ISS-022-PERS"]</t>
        </is>
      </c>
    </row>
    <row r="24" ht="42" customHeight="1">
      <c r="A24" s="2" t="inlineStr">
        <is>
          <t>jeminise.com+christmas-bedding-quilt-soft-microfiber-holiday-bedsprea-design-08</t>
        </is>
      </c>
      <c r="B24" s="2" t="inlineStr">
        <is>
          <t>P1</t>
        </is>
      </c>
      <c r="C24" s="2" t="n">
        <v>15</v>
      </c>
      <c r="D24" s="2" t="inlineStr">
        <is>
          <t>FULL</t>
        </is>
      </c>
      <c r="E24" s="5">
        <f>IF(B24="I1",AVERAGEIF('QA_Images'!$A$2:$A$51,A24,'QA_Images'!$T$2:$T$51)/100,IF(D24="FULL",1,IF(D24="PARTIAL",0.5,IF(D24="FAIL",0,""))))</f>
        <v/>
      </c>
      <c r="F24" s="5">
        <f>IF(E24="",0,C24*E24)</f>
        <v/>
      </c>
      <c r="G24" s="5">
        <f>IF(B24="I1",20*AVERAGEIF('QA_Images'!$A$2:$A$51,A24,'QA_Images'!$U$2:$U$51)/100,IF(D24="NOT_CHECKED",0,C24))</f>
        <v/>
      </c>
      <c r="H24" s="2" t="inlineStr">
        <is>
          <t>Đối chiếu loại sản phẩm, thiết kế và màu với product JSON, H1 live và toàn bộ gallery.</t>
        </is>
      </c>
      <c r="I24" s="2" t="inlineStr">
        <is>
          <t>["evidence_batch_003_023", "https://jeminise.com/products/christmas-bedding-quilt-soft-microfiber-holiday-bedsprea-design-08", "serp_qa_023"]</t>
        </is>
      </c>
      <c r="J24" s="2" t="inlineStr">
        <is>
          <t>["R2-ISS-023-DESC", "ISS-023-ENC", "R2-ISS-023-PERS", "R2-ISS-023-SERP"]</t>
        </is>
      </c>
    </row>
    <row r="25" ht="42" customHeight="1">
      <c r="A25" s="3" t="inlineStr">
        <is>
          <t>jeminise.com+christmas-bedding-quilt-soft-microfiber-holiday-bedsprea-design-08</t>
        </is>
      </c>
      <c r="B25" s="3" t="inlineStr">
        <is>
          <t>P2</t>
        </is>
      </c>
      <c r="C25" s="3" t="n">
        <v>10</v>
      </c>
      <c r="D25" s="3" t="inlineStr">
        <is>
          <t>PARTIAL</t>
        </is>
      </c>
      <c r="E25" s="7">
        <f>IF(B25="I1",AVERAGEIF('QA_Images'!$A$2:$A$51,A25,'QA_Images'!$T$2:$T$51)/100,IF(D25="FULL",1,IF(D25="PARTIAL",0.5,IF(D25="FAIL",0,""))))</f>
        <v/>
      </c>
      <c r="F25" s="7">
        <f>IF(E25="",0,C25*E25)</f>
        <v/>
      </c>
      <c r="G25" s="7">
        <f>IF(B25="I1",20*AVERAGEIF('QA_Images'!$A$2:$A$51,A25,'QA_Images'!$U$2:$U$51)/100,IF(D25="NOT_CHECKED",0,C25))</f>
        <v/>
      </c>
      <c r="H25" s="3" t="inlineStr">
        <is>
          <t>Đối chiếu material, dimensions, components, variants và personalization với product.js live, body HTML và gallery.</t>
        </is>
      </c>
      <c r="I25" s="3" t="inlineStr">
        <is>
          <t>["evidence_batch_003_023", "https://jeminise.com/products/christmas-bedding-quilt-soft-microfiber-holiday-bedsprea-design-08", "serp_qa_023"]</t>
        </is>
      </c>
      <c r="J25" s="3" t="inlineStr">
        <is>
          <t>["R2-ISS-023-DESC", "ISS-023-ENC", "R2-ISS-023-PERS", "R2-ISS-023-SERP"]</t>
        </is>
      </c>
    </row>
    <row r="26" ht="42" customHeight="1">
      <c r="A26" s="2" t="inlineStr">
        <is>
          <t>jeminise.com+christmas-bedding-quilt-soft-microfiber-holiday-bedsprea-design-08</t>
        </is>
      </c>
      <c r="B26" s="2" t="inlineStr">
        <is>
          <t>K1</t>
        </is>
      </c>
      <c r="C26" s="2" t="n">
        <v>10</v>
      </c>
      <c r="D26" s="2" t="inlineStr">
        <is>
          <t>PARTIAL</t>
        </is>
      </c>
      <c r="E26" s="5">
        <f>IF(B26="I1",AVERAGEIF('QA_Images'!$A$2:$A$51,A26,'QA_Images'!$T$2:$T$51)/100,IF(D26="FULL",1,IF(D26="PARTIAL",0.5,IF(D26="FAIL",0,""))))</f>
        <v/>
      </c>
      <c r="F26" s="5">
        <f>IF(E26="",0,C26*E26)</f>
        <v/>
      </c>
      <c r="G26" s="5">
        <f>IF(B26="I1",20*AVERAGEIF('QA_Images'!$A$2:$A$51,A26,'QA_Images'!$U$2:$U$51)/100,IF(D26="NOT_CHECKED",0,C26))</f>
        <v/>
      </c>
      <c r="H26" s="2" t="inlineStr">
        <is>
          <t>Đối chiếu long-tail với thiết kế trực tiếp nhìn thấy và nguy cơ trùng intent trong cụm Christmas/cardinal.</t>
        </is>
      </c>
      <c r="I26" s="2" t="inlineStr">
        <is>
          <t>["evidence_batch_003_023", "https://jeminise.com/products/christmas-bedding-quilt-soft-microfiber-holiday-bedsprea-design-08", "serp_qa_023"]</t>
        </is>
      </c>
      <c r="J26" s="2" t="inlineStr">
        <is>
          <t>["R2-ISS-023-DESC", "ISS-023-ENC", "R2-ISS-023-PERS", "R2-ISS-023-SERP"]</t>
        </is>
      </c>
    </row>
    <row r="27" ht="42" customHeight="1">
      <c r="A27" s="3" t="inlineStr">
        <is>
          <t>jeminise.com+christmas-bedding-quilt-soft-microfiber-holiday-bedsprea-design-08</t>
        </is>
      </c>
      <c r="B27" s="3" t="inlineStr">
        <is>
          <t>K2</t>
        </is>
      </c>
      <c r="C27" s="3" t="n">
        <v>5</v>
      </c>
      <c r="D27" s="3" t="inlineStr">
        <is>
          <t>FULL</t>
        </is>
      </c>
      <c r="E27" s="7">
        <f>IF(B27="I1",AVERAGEIF('QA_Images'!$A$2:$A$51,A27,'QA_Images'!$T$2:$T$51)/100,IF(D27="FULL",1,IF(D27="PARTIAL",0.5,IF(D27="FAIL",0,""))))</f>
        <v/>
      </c>
      <c r="F27" s="7">
        <f>IF(E27="",0,C27*E27)</f>
        <v/>
      </c>
      <c r="G27" s="7">
        <f>IF(B27="I1",20*AVERAGEIF('QA_Images'!$A$2:$A$51,A27,'QA_Images'!$U$2:$U$51)/100,IF(D27="NOT_CHECKED",0,C27))</f>
        <v/>
      </c>
      <c r="H27" s="3" t="inlineStr">
        <is>
          <t>Đã đọc lại primary và comparator SERP theo US intent; đánh giá product/kit/pattern result type.</t>
        </is>
      </c>
      <c r="I27" s="3" t="inlineStr">
        <is>
          <t>["evidence_batch_003_023", "https://jeminise.com/products/christmas-bedding-quilt-soft-microfiber-holiday-bedsprea-design-08", "serp_qa_023"]</t>
        </is>
      </c>
      <c r="J27" s="3" t="inlineStr">
        <is>
          <t>["R2-ISS-023-DESC", "ISS-023-ENC", "R2-ISS-023-PERS", "R2-ISS-023-SERP"]</t>
        </is>
      </c>
    </row>
    <row r="28" ht="42" customHeight="1">
      <c r="A28" s="2" t="inlineStr">
        <is>
          <t>jeminise.com+christmas-bedding-quilt-soft-microfiber-holiday-bedsprea-design-08</t>
        </is>
      </c>
      <c r="B28" s="2" t="inlineStr">
        <is>
          <t>K3</t>
        </is>
      </c>
      <c r="C28" s="2" t="n">
        <v>5</v>
      </c>
      <c r="D28" s="2" t="inlineStr">
        <is>
          <t>FULL</t>
        </is>
      </c>
      <c r="E28" s="5">
        <f>IF(B28="I1",AVERAGEIF('QA_Images'!$A$2:$A$51,A28,'QA_Images'!$T$2:$T$51)/100,IF(D28="FULL",1,IF(D28="PARTIAL",0.5,IF(D28="FAIL",0,""))))</f>
        <v/>
      </c>
      <c r="F28" s="5">
        <f>IF(E28="",0,C28*E28)</f>
        <v/>
      </c>
      <c r="G28" s="5">
        <f>IF(B28="I1",20*AVERAGEIF('QA_Images'!$A$2:$A$51,A28,'QA_Images'!$U$2:$U$51)/100,IF(D28="NOT_CHECKED",0,C28))</f>
        <v/>
      </c>
      <c r="H28" s="2" t="inlineStr">
        <is>
          <t>Không suy diễn volume; phân biệt SERP_ONLY và HYPOTHESIS_ONLY.</t>
        </is>
      </c>
      <c r="I28" s="2" t="inlineStr">
        <is>
          <t>["evidence_batch_003_023", "https://jeminise.com/products/christmas-bedding-quilt-soft-microfiber-holiday-bedsprea-design-08", "serp_qa_023"]</t>
        </is>
      </c>
      <c r="J28" s="2" t="inlineStr">
        <is>
          <t>["R2-ISS-023-DESC", "ISS-023-ENC", "R2-ISS-023-PERS", "R2-ISS-023-SERP"]</t>
        </is>
      </c>
    </row>
    <row r="29" ht="42" customHeight="1">
      <c r="A29" s="3" t="inlineStr">
        <is>
          <t>jeminise.com+christmas-bedding-quilt-soft-microfiber-holiday-bedsprea-design-08</t>
        </is>
      </c>
      <c r="B29" s="3" t="inlineStr">
        <is>
          <t>T1</t>
        </is>
      </c>
      <c r="C29" s="3" t="n">
        <v>10</v>
      </c>
      <c r="D29" s="3" t="inlineStr">
        <is>
          <t>FULL</t>
        </is>
      </c>
      <c r="E29" s="7">
        <f>IF(B29="I1",AVERAGEIF('QA_Images'!$A$2:$A$51,A29,'QA_Images'!$T$2:$T$51)/100,IF(D29="FULL",1,IF(D29="PARTIAL",0.5,IF(D29="FAIL",0,""))))</f>
        <v/>
      </c>
      <c r="F29" s="7">
        <f>IF(E29="",0,C29*E29)</f>
        <v/>
      </c>
      <c r="G29" s="7">
        <f>IF(B29="I1",20*AVERAGEIF('QA_Images'!$A$2:$A$51,A29,'QA_Images'!$U$2:$U$51)/100,IF(D29="NOT_CHECKED",0,C29))</f>
        <v/>
      </c>
      <c r="H29" s="3" t="inlineStr">
        <is>
          <t>Đánh giá SEO title English về độ đúng, tự nhiên, keyword và điểm phân biệt.</t>
        </is>
      </c>
      <c r="I29" s="3" t="inlineStr">
        <is>
          <t>["evidence_batch_003_023", "https://jeminise.com/products/christmas-bedding-quilt-soft-microfiber-holiday-bedsprea-design-08", "serp_qa_023"]</t>
        </is>
      </c>
      <c r="J29" s="3" t="inlineStr">
        <is>
          <t>["R2-ISS-023-DESC", "ISS-023-ENC", "R2-ISS-023-PERS", "R2-ISS-023-SERP"]</t>
        </is>
      </c>
    </row>
    <row r="30" ht="42" customHeight="1">
      <c r="A30" s="2" t="inlineStr">
        <is>
          <t>jeminise.com+christmas-bedding-quilt-soft-microfiber-holiday-bedsprea-design-08</t>
        </is>
      </c>
      <c r="B30" s="2" t="inlineStr">
        <is>
          <t>T2</t>
        </is>
      </c>
      <c r="C30" s="2" t="n">
        <v>5</v>
      </c>
      <c r="D30" s="2" t="inlineStr">
        <is>
          <t>FULL</t>
        </is>
      </c>
      <c r="E30" s="5">
        <f>IF(B30="I1",AVERAGEIF('QA_Images'!$A$2:$A$51,A30,'QA_Images'!$T$2:$T$51)/100,IF(D30="FULL",1,IF(D30="PARTIAL",0.5,IF(D30="FAIL",0,""))))</f>
        <v/>
      </c>
      <c r="F30" s="5">
        <f>IF(E30="",0,C30*E30)</f>
        <v/>
      </c>
      <c r="G30" s="5">
        <f>IF(B30="I1",20*AVERAGEIF('QA_Images'!$A$2:$A$51,A30,'QA_Images'!$U$2:$U$51)/100,IF(D30="NOT_CHECKED",0,C30))</f>
        <v/>
      </c>
      <c r="H30" s="2" t="inlineStr">
        <is>
          <t>Đánh giá H1 đề xuất độc lập với SEO title và đối chiếu lỗi ký tự nguồn.</t>
        </is>
      </c>
      <c r="I30" s="2" t="inlineStr">
        <is>
          <t>["evidence_batch_003_023", "https://jeminise.com/products/christmas-bedding-quilt-soft-microfiber-holiday-bedsprea-design-08", "serp_qa_023"]</t>
        </is>
      </c>
      <c r="J30" s="2" t="inlineStr">
        <is>
          <t>["R2-ISS-023-DESC", "ISS-023-ENC", "R2-ISS-023-PERS", "R2-ISS-023-SERP"]</t>
        </is>
      </c>
    </row>
    <row r="31" ht="42" customHeight="1">
      <c r="A31" s="3" t="inlineStr">
        <is>
          <t>jeminise.com+christmas-bedding-quilt-soft-microfiber-holiday-bedsprea-design-08</t>
        </is>
      </c>
      <c r="B31" s="3" t="inlineStr">
        <is>
          <t>D1</t>
        </is>
      </c>
      <c r="C31" s="3" t="n">
        <v>5</v>
      </c>
      <c r="D31" s="3" t="inlineStr">
        <is>
          <t>PARTIAL</t>
        </is>
      </c>
      <c r="E31" s="7">
        <f>IF(B31="I1",AVERAGEIF('QA_Images'!$A$2:$A$51,A31,'QA_Images'!$T$2:$T$51)/100,IF(D31="FULL",1,IF(D31="PARTIAL",0.5,IF(D31="FAIL",0,""))))</f>
        <v/>
      </c>
      <c r="F31" s="7">
        <f>IF(E31="",0,C31*E31)</f>
        <v/>
      </c>
      <c r="G31" s="7">
        <f>IF(B31="I1",20*AVERAGEIF('QA_Images'!$A$2:$A$51,A31,'QA_Images'!$U$2:$U$51)/100,IF(D31="NOT_CHECKED",0,C31))</f>
        <v/>
      </c>
      <c r="H31" s="3" t="inlineStr">
        <is>
          <t>Đánh giá meta description về tính cụ thể và căn cứ claim.</t>
        </is>
      </c>
      <c r="I31" s="3" t="inlineStr">
        <is>
          <t>["evidence_batch_003_023", "https://jeminise.com/products/christmas-bedding-quilt-soft-microfiber-holiday-bedsprea-design-08", "serp_qa_023"]</t>
        </is>
      </c>
      <c r="J31" s="3" t="inlineStr">
        <is>
          <t>["R2-ISS-023-DESC", "ISS-023-ENC", "R2-ISS-023-PERS", "R2-ISS-023-SERP"]</t>
        </is>
      </c>
    </row>
    <row r="32" ht="42" customHeight="1">
      <c r="A32" s="2" t="inlineStr">
        <is>
          <t>jeminise.com+christmas-bedding-quilt-soft-microfiber-holiday-bedsprea-design-08</t>
        </is>
      </c>
      <c r="B32" s="2" t="inlineStr">
        <is>
          <t>D2</t>
        </is>
      </c>
      <c r="C32" s="2" t="n">
        <v>10</v>
      </c>
      <c r="D32" s="2" t="inlineStr">
        <is>
          <t>PARTIAL</t>
        </is>
      </c>
      <c r="E32" s="5">
        <f>IF(B32="I1",AVERAGEIF('QA_Images'!$A$2:$A$51,A32,'QA_Images'!$T$2:$T$51)/100,IF(D32="FULL",1,IF(D32="PARTIAL",0.5,IF(D32="FAIL",0,""))))</f>
        <v/>
      </c>
      <c r="F32" s="5">
        <f>IF(E32="",0,C32*E32)</f>
        <v/>
      </c>
      <c r="G32" s="5">
        <f>IF(B32="I1",20*AVERAGEIF('QA_Images'!$A$2:$A$51,A32,'QA_Images'!$U$2:$U$51)/100,IF(D32="NOT_CHECKED",0,C32))</f>
        <v/>
      </c>
      <c r="H32" s="2" t="inlineStr">
        <is>
          <t>Description SET có HTML đầy đủ nhưng chứa câu nội bộ 'This draft should be reviewed...' và dữ liệu nguồn thô/mâu thuẫn; chưa phải nội dung publish-ready.</t>
        </is>
      </c>
      <c r="I32" s="2" t="inlineStr">
        <is>
          <t>["evidence_batch_003_023", "https://jeminise.com/products/christmas-bedding-quilt-soft-microfiber-holiday-bedsprea-design-08", "serp_qa_023"]</t>
        </is>
      </c>
      <c r="J32" s="2" t="inlineStr">
        <is>
          <t>["R2-ISS-023-DESC", "ISS-023-ENC", "R2-ISS-023-PERS", "R2-ISS-023-SERP"]</t>
        </is>
      </c>
    </row>
    <row r="33" ht="42" customHeight="1">
      <c r="A33" s="3" t="inlineStr">
        <is>
          <t>jeminise.com+christmas-bedding-quilt-soft-microfiber-holiday-bedsprea-design-08</t>
        </is>
      </c>
      <c r="B33" s="3" t="inlineStr">
        <is>
          <t>I1</t>
        </is>
      </c>
      <c r="C33" s="3" t="n">
        <v>20</v>
      </c>
      <c r="D33" s="3" t="inlineStr">
        <is>
          <t>DERIVED</t>
        </is>
      </c>
      <c r="E33" s="7">
        <f>IF(B33="I1",AVERAGEIF('QA_Images'!$A$2:$A$51,A33,'QA_Images'!$T$2:$T$51)/100,IF(D33="FULL",1,IF(D33="PARTIAL",0.5,IF(D33="FAIL",0,""))))</f>
        <v/>
      </c>
      <c r="F33" s="7">
        <f>IF(E33="",0,C33*E33)</f>
        <v/>
      </c>
      <c r="G33" s="7">
        <f>IF(B33="I1",20*AVERAGEIF('QA_Images'!$A$2:$A$51,A33,'QA_Images'!$U$2:$U$51)/100,IF(D33="NOT_CHECKED",0,C33))</f>
        <v/>
      </c>
      <c r="H33" s="3" t="inlineStr">
        <is>
          <t>Tính từ trung bình 5 ảnh: 100.0000/100.</t>
        </is>
      </c>
      <c r="I33" s="3" t="inlineStr">
        <is>
          <t>["evidence_batch_003_023", "https://jeminise.com/products/christmas-bedding-quilt-soft-microfiber-holiday-bedsprea-design-08", "serp_qa_023"]</t>
        </is>
      </c>
      <c r="J33" s="3" t="inlineStr">
        <is>
          <t>["R2-ISS-023-DESC", "ISS-023-ENC", "R2-ISS-023-PERS", "R2-ISS-023-SERP"]</t>
        </is>
      </c>
    </row>
    <row r="34" ht="42" customHeight="1">
      <c r="A34" s="2" t="inlineStr">
        <is>
          <t>jeminise.com+christmas-bedding-quilt-soft-microfiber-holiday-bedsprea-design-08</t>
        </is>
      </c>
      <c r="B34" s="2" t="inlineStr">
        <is>
          <t>E1</t>
        </is>
      </c>
      <c r="C34" s="2" t="n">
        <v>5</v>
      </c>
      <c r="D34" s="2" t="inlineStr">
        <is>
          <t>FULL</t>
        </is>
      </c>
      <c r="E34" s="5">
        <f>IF(B34="I1",AVERAGEIF('QA_Images'!$A$2:$A$51,A34,'QA_Images'!$T$2:$T$51)/100,IF(D34="FULL",1,IF(D34="PARTIAL",0.5,IF(D34="FAIL",0,""))))</f>
        <v/>
      </c>
      <c r="F34" s="5">
        <f>IF(E34="",0,C34*E34)</f>
        <v/>
      </c>
      <c r="G34" s="5">
        <f>IF(B34="I1",20*AVERAGEIF('QA_Images'!$A$2:$A$51,A34,'QA_Images'!$U$2:$U$51)/100,IF(D34="NOT_CHECKED",0,C34))</f>
        <v/>
      </c>
      <c r="H34" s="2" t="inlineStr">
        <is>
          <t>Kiểm tra liên kết product key/handle/evidence/revision giữa workbook, snapshot và nguồn live.</t>
        </is>
      </c>
      <c r="I34" s="2" t="inlineStr">
        <is>
          <t>["evidence_batch_003_023", "https://jeminise.com/products/christmas-bedding-quilt-soft-microfiber-holiday-bedsprea-design-08", "serp_qa_023"]</t>
        </is>
      </c>
      <c r="J34" s="2" t="inlineStr">
        <is>
          <t>["R2-ISS-023-DESC", "ISS-023-ENC", "R2-ISS-023-PERS", "R2-ISS-023-SERP"]</t>
        </is>
      </c>
    </row>
    <row r="35" ht="42" customHeight="1">
      <c r="A35" s="3" t="inlineStr">
        <is>
          <t>jeminise.com+christmas-bedding-quilt-soft-microfiber-holiday-bedsprea-design-09</t>
        </is>
      </c>
      <c r="B35" s="3" t="inlineStr">
        <is>
          <t>P1</t>
        </is>
      </c>
      <c r="C35" s="3" t="n">
        <v>15</v>
      </c>
      <c r="D35" s="3" t="inlineStr">
        <is>
          <t>FULL</t>
        </is>
      </c>
      <c r="E35" s="7">
        <f>IF(B35="I1",AVERAGEIF('QA_Images'!$A$2:$A$51,A35,'QA_Images'!$T$2:$T$51)/100,IF(D35="FULL",1,IF(D35="PARTIAL",0.5,IF(D35="FAIL",0,""))))</f>
        <v/>
      </c>
      <c r="F35" s="7">
        <f>IF(E35="",0,C35*E35)</f>
        <v/>
      </c>
      <c r="G35" s="7">
        <f>IF(B35="I1",20*AVERAGEIF('QA_Images'!$A$2:$A$51,A35,'QA_Images'!$U$2:$U$51)/100,IF(D35="NOT_CHECKED",0,C35))</f>
        <v/>
      </c>
      <c r="H35" s="3" t="inlineStr">
        <is>
          <t>Đối chiếu loại sản phẩm, thiết kế và màu với product JSON, H1 live và toàn bộ gallery.</t>
        </is>
      </c>
      <c r="I35" s="3" t="inlineStr">
        <is>
          <t>["evidence_batch_003_024", "https://jeminise.com/products/christmas-bedding-quilt-soft-microfiber-holiday-bedsprea-design-09", "serp_qa_024"]</t>
        </is>
      </c>
      <c r="J35" s="3" t="inlineStr">
        <is>
          <t>["R2-ISS-024-DESC", "ISS-024-ENC", "R2-ISS-024-PERS"]</t>
        </is>
      </c>
    </row>
    <row r="36" ht="42" customHeight="1">
      <c r="A36" s="2" t="inlineStr">
        <is>
          <t>jeminise.com+christmas-bedding-quilt-soft-microfiber-holiday-bedsprea-design-09</t>
        </is>
      </c>
      <c r="B36" s="2" t="inlineStr">
        <is>
          <t>P2</t>
        </is>
      </c>
      <c r="C36" s="2" t="n">
        <v>10</v>
      </c>
      <c r="D36" s="2" t="inlineStr">
        <is>
          <t>PARTIAL</t>
        </is>
      </c>
      <c r="E36" s="5">
        <f>IF(B36="I1",AVERAGEIF('QA_Images'!$A$2:$A$51,A36,'QA_Images'!$T$2:$T$51)/100,IF(D36="FULL",1,IF(D36="PARTIAL",0.5,IF(D36="FAIL",0,""))))</f>
        <v/>
      </c>
      <c r="F36" s="5">
        <f>IF(E36="",0,C36*E36)</f>
        <v/>
      </c>
      <c r="G36" s="5">
        <f>IF(B36="I1",20*AVERAGEIF('QA_Images'!$A$2:$A$51,A36,'QA_Images'!$U$2:$U$51)/100,IF(D36="NOT_CHECKED",0,C36))</f>
        <v/>
      </c>
      <c r="H36" s="2" t="inlineStr">
        <is>
          <t>Đối chiếu material, dimensions, components, variants và personalization với product.js live, body HTML và gallery.</t>
        </is>
      </c>
      <c r="I36" s="2" t="inlineStr">
        <is>
          <t>["evidence_batch_003_024", "https://jeminise.com/products/christmas-bedding-quilt-soft-microfiber-holiday-bedsprea-design-09", "serp_qa_024"]</t>
        </is>
      </c>
      <c r="J36" s="2" t="inlineStr">
        <is>
          <t>["R2-ISS-024-DESC", "ISS-024-ENC", "R2-ISS-024-PERS"]</t>
        </is>
      </c>
    </row>
    <row r="37" ht="42" customHeight="1">
      <c r="A37" s="3" t="inlineStr">
        <is>
          <t>jeminise.com+christmas-bedding-quilt-soft-microfiber-holiday-bedsprea-design-09</t>
        </is>
      </c>
      <c r="B37" s="3" t="inlineStr">
        <is>
          <t>K1</t>
        </is>
      </c>
      <c r="C37" s="3" t="n">
        <v>10</v>
      </c>
      <c r="D37" s="3" t="inlineStr">
        <is>
          <t>FULL</t>
        </is>
      </c>
      <c r="E37" s="7">
        <f>IF(B37="I1",AVERAGEIF('QA_Images'!$A$2:$A$51,A37,'QA_Images'!$T$2:$T$51)/100,IF(D37="FULL",1,IF(D37="PARTIAL",0.5,IF(D37="FAIL",0,""))))</f>
        <v/>
      </c>
      <c r="F37" s="7">
        <f>IF(E37="",0,C37*E37)</f>
        <v/>
      </c>
      <c r="G37" s="7">
        <f>IF(B37="I1",20*AVERAGEIF('QA_Images'!$A$2:$A$51,A37,'QA_Images'!$U$2:$U$51)/100,IF(D37="NOT_CHECKED",0,C37))</f>
        <v/>
      </c>
      <c r="H37" s="3" t="inlineStr">
        <is>
          <t>Đối chiếu long-tail với thiết kế trực tiếp nhìn thấy và nguy cơ trùng intent trong cụm Christmas/cardinal.</t>
        </is>
      </c>
      <c r="I37" s="3" t="inlineStr">
        <is>
          <t>["evidence_batch_003_024", "https://jeminise.com/products/christmas-bedding-quilt-soft-microfiber-holiday-bedsprea-design-09", "serp_qa_024"]</t>
        </is>
      </c>
      <c r="J37" s="3" t="inlineStr">
        <is>
          <t>["R2-ISS-024-DESC", "ISS-024-ENC", "R2-ISS-024-PERS"]</t>
        </is>
      </c>
    </row>
    <row r="38" ht="42" customHeight="1">
      <c r="A38" s="2" t="inlineStr">
        <is>
          <t>jeminise.com+christmas-bedding-quilt-soft-microfiber-holiday-bedsprea-design-09</t>
        </is>
      </c>
      <c r="B38" s="2" t="inlineStr">
        <is>
          <t>K2</t>
        </is>
      </c>
      <c r="C38" s="2" t="n">
        <v>5</v>
      </c>
      <c r="D38" s="2" t="inlineStr">
        <is>
          <t>FULL</t>
        </is>
      </c>
      <c r="E38" s="5">
        <f>IF(B38="I1",AVERAGEIF('QA_Images'!$A$2:$A$51,A38,'QA_Images'!$T$2:$T$51)/100,IF(D38="FULL",1,IF(D38="PARTIAL",0.5,IF(D38="FAIL",0,""))))</f>
        <v/>
      </c>
      <c r="F38" s="5">
        <f>IF(E38="",0,C38*E38)</f>
        <v/>
      </c>
      <c r="G38" s="5">
        <f>IF(B38="I1",20*AVERAGEIF('QA_Images'!$A$2:$A$51,A38,'QA_Images'!$U$2:$U$51)/100,IF(D38="NOT_CHECKED",0,C38))</f>
        <v/>
      </c>
      <c r="H38" s="2" t="inlineStr">
        <is>
          <t>Đã đọc lại primary và comparator SERP theo US intent; đánh giá product/kit/pattern result type.</t>
        </is>
      </c>
      <c r="I38" s="2" t="inlineStr">
        <is>
          <t>["evidence_batch_003_024", "https://jeminise.com/products/christmas-bedding-quilt-soft-microfiber-holiday-bedsprea-design-09", "serp_qa_024"]</t>
        </is>
      </c>
      <c r="J38" s="2" t="inlineStr">
        <is>
          <t>["R2-ISS-024-DESC", "ISS-024-ENC", "R2-ISS-024-PERS"]</t>
        </is>
      </c>
    </row>
    <row r="39" ht="42" customHeight="1">
      <c r="A39" s="3" t="inlineStr">
        <is>
          <t>jeminise.com+christmas-bedding-quilt-soft-microfiber-holiday-bedsprea-design-09</t>
        </is>
      </c>
      <c r="B39" s="3" t="inlineStr">
        <is>
          <t>K3</t>
        </is>
      </c>
      <c r="C39" s="3" t="n">
        <v>5</v>
      </c>
      <c r="D39" s="3" t="inlineStr">
        <is>
          <t>FULL</t>
        </is>
      </c>
      <c r="E39" s="7">
        <f>IF(B39="I1",AVERAGEIF('QA_Images'!$A$2:$A$51,A39,'QA_Images'!$T$2:$T$51)/100,IF(D39="FULL",1,IF(D39="PARTIAL",0.5,IF(D39="FAIL",0,""))))</f>
        <v/>
      </c>
      <c r="F39" s="7">
        <f>IF(E39="",0,C39*E39)</f>
        <v/>
      </c>
      <c r="G39" s="7">
        <f>IF(B39="I1",20*AVERAGEIF('QA_Images'!$A$2:$A$51,A39,'QA_Images'!$U$2:$U$51)/100,IF(D39="NOT_CHECKED",0,C39))</f>
        <v/>
      </c>
      <c r="H39" s="3" t="inlineStr">
        <is>
          <t>Không suy diễn volume; phân biệt SERP_ONLY và HYPOTHESIS_ONLY.</t>
        </is>
      </c>
      <c r="I39" s="3" t="inlineStr">
        <is>
          <t>["evidence_batch_003_024", "https://jeminise.com/products/christmas-bedding-quilt-soft-microfiber-holiday-bedsprea-design-09", "serp_qa_024"]</t>
        </is>
      </c>
      <c r="J39" s="3" t="inlineStr">
        <is>
          <t>["R2-ISS-024-DESC", "ISS-024-ENC", "R2-ISS-024-PERS"]</t>
        </is>
      </c>
    </row>
    <row r="40" ht="42" customHeight="1">
      <c r="A40" s="2" t="inlineStr">
        <is>
          <t>jeminise.com+christmas-bedding-quilt-soft-microfiber-holiday-bedsprea-design-09</t>
        </is>
      </c>
      <c r="B40" s="2" t="inlineStr">
        <is>
          <t>T1</t>
        </is>
      </c>
      <c r="C40" s="2" t="n">
        <v>10</v>
      </c>
      <c r="D40" s="2" t="inlineStr">
        <is>
          <t>FULL</t>
        </is>
      </c>
      <c r="E40" s="5">
        <f>IF(B40="I1",AVERAGEIF('QA_Images'!$A$2:$A$51,A40,'QA_Images'!$T$2:$T$51)/100,IF(D40="FULL",1,IF(D40="PARTIAL",0.5,IF(D40="FAIL",0,""))))</f>
        <v/>
      </c>
      <c r="F40" s="5">
        <f>IF(E40="",0,C40*E40)</f>
        <v/>
      </c>
      <c r="G40" s="5">
        <f>IF(B40="I1",20*AVERAGEIF('QA_Images'!$A$2:$A$51,A40,'QA_Images'!$U$2:$U$51)/100,IF(D40="NOT_CHECKED",0,C40))</f>
        <v/>
      </c>
      <c r="H40" s="2" t="inlineStr">
        <is>
          <t>Đánh giá SEO title English về độ đúng, tự nhiên, keyword và điểm phân biệt.</t>
        </is>
      </c>
      <c r="I40" s="2" t="inlineStr">
        <is>
          <t>["evidence_batch_003_024", "https://jeminise.com/products/christmas-bedding-quilt-soft-microfiber-holiday-bedsprea-design-09", "serp_qa_024"]</t>
        </is>
      </c>
      <c r="J40" s="2" t="inlineStr">
        <is>
          <t>["R2-ISS-024-DESC", "ISS-024-ENC", "R2-ISS-024-PERS"]</t>
        </is>
      </c>
    </row>
    <row r="41" ht="42" customHeight="1">
      <c r="A41" s="3" t="inlineStr">
        <is>
          <t>jeminise.com+christmas-bedding-quilt-soft-microfiber-holiday-bedsprea-design-09</t>
        </is>
      </c>
      <c r="B41" s="3" t="inlineStr">
        <is>
          <t>T2</t>
        </is>
      </c>
      <c r="C41" s="3" t="n">
        <v>5</v>
      </c>
      <c r="D41" s="3" t="inlineStr">
        <is>
          <t>FULL</t>
        </is>
      </c>
      <c r="E41" s="7">
        <f>IF(B41="I1",AVERAGEIF('QA_Images'!$A$2:$A$51,A41,'QA_Images'!$T$2:$T$51)/100,IF(D41="FULL",1,IF(D41="PARTIAL",0.5,IF(D41="FAIL",0,""))))</f>
        <v/>
      </c>
      <c r="F41" s="7">
        <f>IF(E41="",0,C41*E41)</f>
        <v/>
      </c>
      <c r="G41" s="7">
        <f>IF(B41="I1",20*AVERAGEIF('QA_Images'!$A$2:$A$51,A41,'QA_Images'!$U$2:$U$51)/100,IF(D41="NOT_CHECKED",0,C41))</f>
        <v/>
      </c>
      <c r="H41" s="3" t="inlineStr">
        <is>
          <t>Đánh giá H1 đề xuất độc lập với SEO title và đối chiếu lỗi ký tự nguồn.</t>
        </is>
      </c>
      <c r="I41" s="3" t="inlineStr">
        <is>
          <t>["evidence_batch_003_024", "https://jeminise.com/products/christmas-bedding-quilt-soft-microfiber-holiday-bedsprea-design-09", "serp_qa_024"]</t>
        </is>
      </c>
      <c r="J41" s="3" t="inlineStr">
        <is>
          <t>["R2-ISS-024-DESC", "ISS-024-ENC", "R2-ISS-024-PERS"]</t>
        </is>
      </c>
    </row>
    <row r="42" ht="42" customHeight="1">
      <c r="A42" s="2" t="inlineStr">
        <is>
          <t>jeminise.com+christmas-bedding-quilt-soft-microfiber-holiday-bedsprea-design-09</t>
        </is>
      </c>
      <c r="B42" s="2" t="inlineStr">
        <is>
          <t>D1</t>
        </is>
      </c>
      <c r="C42" s="2" t="n">
        <v>5</v>
      </c>
      <c r="D42" s="2" t="inlineStr">
        <is>
          <t>PARTIAL</t>
        </is>
      </c>
      <c r="E42" s="5">
        <f>IF(B42="I1",AVERAGEIF('QA_Images'!$A$2:$A$51,A42,'QA_Images'!$T$2:$T$51)/100,IF(D42="FULL",1,IF(D42="PARTIAL",0.5,IF(D42="FAIL",0,""))))</f>
        <v/>
      </c>
      <c r="F42" s="5">
        <f>IF(E42="",0,C42*E42)</f>
        <v/>
      </c>
      <c r="G42" s="5">
        <f>IF(B42="I1",20*AVERAGEIF('QA_Images'!$A$2:$A$51,A42,'QA_Images'!$U$2:$U$51)/100,IF(D42="NOT_CHECKED",0,C42))</f>
        <v/>
      </c>
      <c r="H42" s="2" t="inlineStr">
        <is>
          <t>Đánh giá meta description về tính cụ thể và căn cứ claim.</t>
        </is>
      </c>
      <c r="I42" s="2" t="inlineStr">
        <is>
          <t>["evidence_batch_003_024", "https://jeminise.com/products/christmas-bedding-quilt-soft-microfiber-holiday-bedsprea-design-09", "serp_qa_024"]</t>
        </is>
      </c>
      <c r="J42" s="2" t="inlineStr">
        <is>
          <t>["R2-ISS-024-DESC", "ISS-024-ENC", "R2-ISS-024-PERS"]</t>
        </is>
      </c>
    </row>
    <row r="43" ht="42" customHeight="1">
      <c r="A43" s="3" t="inlineStr">
        <is>
          <t>jeminise.com+christmas-bedding-quilt-soft-microfiber-holiday-bedsprea-design-09</t>
        </is>
      </c>
      <c r="B43" s="3" t="inlineStr">
        <is>
          <t>D2</t>
        </is>
      </c>
      <c r="C43" s="3" t="n">
        <v>10</v>
      </c>
      <c r="D43" s="3" t="inlineStr">
        <is>
          <t>PARTIAL</t>
        </is>
      </c>
      <c r="E43" s="7">
        <f>IF(B43="I1",AVERAGEIF('QA_Images'!$A$2:$A$51,A43,'QA_Images'!$T$2:$T$51)/100,IF(D43="FULL",1,IF(D43="PARTIAL",0.5,IF(D43="FAIL",0,""))))</f>
        <v/>
      </c>
      <c r="F43" s="7">
        <f>IF(E43="",0,C43*E43)</f>
        <v/>
      </c>
      <c r="G43" s="7">
        <f>IF(B43="I1",20*AVERAGEIF('QA_Images'!$A$2:$A$51,A43,'QA_Images'!$U$2:$U$51)/100,IF(D43="NOT_CHECKED",0,C43))</f>
        <v/>
      </c>
      <c r="H43" s="3" t="inlineStr">
        <is>
          <t>Description SET có HTML đầy đủ nhưng chứa câu nội bộ 'This draft should be reviewed...' và dữ liệu nguồn thô/mâu thuẫn; chưa phải nội dung publish-ready.</t>
        </is>
      </c>
      <c r="I43" s="3" t="inlineStr">
        <is>
          <t>["evidence_batch_003_024", "https://jeminise.com/products/christmas-bedding-quilt-soft-microfiber-holiday-bedsprea-design-09", "serp_qa_024"]</t>
        </is>
      </c>
      <c r="J43" s="3" t="inlineStr">
        <is>
          <t>["R2-ISS-024-DESC", "ISS-024-ENC", "R2-ISS-024-PERS"]</t>
        </is>
      </c>
    </row>
    <row r="44" ht="42" customHeight="1">
      <c r="A44" s="2" t="inlineStr">
        <is>
          <t>jeminise.com+christmas-bedding-quilt-soft-microfiber-holiday-bedsprea-design-09</t>
        </is>
      </c>
      <c r="B44" s="2" t="inlineStr">
        <is>
          <t>I1</t>
        </is>
      </c>
      <c r="C44" s="2" t="n">
        <v>20</v>
      </c>
      <c r="D44" s="2" t="inlineStr">
        <is>
          <t>DERIVED</t>
        </is>
      </c>
      <c r="E44" s="5">
        <f>IF(B44="I1",AVERAGEIF('QA_Images'!$A$2:$A$51,A44,'QA_Images'!$T$2:$T$51)/100,IF(D44="FULL",1,IF(D44="PARTIAL",0.5,IF(D44="FAIL",0,""))))</f>
        <v/>
      </c>
      <c r="F44" s="5">
        <f>IF(E44="",0,C44*E44)</f>
        <v/>
      </c>
      <c r="G44" s="5">
        <f>IF(B44="I1",20*AVERAGEIF('QA_Images'!$A$2:$A$51,A44,'QA_Images'!$U$2:$U$51)/100,IF(D44="NOT_CHECKED",0,C44))</f>
        <v/>
      </c>
      <c r="H44" s="2" t="inlineStr">
        <is>
          <t>Tính từ trung bình 5 ảnh: 100.0000/100.</t>
        </is>
      </c>
      <c r="I44" s="2" t="inlineStr">
        <is>
          <t>["evidence_batch_003_024", "https://jeminise.com/products/christmas-bedding-quilt-soft-microfiber-holiday-bedsprea-design-09", "serp_qa_024"]</t>
        </is>
      </c>
      <c r="J44" s="2" t="inlineStr">
        <is>
          <t>["R2-ISS-024-DESC", "ISS-024-ENC", "R2-ISS-024-PERS"]</t>
        </is>
      </c>
    </row>
    <row r="45" ht="42" customHeight="1">
      <c r="A45" s="3" t="inlineStr">
        <is>
          <t>jeminise.com+christmas-bedding-quilt-soft-microfiber-holiday-bedsprea-design-09</t>
        </is>
      </c>
      <c r="B45" s="3" t="inlineStr">
        <is>
          <t>E1</t>
        </is>
      </c>
      <c r="C45" s="3" t="n">
        <v>5</v>
      </c>
      <c r="D45" s="3" t="inlineStr">
        <is>
          <t>FULL</t>
        </is>
      </c>
      <c r="E45" s="7">
        <f>IF(B45="I1",AVERAGEIF('QA_Images'!$A$2:$A$51,A45,'QA_Images'!$T$2:$T$51)/100,IF(D45="FULL",1,IF(D45="PARTIAL",0.5,IF(D45="FAIL",0,""))))</f>
        <v/>
      </c>
      <c r="F45" s="7">
        <f>IF(E45="",0,C45*E45)</f>
        <v/>
      </c>
      <c r="G45" s="7">
        <f>IF(B45="I1",20*AVERAGEIF('QA_Images'!$A$2:$A$51,A45,'QA_Images'!$U$2:$U$51)/100,IF(D45="NOT_CHECKED",0,C45))</f>
        <v/>
      </c>
      <c r="H45" s="3" t="inlineStr">
        <is>
          <t>Kiểm tra liên kết product key/handle/evidence/revision giữa workbook, snapshot và nguồn live.</t>
        </is>
      </c>
      <c r="I45" s="3" t="inlineStr">
        <is>
          <t>["evidence_batch_003_024", "https://jeminise.com/products/christmas-bedding-quilt-soft-microfiber-holiday-bedsprea-design-09", "serp_qa_024"]</t>
        </is>
      </c>
      <c r="J45" s="3" t="inlineStr">
        <is>
          <t>["R2-ISS-024-DESC", "ISS-024-ENC", "R2-ISS-024-PERS"]</t>
        </is>
      </c>
    </row>
    <row r="46" ht="42" customHeight="1">
      <c r="A46" s="2" t="inlineStr">
        <is>
          <t>jeminise.com+christmas-bedding-quilt-soft-microfiber-holiday-bedsprea-design-10</t>
        </is>
      </c>
      <c r="B46" s="2" t="inlineStr">
        <is>
          <t>P1</t>
        </is>
      </c>
      <c r="C46" s="2" t="n">
        <v>15</v>
      </c>
      <c r="D46" s="2" t="inlineStr">
        <is>
          <t>FAIL</t>
        </is>
      </c>
      <c r="E46" s="5">
        <f>IF(B46="I1",AVERAGEIF('QA_Images'!$A$2:$A$51,A46,'QA_Images'!$T$2:$T$51)/100,IF(D46="FULL",1,IF(D46="PARTIAL",0.5,IF(D46="FAIL",0,""))))</f>
        <v/>
      </c>
      <c r="F46" s="5">
        <f>IF(E46="",0,C46*E46)</f>
        <v/>
      </c>
      <c r="G46" s="5">
        <f>IF(B46="I1",20*AVERAGEIF('QA_Images'!$A$2:$A$51,A46,'QA_Images'!$U$2:$U$51)/100,IF(D46="NOT_CHECKED",0,C46))</f>
        <v/>
      </c>
      <c r="H46" s="2" t="inlineStr">
        <is>
          <t>Đối chiếu loại sản phẩm, thiết kế và màu với product JSON, H1 live và toàn bộ gallery.</t>
        </is>
      </c>
      <c r="I46" s="2" t="inlineStr">
        <is>
          <t>["evidence_batch_003_025", "https://jeminise.com/products/christmas-bedding-quilt-soft-microfiber-holiday-bedsprea-design-10", "serp_qa_025"]</t>
        </is>
      </c>
      <c r="J46" s="2" t="inlineStr">
        <is>
          <t>["R2-ISS-025-IMG-01", "R2-ISS-025-IMG-02", "R2-ISS-025-IMG-03", "R2-ISS-025-IMG-04", "R2-ISS-025-IMG-05", "R2-ISS-025-DESC", "ISS-025-ENC", "R2-ISS-025-PERS", "R2-ISS-025-DESIGN"]</t>
        </is>
      </c>
    </row>
    <row r="47" ht="42" customHeight="1">
      <c r="A47" s="3" t="inlineStr">
        <is>
          <t>jeminise.com+christmas-bedding-quilt-soft-microfiber-holiday-bedsprea-design-10</t>
        </is>
      </c>
      <c r="B47" s="3" t="inlineStr">
        <is>
          <t>P2</t>
        </is>
      </c>
      <c r="C47" s="3" t="n">
        <v>10</v>
      </c>
      <c r="D47" s="3" t="inlineStr">
        <is>
          <t>PARTIAL</t>
        </is>
      </c>
      <c r="E47" s="7">
        <f>IF(B47="I1",AVERAGEIF('QA_Images'!$A$2:$A$51,A47,'QA_Images'!$T$2:$T$51)/100,IF(D47="FULL",1,IF(D47="PARTIAL",0.5,IF(D47="FAIL",0,""))))</f>
        <v/>
      </c>
      <c r="F47" s="7">
        <f>IF(E47="",0,C47*E47)</f>
        <v/>
      </c>
      <c r="G47" s="7">
        <f>IF(B47="I1",20*AVERAGEIF('QA_Images'!$A$2:$A$51,A47,'QA_Images'!$U$2:$U$51)/100,IF(D47="NOT_CHECKED",0,C47))</f>
        <v/>
      </c>
      <c r="H47" s="3" t="inlineStr">
        <is>
          <t>Đối chiếu material, dimensions, components, variants và personalization với product.js live, body HTML và gallery.</t>
        </is>
      </c>
      <c r="I47" s="3" t="inlineStr">
        <is>
          <t>["evidence_batch_003_025", "https://jeminise.com/products/christmas-bedding-quilt-soft-microfiber-holiday-bedsprea-design-10", "serp_qa_025"]</t>
        </is>
      </c>
      <c r="J47" s="3" t="inlineStr">
        <is>
          <t>["R2-ISS-025-IMG-01", "R2-ISS-025-IMG-02", "R2-ISS-025-IMG-03", "R2-ISS-025-IMG-04", "R2-ISS-025-IMG-05", "R2-ISS-025-DESC", "ISS-025-ENC", "R2-ISS-025-PERS", "R2-ISS-025-DESIGN"]</t>
        </is>
      </c>
    </row>
    <row r="48" ht="42" customHeight="1">
      <c r="A48" s="2" t="inlineStr">
        <is>
          <t>jeminise.com+christmas-bedding-quilt-soft-microfiber-holiday-bedsprea-design-10</t>
        </is>
      </c>
      <c r="B48" s="2" t="inlineStr">
        <is>
          <t>K1</t>
        </is>
      </c>
      <c r="C48" s="2" t="n">
        <v>10</v>
      </c>
      <c r="D48" s="2" t="inlineStr">
        <is>
          <t>FAIL</t>
        </is>
      </c>
      <c r="E48" s="5">
        <f>IF(B48="I1",AVERAGEIF('QA_Images'!$A$2:$A$51,A48,'QA_Images'!$T$2:$T$51)/100,IF(D48="FULL",1,IF(D48="PARTIAL",0.5,IF(D48="FAIL",0,""))))</f>
        <v/>
      </c>
      <c r="F48" s="5">
        <f>IF(E48="",0,C48*E48)</f>
        <v/>
      </c>
      <c r="G48" s="5">
        <f>IF(B48="I1",20*AVERAGEIF('QA_Images'!$A$2:$A$51,A48,'QA_Images'!$U$2:$U$51)/100,IF(D48="NOT_CHECKED",0,C48))</f>
        <v/>
      </c>
      <c r="H48" s="2" t="inlineStr">
        <is>
          <t>Đối chiếu long-tail với thiết kế trực tiếp nhìn thấy và nguy cơ trùng intent trong cụm Christmas/cardinal.</t>
        </is>
      </c>
      <c r="I48" s="2" t="inlineStr">
        <is>
          <t>["evidence_batch_003_025", "https://jeminise.com/products/christmas-bedding-quilt-soft-microfiber-holiday-bedsprea-design-10", "serp_qa_025"]</t>
        </is>
      </c>
      <c r="J48" s="2" t="inlineStr">
        <is>
          <t>["R2-ISS-025-IMG-01", "R2-ISS-025-IMG-02", "R2-ISS-025-IMG-03", "R2-ISS-025-IMG-04", "R2-ISS-025-IMG-05", "R2-ISS-025-DESC", "ISS-025-ENC", "R2-ISS-025-PERS", "R2-ISS-025-DESIGN"]</t>
        </is>
      </c>
    </row>
    <row r="49" ht="42" customHeight="1">
      <c r="A49" s="3" t="inlineStr">
        <is>
          <t>jeminise.com+christmas-bedding-quilt-soft-microfiber-holiday-bedsprea-design-10</t>
        </is>
      </c>
      <c r="B49" s="3" t="inlineStr">
        <is>
          <t>K2</t>
        </is>
      </c>
      <c r="C49" s="3" t="n">
        <v>5</v>
      </c>
      <c r="D49" s="3" t="inlineStr">
        <is>
          <t>PARTIAL</t>
        </is>
      </c>
      <c r="E49" s="7">
        <f>IF(B49="I1",AVERAGEIF('QA_Images'!$A$2:$A$51,A49,'QA_Images'!$T$2:$T$51)/100,IF(D49="FULL",1,IF(D49="PARTIAL",0.5,IF(D49="FAIL",0,""))))</f>
        <v/>
      </c>
      <c r="F49" s="7">
        <f>IF(E49="",0,C49*E49)</f>
        <v/>
      </c>
      <c r="G49" s="7">
        <f>IF(B49="I1",20*AVERAGEIF('QA_Images'!$A$2:$A$51,A49,'QA_Images'!$U$2:$U$51)/100,IF(D49="NOT_CHECKED",0,C49))</f>
        <v/>
      </c>
      <c r="H49" s="3" t="inlineStr">
        <is>
          <t>Đã đọc lại primary và comparator SERP theo US intent; đánh giá product/kit/pattern result type.</t>
        </is>
      </c>
      <c r="I49" s="3" t="inlineStr">
        <is>
          <t>["evidence_batch_003_025", "https://jeminise.com/products/christmas-bedding-quilt-soft-microfiber-holiday-bedsprea-design-10", "serp_qa_025"]</t>
        </is>
      </c>
      <c r="J49" s="3" t="inlineStr">
        <is>
          <t>["R2-ISS-025-IMG-01", "R2-ISS-025-IMG-02", "R2-ISS-025-IMG-03", "R2-ISS-025-IMG-04", "R2-ISS-025-IMG-05", "R2-ISS-025-DESC", "ISS-025-ENC", "R2-ISS-025-PERS", "R2-ISS-025-DESIGN"]</t>
        </is>
      </c>
    </row>
    <row r="50" ht="42" customHeight="1">
      <c r="A50" s="2" t="inlineStr">
        <is>
          <t>jeminise.com+christmas-bedding-quilt-soft-microfiber-holiday-bedsprea-design-10</t>
        </is>
      </c>
      <c r="B50" s="2" t="inlineStr">
        <is>
          <t>K3</t>
        </is>
      </c>
      <c r="C50" s="2" t="n">
        <v>5</v>
      </c>
      <c r="D50" s="2" t="inlineStr">
        <is>
          <t>FULL</t>
        </is>
      </c>
      <c r="E50" s="5">
        <f>IF(B50="I1",AVERAGEIF('QA_Images'!$A$2:$A$51,A50,'QA_Images'!$T$2:$T$51)/100,IF(D50="FULL",1,IF(D50="PARTIAL",0.5,IF(D50="FAIL",0,""))))</f>
        <v/>
      </c>
      <c r="F50" s="5">
        <f>IF(E50="",0,C50*E50)</f>
        <v/>
      </c>
      <c r="G50" s="5">
        <f>IF(B50="I1",20*AVERAGEIF('QA_Images'!$A$2:$A$51,A50,'QA_Images'!$U$2:$U$51)/100,IF(D50="NOT_CHECKED",0,C50))</f>
        <v/>
      </c>
      <c r="H50" s="2" t="inlineStr">
        <is>
          <t>Không suy diễn volume; phân biệt SERP_ONLY và HYPOTHESIS_ONLY.</t>
        </is>
      </c>
      <c r="I50" s="2" t="inlineStr">
        <is>
          <t>["evidence_batch_003_025", "https://jeminise.com/products/christmas-bedding-quilt-soft-microfiber-holiday-bedsprea-design-10", "serp_qa_025"]</t>
        </is>
      </c>
      <c r="J50" s="2" t="inlineStr">
        <is>
          <t>["R2-ISS-025-IMG-01", "R2-ISS-025-IMG-02", "R2-ISS-025-IMG-03", "R2-ISS-025-IMG-04", "R2-ISS-025-IMG-05", "R2-ISS-025-DESC", "ISS-025-ENC", "R2-ISS-025-PERS", "R2-ISS-025-DESIGN"]</t>
        </is>
      </c>
    </row>
    <row r="51" ht="42" customHeight="1">
      <c r="A51" s="3" t="inlineStr">
        <is>
          <t>jeminise.com+christmas-bedding-quilt-soft-microfiber-holiday-bedsprea-design-10</t>
        </is>
      </c>
      <c r="B51" s="3" t="inlineStr">
        <is>
          <t>T1</t>
        </is>
      </c>
      <c r="C51" s="3" t="n">
        <v>10</v>
      </c>
      <c r="D51" s="3" t="inlineStr">
        <is>
          <t>FAIL</t>
        </is>
      </c>
      <c r="E51" s="7">
        <f>IF(B51="I1",AVERAGEIF('QA_Images'!$A$2:$A$51,A51,'QA_Images'!$T$2:$T$51)/100,IF(D51="FULL",1,IF(D51="PARTIAL",0.5,IF(D51="FAIL",0,""))))</f>
        <v/>
      </c>
      <c r="F51" s="7">
        <f>IF(E51="",0,C51*E51)</f>
        <v/>
      </c>
      <c r="G51" s="7">
        <f>IF(B51="I1",20*AVERAGEIF('QA_Images'!$A$2:$A$51,A51,'QA_Images'!$U$2:$U$51)/100,IF(D51="NOT_CHECKED",0,C51))</f>
        <v/>
      </c>
      <c r="H51" s="3" t="inlineStr">
        <is>
          <t>Đánh giá SEO title English về độ đúng, tự nhiên, keyword và điểm phân biệt.</t>
        </is>
      </c>
      <c r="I51" s="3" t="inlineStr">
        <is>
          <t>["evidence_batch_003_025", "https://jeminise.com/products/christmas-bedding-quilt-soft-microfiber-holiday-bedsprea-design-10", "serp_qa_025"]</t>
        </is>
      </c>
      <c r="J51" s="3" t="inlineStr">
        <is>
          <t>["R2-ISS-025-IMG-01", "R2-ISS-025-IMG-02", "R2-ISS-025-IMG-03", "R2-ISS-025-IMG-04", "R2-ISS-025-IMG-05", "R2-ISS-025-DESC", "ISS-025-ENC", "R2-ISS-025-PERS", "R2-ISS-025-DESIGN"]</t>
        </is>
      </c>
    </row>
    <row r="52" ht="42" customHeight="1">
      <c r="A52" s="2" t="inlineStr">
        <is>
          <t>jeminise.com+christmas-bedding-quilt-soft-microfiber-holiday-bedsprea-design-10</t>
        </is>
      </c>
      <c r="B52" s="2" t="inlineStr">
        <is>
          <t>T2</t>
        </is>
      </c>
      <c r="C52" s="2" t="n">
        <v>5</v>
      </c>
      <c r="D52" s="2" t="inlineStr">
        <is>
          <t>FAIL</t>
        </is>
      </c>
      <c r="E52" s="5">
        <f>IF(B52="I1",AVERAGEIF('QA_Images'!$A$2:$A$51,A52,'QA_Images'!$T$2:$T$51)/100,IF(D52="FULL",1,IF(D52="PARTIAL",0.5,IF(D52="FAIL",0,""))))</f>
        <v/>
      </c>
      <c r="F52" s="5">
        <f>IF(E52="",0,C52*E52)</f>
        <v/>
      </c>
      <c r="G52" s="5">
        <f>IF(B52="I1",20*AVERAGEIF('QA_Images'!$A$2:$A$51,A52,'QA_Images'!$U$2:$U$51)/100,IF(D52="NOT_CHECKED",0,C52))</f>
        <v/>
      </c>
      <c r="H52" s="2" t="inlineStr">
        <is>
          <t>Đánh giá H1 đề xuất độc lập với SEO title và đối chiếu lỗi ký tự nguồn.</t>
        </is>
      </c>
      <c r="I52" s="2" t="inlineStr">
        <is>
          <t>["evidence_batch_003_025", "https://jeminise.com/products/christmas-bedding-quilt-soft-microfiber-holiday-bedsprea-design-10", "serp_qa_025"]</t>
        </is>
      </c>
      <c r="J52" s="2" t="inlineStr">
        <is>
          <t>["R2-ISS-025-IMG-01", "R2-ISS-025-IMG-02", "R2-ISS-025-IMG-03", "R2-ISS-025-IMG-04", "R2-ISS-025-IMG-05", "R2-ISS-025-DESC", "ISS-025-ENC", "R2-ISS-025-PERS", "R2-ISS-025-DESIGN"]</t>
        </is>
      </c>
    </row>
    <row r="53" ht="42" customHeight="1">
      <c r="A53" s="3" t="inlineStr">
        <is>
          <t>jeminise.com+christmas-bedding-quilt-soft-microfiber-holiday-bedsprea-design-10</t>
        </is>
      </c>
      <c r="B53" s="3" t="inlineStr">
        <is>
          <t>D1</t>
        </is>
      </c>
      <c r="C53" s="3" t="n">
        <v>5</v>
      </c>
      <c r="D53" s="3" t="inlineStr">
        <is>
          <t>FAIL</t>
        </is>
      </c>
      <c r="E53" s="7">
        <f>IF(B53="I1",AVERAGEIF('QA_Images'!$A$2:$A$51,A53,'QA_Images'!$T$2:$T$51)/100,IF(D53="FULL",1,IF(D53="PARTIAL",0.5,IF(D53="FAIL",0,""))))</f>
        <v/>
      </c>
      <c r="F53" s="7">
        <f>IF(E53="",0,C53*E53)</f>
        <v/>
      </c>
      <c r="G53" s="7">
        <f>IF(B53="I1",20*AVERAGEIF('QA_Images'!$A$2:$A$51,A53,'QA_Images'!$U$2:$U$51)/100,IF(D53="NOT_CHECKED",0,C53))</f>
        <v/>
      </c>
      <c r="H53" s="3" t="inlineStr">
        <is>
          <t>Đánh giá meta description về tính cụ thể và căn cứ claim.</t>
        </is>
      </c>
      <c r="I53" s="3" t="inlineStr">
        <is>
          <t>["evidence_batch_003_025", "https://jeminise.com/products/christmas-bedding-quilt-soft-microfiber-holiday-bedsprea-design-10", "serp_qa_025"]</t>
        </is>
      </c>
      <c r="J53" s="3" t="inlineStr">
        <is>
          <t>["R2-ISS-025-IMG-01", "R2-ISS-025-IMG-02", "R2-ISS-025-IMG-03", "R2-ISS-025-IMG-04", "R2-ISS-025-IMG-05", "R2-ISS-025-DESC", "ISS-025-ENC", "R2-ISS-025-PERS", "R2-ISS-025-DESIGN"]</t>
        </is>
      </c>
    </row>
    <row r="54" ht="42" customHeight="1">
      <c r="A54" s="2" t="inlineStr">
        <is>
          <t>jeminise.com+christmas-bedding-quilt-soft-microfiber-holiday-bedsprea-design-10</t>
        </is>
      </c>
      <c r="B54" s="2" t="inlineStr">
        <is>
          <t>D2</t>
        </is>
      </c>
      <c r="C54" s="2" t="n">
        <v>10</v>
      </c>
      <c r="D54" s="2" t="inlineStr">
        <is>
          <t>FAIL</t>
        </is>
      </c>
      <c r="E54" s="5">
        <f>IF(B54="I1",AVERAGEIF('QA_Images'!$A$2:$A$51,A54,'QA_Images'!$T$2:$T$51)/100,IF(D54="FULL",1,IF(D54="PARTIAL",0.5,IF(D54="FAIL",0,""))))</f>
        <v/>
      </c>
      <c r="F54" s="5">
        <f>IF(E54="",0,C54*E54)</f>
        <v/>
      </c>
      <c r="G54" s="5">
        <f>IF(B54="I1",20*AVERAGEIF('QA_Images'!$A$2:$A$51,A54,'QA_Images'!$U$2:$U$51)/100,IF(D54="NOT_CHECKED",0,C54))</f>
        <v/>
      </c>
      <c r="H54" s="2" t="inlineStr">
        <is>
          <t>Description SET có HTML đầy đủ nhưng chứa câu nội bộ 'This draft should be reviewed...' và dữ liệu nguồn thô/mâu thuẫn; chưa phải nội dung publish-ready.</t>
        </is>
      </c>
      <c r="I54" s="2" t="inlineStr">
        <is>
          <t>["evidence_batch_003_025", "https://jeminise.com/products/christmas-bedding-quilt-soft-microfiber-holiday-bedsprea-design-10", "serp_qa_025"]</t>
        </is>
      </c>
      <c r="J54" s="2" t="inlineStr">
        <is>
          <t>["R2-ISS-025-IMG-01", "R2-ISS-025-IMG-02", "R2-ISS-025-IMG-03", "R2-ISS-025-IMG-04", "R2-ISS-025-IMG-05", "R2-ISS-025-DESC", "ISS-025-ENC", "R2-ISS-025-PERS", "R2-ISS-025-DESIGN"]</t>
        </is>
      </c>
    </row>
    <row r="55" ht="42" customHeight="1">
      <c r="A55" s="3" t="inlineStr">
        <is>
          <t>jeminise.com+christmas-bedding-quilt-soft-microfiber-holiday-bedsprea-design-10</t>
        </is>
      </c>
      <c r="B55" s="3" t="inlineStr">
        <is>
          <t>I1</t>
        </is>
      </c>
      <c r="C55" s="3" t="n">
        <v>20</v>
      </c>
      <c r="D55" s="3" t="inlineStr">
        <is>
          <t>DERIVED</t>
        </is>
      </c>
      <c r="E55" s="7">
        <f>IF(B55="I1",AVERAGEIF('QA_Images'!$A$2:$A$51,A55,'QA_Images'!$T$2:$T$51)/100,IF(D55="FULL",1,IF(D55="PARTIAL",0.5,IF(D55="FAIL",0,""))))</f>
        <v/>
      </c>
      <c r="F55" s="7">
        <f>IF(E55="",0,C55*E55)</f>
        <v/>
      </c>
      <c r="G55" s="7">
        <f>IF(B55="I1",20*AVERAGEIF('QA_Images'!$A$2:$A$51,A55,'QA_Images'!$U$2:$U$51)/100,IF(D55="NOT_CHECKED",0,C55))</f>
        <v/>
      </c>
      <c r="H55" s="3" t="inlineStr">
        <is>
          <t>Tính từ trung bình 5 ảnh: 80.0000/100.</t>
        </is>
      </c>
      <c r="I55" s="3" t="inlineStr">
        <is>
          <t>["evidence_batch_003_025", "https://jeminise.com/products/christmas-bedding-quilt-soft-microfiber-holiday-bedsprea-design-10", "serp_qa_025"]</t>
        </is>
      </c>
      <c r="J55" s="3" t="inlineStr">
        <is>
          <t>["R2-ISS-025-IMG-01", "R2-ISS-025-IMG-02", "R2-ISS-025-IMG-03", "R2-ISS-025-IMG-04", "R2-ISS-025-IMG-05", "R2-ISS-025-DESC", "ISS-025-ENC", "R2-ISS-025-PERS", "R2-ISS-025-DESIGN"]</t>
        </is>
      </c>
    </row>
    <row r="56" ht="42" customHeight="1">
      <c r="A56" s="2" t="inlineStr">
        <is>
          <t>jeminise.com+christmas-bedding-quilt-soft-microfiber-holiday-bedsprea-design-10</t>
        </is>
      </c>
      <c r="B56" s="2" t="inlineStr">
        <is>
          <t>E1</t>
        </is>
      </c>
      <c r="C56" s="2" t="n">
        <v>5</v>
      </c>
      <c r="D56" s="2" t="inlineStr">
        <is>
          <t>PARTIAL</t>
        </is>
      </c>
      <c r="E56" s="5">
        <f>IF(B56="I1",AVERAGEIF('QA_Images'!$A$2:$A$51,A56,'QA_Images'!$T$2:$T$51)/100,IF(D56="FULL",1,IF(D56="PARTIAL",0.5,IF(D56="FAIL",0,""))))</f>
        <v/>
      </c>
      <c r="F56" s="5">
        <f>IF(E56="",0,C56*E56)</f>
        <v/>
      </c>
      <c r="G56" s="5">
        <f>IF(B56="I1",20*AVERAGEIF('QA_Images'!$A$2:$A$51,A56,'QA_Images'!$U$2:$U$51)/100,IF(D56="NOT_CHECKED",0,C56))</f>
        <v/>
      </c>
      <c r="H56" s="2" t="inlineStr">
        <is>
          <t>Kiểm tra liên kết product key/handle/evidence/revision giữa workbook, snapshot và nguồn live.</t>
        </is>
      </c>
      <c r="I56" s="2" t="inlineStr">
        <is>
          <t>["evidence_batch_003_025", "https://jeminise.com/products/christmas-bedding-quilt-soft-microfiber-holiday-bedsprea-design-10", "serp_qa_025"]</t>
        </is>
      </c>
      <c r="J56" s="2" t="inlineStr">
        <is>
          <t>["R2-ISS-025-IMG-01", "R2-ISS-025-IMG-02", "R2-ISS-025-IMG-03", "R2-ISS-025-IMG-04", "R2-ISS-025-IMG-05", "R2-ISS-025-DESC", "ISS-025-ENC", "R2-ISS-025-PERS", "R2-ISS-025-DESIGN"]</t>
        </is>
      </c>
    </row>
    <row r="57" ht="42" customHeight="1">
      <c r="A57" s="3" t="inlineStr">
        <is>
          <t>jeminise.com+christmas-bedding-quilt-soft-microfiber-holiday-bedsprea-design-11</t>
        </is>
      </c>
      <c r="B57" s="3" t="inlineStr">
        <is>
          <t>P1</t>
        </is>
      </c>
      <c r="C57" s="3" t="n">
        <v>15</v>
      </c>
      <c r="D57" s="3" t="inlineStr">
        <is>
          <t>FULL</t>
        </is>
      </c>
      <c r="E57" s="7">
        <f>IF(B57="I1",AVERAGEIF('QA_Images'!$A$2:$A$51,A57,'QA_Images'!$T$2:$T$51)/100,IF(D57="FULL",1,IF(D57="PARTIAL",0.5,IF(D57="FAIL",0,""))))</f>
        <v/>
      </c>
      <c r="F57" s="7">
        <f>IF(E57="",0,C57*E57)</f>
        <v/>
      </c>
      <c r="G57" s="7">
        <f>IF(B57="I1",20*AVERAGEIF('QA_Images'!$A$2:$A$51,A57,'QA_Images'!$U$2:$U$51)/100,IF(D57="NOT_CHECKED",0,C57))</f>
        <v/>
      </c>
      <c r="H57" s="3" t="inlineStr">
        <is>
          <t>Đối chiếu loại sản phẩm, thiết kế và màu với product JSON, H1 live và toàn bộ gallery.</t>
        </is>
      </c>
      <c r="I57" s="3" t="inlineStr">
        <is>
          <t>["evidence_batch_003_026", "https://jeminise.com/products/christmas-bedding-quilt-soft-microfiber-holiday-bedsprea-design-11", "serp_qa_026"]</t>
        </is>
      </c>
      <c r="J57" s="3" t="inlineStr">
        <is>
          <t>["R2-ISS-026-DESC", "ISS-026-ENC", "R2-ISS-026-PERS"]</t>
        </is>
      </c>
    </row>
    <row r="58" ht="42" customHeight="1">
      <c r="A58" s="2" t="inlineStr">
        <is>
          <t>jeminise.com+christmas-bedding-quilt-soft-microfiber-holiday-bedsprea-design-11</t>
        </is>
      </c>
      <c r="B58" s="2" t="inlineStr">
        <is>
          <t>P2</t>
        </is>
      </c>
      <c r="C58" s="2" t="n">
        <v>10</v>
      </c>
      <c r="D58" s="2" t="inlineStr">
        <is>
          <t>PARTIAL</t>
        </is>
      </c>
      <c r="E58" s="5">
        <f>IF(B58="I1",AVERAGEIF('QA_Images'!$A$2:$A$51,A58,'QA_Images'!$T$2:$T$51)/100,IF(D58="FULL",1,IF(D58="PARTIAL",0.5,IF(D58="FAIL",0,""))))</f>
        <v/>
      </c>
      <c r="F58" s="5">
        <f>IF(E58="",0,C58*E58)</f>
        <v/>
      </c>
      <c r="G58" s="5">
        <f>IF(B58="I1",20*AVERAGEIF('QA_Images'!$A$2:$A$51,A58,'QA_Images'!$U$2:$U$51)/100,IF(D58="NOT_CHECKED",0,C58))</f>
        <v/>
      </c>
      <c r="H58" s="2" t="inlineStr">
        <is>
          <t>Đối chiếu material, dimensions, components, variants và personalization với product.js live, body HTML và gallery.</t>
        </is>
      </c>
      <c r="I58" s="2" t="inlineStr">
        <is>
          <t>["evidence_batch_003_026", "https://jeminise.com/products/christmas-bedding-quilt-soft-microfiber-holiday-bedsprea-design-11", "serp_qa_026"]</t>
        </is>
      </c>
      <c r="J58" s="2" t="inlineStr">
        <is>
          <t>["R2-ISS-026-DESC", "ISS-026-ENC", "R2-ISS-026-PERS"]</t>
        </is>
      </c>
    </row>
    <row r="59" ht="42" customHeight="1">
      <c r="A59" s="3" t="inlineStr">
        <is>
          <t>jeminise.com+christmas-bedding-quilt-soft-microfiber-holiday-bedsprea-design-11</t>
        </is>
      </c>
      <c r="B59" s="3" t="inlineStr">
        <is>
          <t>K1</t>
        </is>
      </c>
      <c r="C59" s="3" t="n">
        <v>10</v>
      </c>
      <c r="D59" s="3" t="inlineStr">
        <is>
          <t>FULL</t>
        </is>
      </c>
      <c r="E59" s="7">
        <f>IF(B59="I1",AVERAGEIF('QA_Images'!$A$2:$A$51,A59,'QA_Images'!$T$2:$T$51)/100,IF(D59="FULL",1,IF(D59="PARTIAL",0.5,IF(D59="FAIL",0,""))))</f>
        <v/>
      </c>
      <c r="F59" s="7">
        <f>IF(E59="",0,C59*E59)</f>
        <v/>
      </c>
      <c r="G59" s="7">
        <f>IF(B59="I1",20*AVERAGEIF('QA_Images'!$A$2:$A$51,A59,'QA_Images'!$U$2:$U$51)/100,IF(D59="NOT_CHECKED",0,C59))</f>
        <v/>
      </c>
      <c r="H59" s="3" t="inlineStr">
        <is>
          <t>Đối chiếu long-tail với thiết kế trực tiếp nhìn thấy và nguy cơ trùng intent trong cụm Christmas/cardinal.</t>
        </is>
      </c>
      <c r="I59" s="3" t="inlineStr">
        <is>
          <t>["evidence_batch_003_026", "https://jeminise.com/products/christmas-bedding-quilt-soft-microfiber-holiday-bedsprea-design-11", "serp_qa_026"]</t>
        </is>
      </c>
      <c r="J59" s="3" t="inlineStr">
        <is>
          <t>["R2-ISS-026-DESC", "ISS-026-ENC", "R2-ISS-026-PERS"]</t>
        </is>
      </c>
    </row>
    <row r="60" ht="42" customHeight="1">
      <c r="A60" s="2" t="inlineStr">
        <is>
          <t>jeminise.com+christmas-bedding-quilt-soft-microfiber-holiday-bedsprea-design-11</t>
        </is>
      </c>
      <c r="B60" s="2" t="inlineStr">
        <is>
          <t>K2</t>
        </is>
      </c>
      <c r="C60" s="2" t="n">
        <v>5</v>
      </c>
      <c r="D60" s="2" t="inlineStr">
        <is>
          <t>FULL</t>
        </is>
      </c>
      <c r="E60" s="5">
        <f>IF(B60="I1",AVERAGEIF('QA_Images'!$A$2:$A$51,A60,'QA_Images'!$T$2:$T$51)/100,IF(D60="FULL",1,IF(D60="PARTIAL",0.5,IF(D60="FAIL",0,""))))</f>
        <v/>
      </c>
      <c r="F60" s="5">
        <f>IF(E60="",0,C60*E60)</f>
        <v/>
      </c>
      <c r="G60" s="5">
        <f>IF(B60="I1",20*AVERAGEIF('QA_Images'!$A$2:$A$51,A60,'QA_Images'!$U$2:$U$51)/100,IF(D60="NOT_CHECKED",0,C60))</f>
        <v/>
      </c>
      <c r="H60" s="2" t="inlineStr">
        <is>
          <t>Đã đọc lại primary và comparator SERP theo US intent; đánh giá product/kit/pattern result type.</t>
        </is>
      </c>
      <c r="I60" s="2" t="inlineStr">
        <is>
          <t>["evidence_batch_003_026", "https://jeminise.com/products/christmas-bedding-quilt-soft-microfiber-holiday-bedsprea-design-11", "serp_qa_026"]</t>
        </is>
      </c>
      <c r="J60" s="2" t="inlineStr">
        <is>
          <t>["R2-ISS-026-DESC", "ISS-026-ENC", "R2-ISS-026-PERS"]</t>
        </is>
      </c>
    </row>
    <row r="61" ht="42" customHeight="1">
      <c r="A61" s="3" t="inlineStr">
        <is>
          <t>jeminise.com+christmas-bedding-quilt-soft-microfiber-holiday-bedsprea-design-11</t>
        </is>
      </c>
      <c r="B61" s="3" t="inlineStr">
        <is>
          <t>K3</t>
        </is>
      </c>
      <c r="C61" s="3" t="n">
        <v>5</v>
      </c>
      <c r="D61" s="3" t="inlineStr">
        <is>
          <t>FULL</t>
        </is>
      </c>
      <c r="E61" s="7">
        <f>IF(B61="I1",AVERAGEIF('QA_Images'!$A$2:$A$51,A61,'QA_Images'!$T$2:$T$51)/100,IF(D61="FULL",1,IF(D61="PARTIAL",0.5,IF(D61="FAIL",0,""))))</f>
        <v/>
      </c>
      <c r="F61" s="7">
        <f>IF(E61="",0,C61*E61)</f>
        <v/>
      </c>
      <c r="G61" s="7">
        <f>IF(B61="I1",20*AVERAGEIF('QA_Images'!$A$2:$A$51,A61,'QA_Images'!$U$2:$U$51)/100,IF(D61="NOT_CHECKED",0,C61))</f>
        <v/>
      </c>
      <c r="H61" s="3" t="inlineStr">
        <is>
          <t>Không suy diễn volume; phân biệt SERP_ONLY và HYPOTHESIS_ONLY.</t>
        </is>
      </c>
      <c r="I61" s="3" t="inlineStr">
        <is>
          <t>["evidence_batch_003_026", "https://jeminise.com/products/christmas-bedding-quilt-soft-microfiber-holiday-bedsprea-design-11", "serp_qa_026"]</t>
        </is>
      </c>
      <c r="J61" s="3" t="inlineStr">
        <is>
          <t>["R2-ISS-026-DESC", "ISS-026-ENC", "R2-ISS-026-PERS"]</t>
        </is>
      </c>
    </row>
    <row r="62" ht="42" customHeight="1">
      <c r="A62" s="2" t="inlineStr">
        <is>
          <t>jeminise.com+christmas-bedding-quilt-soft-microfiber-holiday-bedsprea-design-11</t>
        </is>
      </c>
      <c r="B62" s="2" t="inlineStr">
        <is>
          <t>T1</t>
        </is>
      </c>
      <c r="C62" s="2" t="n">
        <v>10</v>
      </c>
      <c r="D62" s="2" t="inlineStr">
        <is>
          <t>FULL</t>
        </is>
      </c>
      <c r="E62" s="5">
        <f>IF(B62="I1",AVERAGEIF('QA_Images'!$A$2:$A$51,A62,'QA_Images'!$T$2:$T$51)/100,IF(D62="FULL",1,IF(D62="PARTIAL",0.5,IF(D62="FAIL",0,""))))</f>
        <v/>
      </c>
      <c r="F62" s="5">
        <f>IF(E62="",0,C62*E62)</f>
        <v/>
      </c>
      <c r="G62" s="5">
        <f>IF(B62="I1",20*AVERAGEIF('QA_Images'!$A$2:$A$51,A62,'QA_Images'!$U$2:$U$51)/100,IF(D62="NOT_CHECKED",0,C62))</f>
        <v/>
      </c>
      <c r="H62" s="2" t="inlineStr">
        <is>
          <t>Đánh giá SEO title English về độ đúng, tự nhiên, keyword và điểm phân biệt.</t>
        </is>
      </c>
      <c r="I62" s="2" t="inlineStr">
        <is>
          <t>["evidence_batch_003_026", "https://jeminise.com/products/christmas-bedding-quilt-soft-microfiber-holiday-bedsprea-design-11", "serp_qa_026"]</t>
        </is>
      </c>
      <c r="J62" s="2" t="inlineStr">
        <is>
          <t>["R2-ISS-026-DESC", "ISS-026-ENC", "R2-ISS-026-PERS"]</t>
        </is>
      </c>
    </row>
    <row r="63" ht="42" customHeight="1">
      <c r="A63" s="3" t="inlineStr">
        <is>
          <t>jeminise.com+christmas-bedding-quilt-soft-microfiber-holiday-bedsprea-design-11</t>
        </is>
      </c>
      <c r="B63" s="3" t="inlineStr">
        <is>
          <t>T2</t>
        </is>
      </c>
      <c r="C63" s="3" t="n">
        <v>5</v>
      </c>
      <c r="D63" s="3" t="inlineStr">
        <is>
          <t>FULL</t>
        </is>
      </c>
      <c r="E63" s="7">
        <f>IF(B63="I1",AVERAGEIF('QA_Images'!$A$2:$A$51,A63,'QA_Images'!$T$2:$T$51)/100,IF(D63="FULL",1,IF(D63="PARTIAL",0.5,IF(D63="FAIL",0,""))))</f>
        <v/>
      </c>
      <c r="F63" s="7">
        <f>IF(E63="",0,C63*E63)</f>
        <v/>
      </c>
      <c r="G63" s="7">
        <f>IF(B63="I1",20*AVERAGEIF('QA_Images'!$A$2:$A$51,A63,'QA_Images'!$U$2:$U$51)/100,IF(D63="NOT_CHECKED",0,C63))</f>
        <v/>
      </c>
      <c r="H63" s="3" t="inlineStr">
        <is>
          <t>Đánh giá H1 đề xuất độc lập với SEO title và đối chiếu lỗi ký tự nguồn.</t>
        </is>
      </c>
      <c r="I63" s="3" t="inlineStr">
        <is>
          <t>["evidence_batch_003_026", "https://jeminise.com/products/christmas-bedding-quilt-soft-microfiber-holiday-bedsprea-design-11", "serp_qa_026"]</t>
        </is>
      </c>
      <c r="J63" s="3" t="inlineStr">
        <is>
          <t>["R2-ISS-026-DESC", "ISS-026-ENC", "R2-ISS-026-PERS"]</t>
        </is>
      </c>
    </row>
    <row r="64" ht="42" customHeight="1">
      <c r="A64" s="2" t="inlineStr">
        <is>
          <t>jeminise.com+christmas-bedding-quilt-soft-microfiber-holiday-bedsprea-design-11</t>
        </is>
      </c>
      <c r="B64" s="2" t="inlineStr">
        <is>
          <t>D1</t>
        </is>
      </c>
      <c r="C64" s="2" t="n">
        <v>5</v>
      </c>
      <c r="D64" s="2" t="inlineStr">
        <is>
          <t>PARTIAL</t>
        </is>
      </c>
      <c r="E64" s="5">
        <f>IF(B64="I1",AVERAGEIF('QA_Images'!$A$2:$A$51,A64,'QA_Images'!$T$2:$T$51)/100,IF(D64="FULL",1,IF(D64="PARTIAL",0.5,IF(D64="FAIL",0,""))))</f>
        <v/>
      </c>
      <c r="F64" s="5">
        <f>IF(E64="",0,C64*E64)</f>
        <v/>
      </c>
      <c r="G64" s="5">
        <f>IF(B64="I1",20*AVERAGEIF('QA_Images'!$A$2:$A$51,A64,'QA_Images'!$U$2:$U$51)/100,IF(D64="NOT_CHECKED",0,C64))</f>
        <v/>
      </c>
      <c r="H64" s="2" t="inlineStr">
        <is>
          <t>Đánh giá meta description về tính cụ thể và căn cứ claim.</t>
        </is>
      </c>
      <c r="I64" s="2" t="inlineStr">
        <is>
          <t>["evidence_batch_003_026", "https://jeminise.com/products/christmas-bedding-quilt-soft-microfiber-holiday-bedsprea-design-11", "serp_qa_026"]</t>
        </is>
      </c>
      <c r="J64" s="2" t="inlineStr">
        <is>
          <t>["R2-ISS-026-DESC", "ISS-026-ENC", "R2-ISS-026-PERS"]</t>
        </is>
      </c>
    </row>
    <row r="65" ht="42" customHeight="1">
      <c r="A65" s="3" t="inlineStr">
        <is>
          <t>jeminise.com+christmas-bedding-quilt-soft-microfiber-holiday-bedsprea-design-11</t>
        </is>
      </c>
      <c r="B65" s="3" t="inlineStr">
        <is>
          <t>D2</t>
        </is>
      </c>
      <c r="C65" s="3" t="n">
        <v>10</v>
      </c>
      <c r="D65" s="3" t="inlineStr">
        <is>
          <t>PARTIAL</t>
        </is>
      </c>
      <c r="E65" s="7">
        <f>IF(B65="I1",AVERAGEIF('QA_Images'!$A$2:$A$51,A65,'QA_Images'!$T$2:$T$51)/100,IF(D65="FULL",1,IF(D65="PARTIAL",0.5,IF(D65="FAIL",0,""))))</f>
        <v/>
      </c>
      <c r="F65" s="7">
        <f>IF(E65="",0,C65*E65)</f>
        <v/>
      </c>
      <c r="G65" s="7">
        <f>IF(B65="I1",20*AVERAGEIF('QA_Images'!$A$2:$A$51,A65,'QA_Images'!$U$2:$U$51)/100,IF(D65="NOT_CHECKED",0,C65))</f>
        <v/>
      </c>
      <c r="H65" s="3" t="inlineStr">
        <is>
          <t>Description SET có HTML đầy đủ nhưng chứa câu nội bộ 'This draft should be reviewed...' và dữ liệu nguồn thô/mâu thuẫn; chưa phải nội dung publish-ready.</t>
        </is>
      </c>
      <c r="I65" s="3" t="inlineStr">
        <is>
          <t>["evidence_batch_003_026", "https://jeminise.com/products/christmas-bedding-quilt-soft-microfiber-holiday-bedsprea-design-11", "serp_qa_026"]</t>
        </is>
      </c>
      <c r="J65" s="3" t="inlineStr">
        <is>
          <t>["R2-ISS-026-DESC", "ISS-026-ENC", "R2-ISS-026-PERS"]</t>
        </is>
      </c>
    </row>
    <row r="66" ht="42" customHeight="1">
      <c r="A66" s="2" t="inlineStr">
        <is>
          <t>jeminise.com+christmas-bedding-quilt-soft-microfiber-holiday-bedsprea-design-11</t>
        </is>
      </c>
      <c r="B66" s="2" t="inlineStr">
        <is>
          <t>I1</t>
        </is>
      </c>
      <c r="C66" s="2" t="n">
        <v>20</v>
      </c>
      <c r="D66" s="2" t="inlineStr">
        <is>
          <t>DERIVED</t>
        </is>
      </c>
      <c r="E66" s="5">
        <f>IF(B66="I1",AVERAGEIF('QA_Images'!$A$2:$A$51,A66,'QA_Images'!$T$2:$T$51)/100,IF(D66="FULL",1,IF(D66="PARTIAL",0.5,IF(D66="FAIL",0,""))))</f>
        <v/>
      </c>
      <c r="F66" s="5">
        <f>IF(E66="",0,C66*E66)</f>
        <v/>
      </c>
      <c r="G66" s="5">
        <f>IF(B66="I1",20*AVERAGEIF('QA_Images'!$A$2:$A$51,A66,'QA_Images'!$U$2:$U$51)/100,IF(D66="NOT_CHECKED",0,C66))</f>
        <v/>
      </c>
      <c r="H66" s="2" t="inlineStr">
        <is>
          <t>Tính từ trung bình 5 ảnh: 100.0000/100.</t>
        </is>
      </c>
      <c r="I66" s="2" t="inlineStr">
        <is>
          <t>["evidence_batch_003_026", "https://jeminise.com/products/christmas-bedding-quilt-soft-microfiber-holiday-bedsprea-design-11", "serp_qa_026"]</t>
        </is>
      </c>
      <c r="J66" s="2" t="inlineStr">
        <is>
          <t>["R2-ISS-026-DESC", "ISS-026-ENC", "R2-ISS-026-PERS"]</t>
        </is>
      </c>
    </row>
    <row r="67" ht="42" customHeight="1">
      <c r="A67" s="3" t="inlineStr">
        <is>
          <t>jeminise.com+christmas-bedding-quilt-soft-microfiber-holiday-bedsprea-design-11</t>
        </is>
      </c>
      <c r="B67" s="3" t="inlineStr">
        <is>
          <t>E1</t>
        </is>
      </c>
      <c r="C67" s="3" t="n">
        <v>5</v>
      </c>
      <c r="D67" s="3" t="inlineStr">
        <is>
          <t>FULL</t>
        </is>
      </c>
      <c r="E67" s="7">
        <f>IF(B67="I1",AVERAGEIF('QA_Images'!$A$2:$A$51,A67,'QA_Images'!$T$2:$T$51)/100,IF(D67="FULL",1,IF(D67="PARTIAL",0.5,IF(D67="FAIL",0,""))))</f>
        <v/>
      </c>
      <c r="F67" s="7">
        <f>IF(E67="",0,C67*E67)</f>
        <v/>
      </c>
      <c r="G67" s="7">
        <f>IF(B67="I1",20*AVERAGEIF('QA_Images'!$A$2:$A$51,A67,'QA_Images'!$U$2:$U$51)/100,IF(D67="NOT_CHECKED",0,C67))</f>
        <v/>
      </c>
      <c r="H67" s="3" t="inlineStr">
        <is>
          <t>Kiểm tra liên kết product key/handle/evidence/revision giữa workbook, snapshot và nguồn live.</t>
        </is>
      </c>
      <c r="I67" s="3" t="inlineStr">
        <is>
          <t>["evidence_batch_003_026", "https://jeminise.com/products/christmas-bedding-quilt-soft-microfiber-holiday-bedsprea-design-11", "serp_qa_026"]</t>
        </is>
      </c>
      <c r="J67" s="3" t="inlineStr">
        <is>
          <t>["R2-ISS-026-DESC", "ISS-026-ENC", "R2-ISS-026-PERS"]</t>
        </is>
      </c>
    </row>
    <row r="68" ht="42" customHeight="1">
      <c r="A68" s="2" t="inlineStr">
        <is>
          <t>jeminise.com+christmas-bedding-quilt-soft-microfiber-holiday-bedsprea-design-12</t>
        </is>
      </c>
      <c r="B68" s="2" t="inlineStr">
        <is>
          <t>P1</t>
        </is>
      </c>
      <c r="C68" s="2" t="n">
        <v>15</v>
      </c>
      <c r="D68" s="2" t="inlineStr">
        <is>
          <t>FAIL</t>
        </is>
      </c>
      <c r="E68" s="5">
        <f>IF(B68="I1",AVERAGEIF('QA_Images'!$A$2:$A$51,A68,'QA_Images'!$T$2:$T$51)/100,IF(D68="FULL",1,IF(D68="PARTIAL",0.5,IF(D68="FAIL",0,""))))</f>
        <v/>
      </c>
      <c r="F68" s="5">
        <f>IF(E68="",0,C68*E68)</f>
        <v/>
      </c>
      <c r="G68" s="5">
        <f>IF(B68="I1",20*AVERAGEIF('QA_Images'!$A$2:$A$51,A68,'QA_Images'!$U$2:$U$51)/100,IF(D68="NOT_CHECKED",0,C68))</f>
        <v/>
      </c>
      <c r="H68" s="2" t="inlineStr">
        <is>
          <t>Đối chiếu loại sản phẩm, thiết kế và màu với product JSON, H1 live và toàn bộ gallery.</t>
        </is>
      </c>
      <c r="I68" s="2" t="inlineStr">
        <is>
          <t>["evidence_batch_003_027", "https://jeminise.com/products/christmas-bedding-quilt-soft-microfiber-holiday-bedsprea-design-12", "serp_qa_027"]</t>
        </is>
      </c>
      <c r="J68" s="2" t="inlineStr">
        <is>
          <t>["R2-ISS-027-IMG-01", "R2-ISS-027-IMG-02", "R2-ISS-027-IMG-03", "R2-ISS-027-IMG-04", "R2-ISS-027-IMG-05", "R2-ISS-027-DESC", "ISS-027-ENC", "R2-ISS-027-PERS", "R2-ISS-027-DESIGN"]</t>
        </is>
      </c>
    </row>
    <row r="69" ht="42" customHeight="1">
      <c r="A69" s="3" t="inlineStr">
        <is>
          <t>jeminise.com+christmas-bedding-quilt-soft-microfiber-holiday-bedsprea-design-12</t>
        </is>
      </c>
      <c r="B69" s="3" t="inlineStr">
        <is>
          <t>P2</t>
        </is>
      </c>
      <c r="C69" s="3" t="n">
        <v>10</v>
      </c>
      <c r="D69" s="3" t="inlineStr">
        <is>
          <t>PARTIAL</t>
        </is>
      </c>
      <c r="E69" s="7">
        <f>IF(B69="I1",AVERAGEIF('QA_Images'!$A$2:$A$51,A69,'QA_Images'!$T$2:$T$51)/100,IF(D69="FULL",1,IF(D69="PARTIAL",0.5,IF(D69="FAIL",0,""))))</f>
        <v/>
      </c>
      <c r="F69" s="7">
        <f>IF(E69="",0,C69*E69)</f>
        <v/>
      </c>
      <c r="G69" s="7">
        <f>IF(B69="I1",20*AVERAGEIF('QA_Images'!$A$2:$A$51,A69,'QA_Images'!$U$2:$U$51)/100,IF(D69="NOT_CHECKED",0,C69))</f>
        <v/>
      </c>
      <c r="H69" s="3" t="inlineStr">
        <is>
          <t>Đối chiếu material, dimensions, components, variants và personalization với product.js live, body HTML và gallery.</t>
        </is>
      </c>
      <c r="I69" s="3" t="inlineStr">
        <is>
          <t>["evidence_batch_003_027", "https://jeminise.com/products/christmas-bedding-quilt-soft-microfiber-holiday-bedsprea-design-12", "serp_qa_027"]</t>
        </is>
      </c>
      <c r="J69" s="3" t="inlineStr">
        <is>
          <t>["R2-ISS-027-IMG-01", "R2-ISS-027-IMG-02", "R2-ISS-027-IMG-03", "R2-ISS-027-IMG-04", "R2-ISS-027-IMG-05", "R2-ISS-027-DESC", "ISS-027-ENC", "R2-ISS-027-PERS", "R2-ISS-027-DESIGN"]</t>
        </is>
      </c>
    </row>
    <row r="70" ht="42" customHeight="1">
      <c r="A70" s="2" t="inlineStr">
        <is>
          <t>jeminise.com+christmas-bedding-quilt-soft-microfiber-holiday-bedsprea-design-12</t>
        </is>
      </c>
      <c r="B70" s="2" t="inlineStr">
        <is>
          <t>K1</t>
        </is>
      </c>
      <c r="C70" s="2" t="n">
        <v>10</v>
      </c>
      <c r="D70" s="2" t="inlineStr">
        <is>
          <t>FAIL</t>
        </is>
      </c>
      <c r="E70" s="5">
        <f>IF(B70="I1",AVERAGEIF('QA_Images'!$A$2:$A$51,A70,'QA_Images'!$T$2:$T$51)/100,IF(D70="FULL",1,IF(D70="PARTIAL",0.5,IF(D70="FAIL",0,""))))</f>
        <v/>
      </c>
      <c r="F70" s="5">
        <f>IF(E70="",0,C70*E70)</f>
        <v/>
      </c>
      <c r="G70" s="5">
        <f>IF(B70="I1",20*AVERAGEIF('QA_Images'!$A$2:$A$51,A70,'QA_Images'!$U$2:$U$51)/100,IF(D70="NOT_CHECKED",0,C70))</f>
        <v/>
      </c>
      <c r="H70" s="2" t="inlineStr">
        <is>
          <t>Đối chiếu long-tail với thiết kế trực tiếp nhìn thấy và nguy cơ trùng intent trong cụm Christmas/cardinal.</t>
        </is>
      </c>
      <c r="I70" s="2" t="inlineStr">
        <is>
          <t>["evidence_batch_003_027", "https://jeminise.com/products/christmas-bedding-quilt-soft-microfiber-holiday-bedsprea-design-12", "serp_qa_027"]</t>
        </is>
      </c>
      <c r="J70" s="2" t="inlineStr">
        <is>
          <t>["R2-ISS-027-IMG-01", "R2-ISS-027-IMG-02", "R2-ISS-027-IMG-03", "R2-ISS-027-IMG-04", "R2-ISS-027-IMG-05", "R2-ISS-027-DESC", "ISS-027-ENC", "R2-ISS-027-PERS", "R2-ISS-027-DESIGN"]</t>
        </is>
      </c>
    </row>
    <row r="71" ht="42" customHeight="1">
      <c r="A71" s="3" t="inlineStr">
        <is>
          <t>jeminise.com+christmas-bedding-quilt-soft-microfiber-holiday-bedsprea-design-12</t>
        </is>
      </c>
      <c r="B71" s="3" t="inlineStr">
        <is>
          <t>K2</t>
        </is>
      </c>
      <c r="C71" s="3" t="n">
        <v>5</v>
      </c>
      <c r="D71" s="3" t="inlineStr">
        <is>
          <t>PARTIAL</t>
        </is>
      </c>
      <c r="E71" s="7">
        <f>IF(B71="I1",AVERAGEIF('QA_Images'!$A$2:$A$51,A71,'QA_Images'!$T$2:$T$51)/100,IF(D71="FULL",1,IF(D71="PARTIAL",0.5,IF(D71="FAIL",0,""))))</f>
        <v/>
      </c>
      <c r="F71" s="7">
        <f>IF(E71="",0,C71*E71)</f>
        <v/>
      </c>
      <c r="G71" s="7">
        <f>IF(B71="I1",20*AVERAGEIF('QA_Images'!$A$2:$A$51,A71,'QA_Images'!$U$2:$U$51)/100,IF(D71="NOT_CHECKED",0,C71))</f>
        <v/>
      </c>
      <c r="H71" s="3" t="inlineStr">
        <is>
          <t>Đã đọc lại primary và comparator SERP theo US intent; đánh giá product/kit/pattern result type.</t>
        </is>
      </c>
      <c r="I71" s="3" t="inlineStr">
        <is>
          <t>["evidence_batch_003_027", "https://jeminise.com/products/christmas-bedding-quilt-soft-microfiber-holiday-bedsprea-design-12", "serp_qa_027"]</t>
        </is>
      </c>
      <c r="J71" s="3" t="inlineStr">
        <is>
          <t>["R2-ISS-027-IMG-01", "R2-ISS-027-IMG-02", "R2-ISS-027-IMG-03", "R2-ISS-027-IMG-04", "R2-ISS-027-IMG-05", "R2-ISS-027-DESC", "ISS-027-ENC", "R2-ISS-027-PERS", "R2-ISS-027-DESIGN"]</t>
        </is>
      </c>
    </row>
    <row r="72" ht="42" customHeight="1">
      <c r="A72" s="2" t="inlineStr">
        <is>
          <t>jeminise.com+christmas-bedding-quilt-soft-microfiber-holiday-bedsprea-design-12</t>
        </is>
      </c>
      <c r="B72" s="2" t="inlineStr">
        <is>
          <t>K3</t>
        </is>
      </c>
      <c r="C72" s="2" t="n">
        <v>5</v>
      </c>
      <c r="D72" s="2" t="inlineStr">
        <is>
          <t>FULL</t>
        </is>
      </c>
      <c r="E72" s="5">
        <f>IF(B72="I1",AVERAGEIF('QA_Images'!$A$2:$A$51,A72,'QA_Images'!$T$2:$T$51)/100,IF(D72="FULL",1,IF(D72="PARTIAL",0.5,IF(D72="FAIL",0,""))))</f>
        <v/>
      </c>
      <c r="F72" s="5">
        <f>IF(E72="",0,C72*E72)</f>
        <v/>
      </c>
      <c r="G72" s="5">
        <f>IF(B72="I1",20*AVERAGEIF('QA_Images'!$A$2:$A$51,A72,'QA_Images'!$U$2:$U$51)/100,IF(D72="NOT_CHECKED",0,C72))</f>
        <v/>
      </c>
      <c r="H72" s="2" t="inlineStr">
        <is>
          <t>Không suy diễn volume; phân biệt SERP_ONLY và HYPOTHESIS_ONLY.</t>
        </is>
      </c>
      <c r="I72" s="2" t="inlineStr">
        <is>
          <t>["evidence_batch_003_027", "https://jeminise.com/products/christmas-bedding-quilt-soft-microfiber-holiday-bedsprea-design-12", "serp_qa_027"]</t>
        </is>
      </c>
      <c r="J72" s="2" t="inlineStr">
        <is>
          <t>["R2-ISS-027-IMG-01", "R2-ISS-027-IMG-02", "R2-ISS-027-IMG-03", "R2-ISS-027-IMG-04", "R2-ISS-027-IMG-05", "R2-ISS-027-DESC", "ISS-027-ENC", "R2-ISS-027-PERS", "R2-ISS-027-DESIGN"]</t>
        </is>
      </c>
    </row>
    <row r="73" ht="42" customHeight="1">
      <c r="A73" s="3" t="inlineStr">
        <is>
          <t>jeminise.com+christmas-bedding-quilt-soft-microfiber-holiday-bedsprea-design-12</t>
        </is>
      </c>
      <c r="B73" s="3" t="inlineStr">
        <is>
          <t>T1</t>
        </is>
      </c>
      <c r="C73" s="3" t="n">
        <v>10</v>
      </c>
      <c r="D73" s="3" t="inlineStr">
        <is>
          <t>FAIL</t>
        </is>
      </c>
      <c r="E73" s="7">
        <f>IF(B73="I1",AVERAGEIF('QA_Images'!$A$2:$A$51,A73,'QA_Images'!$T$2:$T$51)/100,IF(D73="FULL",1,IF(D73="PARTIAL",0.5,IF(D73="FAIL",0,""))))</f>
        <v/>
      </c>
      <c r="F73" s="7">
        <f>IF(E73="",0,C73*E73)</f>
        <v/>
      </c>
      <c r="G73" s="7">
        <f>IF(B73="I1",20*AVERAGEIF('QA_Images'!$A$2:$A$51,A73,'QA_Images'!$U$2:$U$51)/100,IF(D73="NOT_CHECKED",0,C73))</f>
        <v/>
      </c>
      <c r="H73" s="3" t="inlineStr">
        <is>
          <t>Đánh giá SEO title English về độ đúng, tự nhiên, keyword và điểm phân biệt.</t>
        </is>
      </c>
      <c r="I73" s="3" t="inlineStr">
        <is>
          <t>["evidence_batch_003_027", "https://jeminise.com/products/christmas-bedding-quilt-soft-microfiber-holiday-bedsprea-design-12", "serp_qa_027"]</t>
        </is>
      </c>
      <c r="J73" s="3" t="inlineStr">
        <is>
          <t>["R2-ISS-027-IMG-01", "R2-ISS-027-IMG-02", "R2-ISS-027-IMG-03", "R2-ISS-027-IMG-04", "R2-ISS-027-IMG-05", "R2-ISS-027-DESC", "ISS-027-ENC", "R2-ISS-027-PERS", "R2-ISS-027-DESIGN"]</t>
        </is>
      </c>
    </row>
    <row r="74" ht="42" customHeight="1">
      <c r="A74" s="2" t="inlineStr">
        <is>
          <t>jeminise.com+christmas-bedding-quilt-soft-microfiber-holiday-bedsprea-design-12</t>
        </is>
      </c>
      <c r="B74" s="2" t="inlineStr">
        <is>
          <t>T2</t>
        </is>
      </c>
      <c r="C74" s="2" t="n">
        <v>5</v>
      </c>
      <c r="D74" s="2" t="inlineStr">
        <is>
          <t>FAIL</t>
        </is>
      </c>
      <c r="E74" s="5">
        <f>IF(B74="I1",AVERAGEIF('QA_Images'!$A$2:$A$51,A74,'QA_Images'!$T$2:$T$51)/100,IF(D74="FULL",1,IF(D74="PARTIAL",0.5,IF(D74="FAIL",0,""))))</f>
        <v/>
      </c>
      <c r="F74" s="5">
        <f>IF(E74="",0,C74*E74)</f>
        <v/>
      </c>
      <c r="G74" s="5">
        <f>IF(B74="I1",20*AVERAGEIF('QA_Images'!$A$2:$A$51,A74,'QA_Images'!$U$2:$U$51)/100,IF(D74="NOT_CHECKED",0,C74))</f>
        <v/>
      </c>
      <c r="H74" s="2" t="inlineStr">
        <is>
          <t>Đánh giá H1 đề xuất độc lập với SEO title và đối chiếu lỗi ký tự nguồn.</t>
        </is>
      </c>
      <c r="I74" s="2" t="inlineStr">
        <is>
          <t>["evidence_batch_003_027", "https://jeminise.com/products/christmas-bedding-quilt-soft-microfiber-holiday-bedsprea-design-12", "serp_qa_027"]</t>
        </is>
      </c>
      <c r="J74" s="2" t="inlineStr">
        <is>
          <t>["R2-ISS-027-IMG-01", "R2-ISS-027-IMG-02", "R2-ISS-027-IMG-03", "R2-ISS-027-IMG-04", "R2-ISS-027-IMG-05", "R2-ISS-027-DESC", "ISS-027-ENC", "R2-ISS-027-PERS", "R2-ISS-027-DESIGN"]</t>
        </is>
      </c>
    </row>
    <row r="75" ht="42" customHeight="1">
      <c r="A75" s="3" t="inlineStr">
        <is>
          <t>jeminise.com+christmas-bedding-quilt-soft-microfiber-holiday-bedsprea-design-12</t>
        </is>
      </c>
      <c r="B75" s="3" t="inlineStr">
        <is>
          <t>D1</t>
        </is>
      </c>
      <c r="C75" s="3" t="n">
        <v>5</v>
      </c>
      <c r="D75" s="3" t="inlineStr">
        <is>
          <t>FULL</t>
        </is>
      </c>
      <c r="E75" s="7">
        <f>IF(B75="I1",AVERAGEIF('QA_Images'!$A$2:$A$51,A75,'QA_Images'!$T$2:$T$51)/100,IF(D75="FULL",1,IF(D75="PARTIAL",0.5,IF(D75="FAIL",0,""))))</f>
        <v/>
      </c>
      <c r="F75" s="7">
        <f>IF(E75="",0,C75*E75)</f>
        <v/>
      </c>
      <c r="G75" s="7">
        <f>IF(B75="I1",20*AVERAGEIF('QA_Images'!$A$2:$A$51,A75,'QA_Images'!$U$2:$U$51)/100,IF(D75="NOT_CHECKED",0,C75))</f>
        <v/>
      </c>
      <c r="H75" s="3" t="inlineStr">
        <is>
          <t>Đánh giá meta description về tính cụ thể và căn cứ claim.</t>
        </is>
      </c>
      <c r="I75" s="3" t="inlineStr">
        <is>
          <t>["evidence_batch_003_027", "https://jeminise.com/products/christmas-bedding-quilt-soft-microfiber-holiday-bedsprea-design-12", "serp_qa_027"]</t>
        </is>
      </c>
      <c r="J75" s="3" t="inlineStr">
        <is>
          <t>["R2-ISS-027-IMG-01", "R2-ISS-027-IMG-02", "R2-ISS-027-IMG-03", "R2-ISS-027-IMG-04", "R2-ISS-027-IMG-05", "R2-ISS-027-DESC", "ISS-027-ENC", "R2-ISS-027-PERS", "R2-ISS-027-DESIGN"]</t>
        </is>
      </c>
    </row>
    <row r="76" ht="42" customHeight="1">
      <c r="A76" s="2" t="inlineStr">
        <is>
          <t>jeminise.com+christmas-bedding-quilt-soft-microfiber-holiday-bedsprea-design-12</t>
        </is>
      </c>
      <c r="B76" s="2" t="inlineStr">
        <is>
          <t>D2</t>
        </is>
      </c>
      <c r="C76" s="2" t="n">
        <v>10</v>
      </c>
      <c r="D76" s="2" t="inlineStr">
        <is>
          <t>PARTIAL</t>
        </is>
      </c>
      <c r="E76" s="5">
        <f>IF(B76="I1",AVERAGEIF('QA_Images'!$A$2:$A$51,A76,'QA_Images'!$T$2:$T$51)/100,IF(D76="FULL",1,IF(D76="PARTIAL",0.5,IF(D76="FAIL",0,""))))</f>
        <v/>
      </c>
      <c r="F76" s="5">
        <f>IF(E76="",0,C76*E76)</f>
        <v/>
      </c>
      <c r="G76" s="5">
        <f>IF(B76="I1",20*AVERAGEIF('QA_Images'!$A$2:$A$51,A76,'QA_Images'!$U$2:$U$51)/100,IF(D76="NOT_CHECKED",0,C76))</f>
        <v/>
      </c>
      <c r="H76" s="2" t="inlineStr">
        <is>
          <t>Description SET có HTML đầy đủ nhưng chứa câu nội bộ 'This draft should be reviewed...' và dữ liệu nguồn thô/mâu thuẫn; chưa phải nội dung publish-ready.</t>
        </is>
      </c>
      <c r="I76" s="2" t="inlineStr">
        <is>
          <t>["evidence_batch_003_027", "https://jeminise.com/products/christmas-bedding-quilt-soft-microfiber-holiday-bedsprea-design-12", "serp_qa_027"]</t>
        </is>
      </c>
      <c r="J76" s="2" t="inlineStr">
        <is>
          <t>["R2-ISS-027-IMG-01", "R2-ISS-027-IMG-02", "R2-ISS-027-IMG-03", "R2-ISS-027-IMG-04", "R2-ISS-027-IMG-05", "R2-ISS-027-DESC", "ISS-027-ENC", "R2-ISS-027-PERS", "R2-ISS-027-DESIGN"]</t>
        </is>
      </c>
    </row>
    <row r="77" ht="42" customHeight="1">
      <c r="A77" s="3" t="inlineStr">
        <is>
          <t>jeminise.com+christmas-bedding-quilt-soft-microfiber-holiday-bedsprea-design-12</t>
        </is>
      </c>
      <c r="B77" s="3" t="inlineStr">
        <is>
          <t>I1</t>
        </is>
      </c>
      <c r="C77" s="3" t="n">
        <v>20</v>
      </c>
      <c r="D77" s="3" t="inlineStr">
        <is>
          <t>DERIVED</t>
        </is>
      </c>
      <c r="E77" s="7">
        <f>IF(B77="I1",AVERAGEIF('QA_Images'!$A$2:$A$51,A77,'QA_Images'!$T$2:$T$51)/100,IF(D77="FULL",1,IF(D77="PARTIAL",0.5,IF(D77="FAIL",0,""))))</f>
        <v/>
      </c>
      <c r="F77" s="7">
        <f>IF(E77="",0,C77*E77)</f>
        <v/>
      </c>
      <c r="G77" s="7">
        <f>IF(B77="I1",20*AVERAGEIF('QA_Images'!$A$2:$A$51,A77,'QA_Images'!$U$2:$U$51)/100,IF(D77="NOT_CHECKED",0,C77))</f>
        <v/>
      </c>
      <c r="H77" s="3" t="inlineStr">
        <is>
          <t>Tính từ trung bình 5 ảnh: 80.0000/100.</t>
        </is>
      </c>
      <c r="I77" s="3" t="inlineStr">
        <is>
          <t>["evidence_batch_003_027", "https://jeminise.com/products/christmas-bedding-quilt-soft-microfiber-holiday-bedsprea-design-12", "serp_qa_027"]</t>
        </is>
      </c>
      <c r="J77" s="3" t="inlineStr">
        <is>
          <t>["R2-ISS-027-IMG-01", "R2-ISS-027-IMG-02", "R2-ISS-027-IMG-03", "R2-ISS-027-IMG-04", "R2-ISS-027-IMG-05", "R2-ISS-027-DESC", "ISS-027-ENC", "R2-ISS-027-PERS", "R2-ISS-027-DESIGN"]</t>
        </is>
      </c>
    </row>
    <row r="78" ht="42" customHeight="1">
      <c r="A78" s="2" t="inlineStr">
        <is>
          <t>jeminise.com+christmas-bedding-quilt-soft-microfiber-holiday-bedsprea-design-12</t>
        </is>
      </c>
      <c r="B78" s="2" t="inlineStr">
        <is>
          <t>E1</t>
        </is>
      </c>
      <c r="C78" s="2" t="n">
        <v>5</v>
      </c>
      <c r="D78" s="2" t="inlineStr">
        <is>
          <t>PARTIAL</t>
        </is>
      </c>
      <c r="E78" s="5">
        <f>IF(B78="I1",AVERAGEIF('QA_Images'!$A$2:$A$51,A78,'QA_Images'!$T$2:$T$51)/100,IF(D78="FULL",1,IF(D78="PARTIAL",0.5,IF(D78="FAIL",0,""))))</f>
        <v/>
      </c>
      <c r="F78" s="5">
        <f>IF(E78="",0,C78*E78)</f>
        <v/>
      </c>
      <c r="G78" s="5">
        <f>IF(B78="I1",20*AVERAGEIF('QA_Images'!$A$2:$A$51,A78,'QA_Images'!$U$2:$U$51)/100,IF(D78="NOT_CHECKED",0,C78))</f>
        <v/>
      </c>
      <c r="H78" s="2" t="inlineStr">
        <is>
          <t>Kiểm tra liên kết product key/handle/evidence/revision giữa workbook, snapshot và nguồn live.</t>
        </is>
      </c>
      <c r="I78" s="2" t="inlineStr">
        <is>
          <t>["evidence_batch_003_027", "https://jeminise.com/products/christmas-bedding-quilt-soft-microfiber-holiday-bedsprea-design-12", "serp_qa_027"]</t>
        </is>
      </c>
      <c r="J78" s="2" t="inlineStr">
        <is>
          <t>["R2-ISS-027-IMG-01", "R2-ISS-027-IMG-02", "R2-ISS-027-IMG-03", "R2-ISS-027-IMG-04", "R2-ISS-027-IMG-05", "R2-ISS-027-DESC", "ISS-027-ENC", "R2-ISS-027-PERS", "R2-ISS-027-DESIGN"]</t>
        </is>
      </c>
    </row>
    <row r="79" ht="42" customHeight="1">
      <c r="A79" s="3" t="inlineStr">
        <is>
          <t>jeminise.com+christmas-bedding-quilt-soft-microfiber-holiday-bedspread</t>
        </is>
      </c>
      <c r="B79" s="3" t="inlineStr">
        <is>
          <t>P1</t>
        </is>
      </c>
      <c r="C79" s="3" t="n">
        <v>15</v>
      </c>
      <c r="D79" s="3" t="inlineStr">
        <is>
          <t>FULL</t>
        </is>
      </c>
      <c r="E79" s="7">
        <f>IF(B79="I1",AVERAGEIF('QA_Images'!$A$2:$A$51,A79,'QA_Images'!$T$2:$T$51)/100,IF(D79="FULL",1,IF(D79="PARTIAL",0.5,IF(D79="FAIL",0,""))))</f>
        <v/>
      </c>
      <c r="F79" s="7">
        <f>IF(E79="",0,C79*E79)</f>
        <v/>
      </c>
      <c r="G79" s="7">
        <f>IF(B79="I1",20*AVERAGEIF('QA_Images'!$A$2:$A$51,A79,'QA_Images'!$U$2:$U$51)/100,IF(D79="NOT_CHECKED",0,C79))</f>
        <v/>
      </c>
      <c r="H79" s="3" t="inlineStr">
        <is>
          <t>Đối chiếu loại sản phẩm, thiết kế và màu với product JSON, H1 live và toàn bộ gallery.</t>
        </is>
      </c>
      <c r="I79" s="3" t="inlineStr">
        <is>
          <t>["evidence_batch_003_028", "https://jeminise.com/products/christmas-bedding-quilt-soft-microfiber-holiday-bedspread", "serp_qa_028"]</t>
        </is>
      </c>
      <c r="J79" s="3" t="inlineStr">
        <is>
          <t>["R2-ISS-028-DESC", "ISS-028-ENC", "R2-ISS-028-PERS"]</t>
        </is>
      </c>
    </row>
    <row r="80" ht="42" customHeight="1">
      <c r="A80" s="2" t="inlineStr">
        <is>
          <t>jeminise.com+christmas-bedding-quilt-soft-microfiber-holiday-bedspread</t>
        </is>
      </c>
      <c r="B80" s="2" t="inlineStr">
        <is>
          <t>P2</t>
        </is>
      </c>
      <c r="C80" s="2" t="n">
        <v>10</v>
      </c>
      <c r="D80" s="2" t="inlineStr">
        <is>
          <t>PARTIAL</t>
        </is>
      </c>
      <c r="E80" s="5">
        <f>IF(B80="I1",AVERAGEIF('QA_Images'!$A$2:$A$51,A80,'QA_Images'!$T$2:$T$51)/100,IF(D80="FULL",1,IF(D80="PARTIAL",0.5,IF(D80="FAIL",0,""))))</f>
        <v/>
      </c>
      <c r="F80" s="5">
        <f>IF(E80="",0,C80*E80)</f>
        <v/>
      </c>
      <c r="G80" s="5">
        <f>IF(B80="I1",20*AVERAGEIF('QA_Images'!$A$2:$A$51,A80,'QA_Images'!$U$2:$U$51)/100,IF(D80="NOT_CHECKED",0,C80))</f>
        <v/>
      </c>
      <c r="H80" s="2" t="inlineStr">
        <is>
          <t>Đối chiếu material, dimensions, components, variants và personalization với product.js live, body HTML và gallery.</t>
        </is>
      </c>
      <c r="I80" s="2" t="inlineStr">
        <is>
          <t>["evidence_batch_003_028", "https://jeminise.com/products/christmas-bedding-quilt-soft-microfiber-holiday-bedspread", "serp_qa_028"]</t>
        </is>
      </c>
      <c r="J80" s="2" t="inlineStr">
        <is>
          <t>["R2-ISS-028-DESC", "ISS-028-ENC", "R2-ISS-028-PERS"]</t>
        </is>
      </c>
    </row>
    <row r="81" ht="42" customHeight="1">
      <c r="A81" s="3" t="inlineStr">
        <is>
          <t>jeminise.com+christmas-bedding-quilt-soft-microfiber-holiday-bedspread</t>
        </is>
      </c>
      <c r="B81" s="3" t="inlineStr">
        <is>
          <t>K1</t>
        </is>
      </c>
      <c r="C81" s="3" t="n">
        <v>10</v>
      </c>
      <c r="D81" s="3" t="inlineStr">
        <is>
          <t>FULL</t>
        </is>
      </c>
      <c r="E81" s="7">
        <f>IF(B81="I1",AVERAGEIF('QA_Images'!$A$2:$A$51,A81,'QA_Images'!$T$2:$T$51)/100,IF(D81="FULL",1,IF(D81="PARTIAL",0.5,IF(D81="FAIL",0,""))))</f>
        <v/>
      </c>
      <c r="F81" s="7">
        <f>IF(E81="",0,C81*E81)</f>
        <v/>
      </c>
      <c r="G81" s="7">
        <f>IF(B81="I1",20*AVERAGEIF('QA_Images'!$A$2:$A$51,A81,'QA_Images'!$U$2:$U$51)/100,IF(D81="NOT_CHECKED",0,C81))</f>
        <v/>
      </c>
      <c r="H81" s="3" t="inlineStr">
        <is>
          <t>Đối chiếu long-tail với thiết kế trực tiếp nhìn thấy và nguy cơ trùng intent trong cụm Christmas/cardinal.</t>
        </is>
      </c>
      <c r="I81" s="3" t="inlineStr">
        <is>
          <t>["evidence_batch_003_028", "https://jeminise.com/products/christmas-bedding-quilt-soft-microfiber-holiday-bedspread", "serp_qa_028"]</t>
        </is>
      </c>
      <c r="J81" s="3" t="inlineStr">
        <is>
          <t>["R2-ISS-028-DESC", "ISS-028-ENC", "R2-ISS-028-PERS"]</t>
        </is>
      </c>
    </row>
    <row r="82" ht="42" customHeight="1">
      <c r="A82" s="2" t="inlineStr">
        <is>
          <t>jeminise.com+christmas-bedding-quilt-soft-microfiber-holiday-bedspread</t>
        </is>
      </c>
      <c r="B82" s="2" t="inlineStr">
        <is>
          <t>K2</t>
        </is>
      </c>
      <c r="C82" s="2" t="n">
        <v>5</v>
      </c>
      <c r="D82" s="2" t="inlineStr">
        <is>
          <t>FULL</t>
        </is>
      </c>
      <c r="E82" s="5">
        <f>IF(B82="I1",AVERAGEIF('QA_Images'!$A$2:$A$51,A82,'QA_Images'!$T$2:$T$51)/100,IF(D82="FULL",1,IF(D82="PARTIAL",0.5,IF(D82="FAIL",0,""))))</f>
        <v/>
      </c>
      <c r="F82" s="5">
        <f>IF(E82="",0,C82*E82)</f>
        <v/>
      </c>
      <c r="G82" s="5">
        <f>IF(B82="I1",20*AVERAGEIF('QA_Images'!$A$2:$A$51,A82,'QA_Images'!$U$2:$U$51)/100,IF(D82="NOT_CHECKED",0,C82))</f>
        <v/>
      </c>
      <c r="H82" s="2" t="inlineStr">
        <is>
          <t>Đã đọc lại primary và comparator SERP theo US intent; đánh giá product/kit/pattern result type.</t>
        </is>
      </c>
      <c r="I82" s="2" t="inlineStr">
        <is>
          <t>["evidence_batch_003_028", "https://jeminise.com/products/christmas-bedding-quilt-soft-microfiber-holiday-bedspread", "serp_qa_028"]</t>
        </is>
      </c>
      <c r="J82" s="2" t="inlineStr">
        <is>
          <t>["R2-ISS-028-DESC", "ISS-028-ENC", "R2-ISS-028-PERS"]</t>
        </is>
      </c>
    </row>
    <row r="83" ht="42" customHeight="1">
      <c r="A83" s="3" t="inlineStr">
        <is>
          <t>jeminise.com+christmas-bedding-quilt-soft-microfiber-holiday-bedspread</t>
        </is>
      </c>
      <c r="B83" s="3" t="inlineStr">
        <is>
          <t>K3</t>
        </is>
      </c>
      <c r="C83" s="3" t="n">
        <v>5</v>
      </c>
      <c r="D83" s="3" t="inlineStr">
        <is>
          <t>FULL</t>
        </is>
      </c>
      <c r="E83" s="7">
        <f>IF(B83="I1",AVERAGEIF('QA_Images'!$A$2:$A$51,A83,'QA_Images'!$T$2:$T$51)/100,IF(D83="FULL",1,IF(D83="PARTIAL",0.5,IF(D83="FAIL",0,""))))</f>
        <v/>
      </c>
      <c r="F83" s="7">
        <f>IF(E83="",0,C83*E83)</f>
        <v/>
      </c>
      <c r="G83" s="7">
        <f>IF(B83="I1",20*AVERAGEIF('QA_Images'!$A$2:$A$51,A83,'QA_Images'!$U$2:$U$51)/100,IF(D83="NOT_CHECKED",0,C83))</f>
        <v/>
      </c>
      <c r="H83" s="3" t="inlineStr">
        <is>
          <t>Không suy diễn volume; phân biệt SERP_ONLY và HYPOTHESIS_ONLY.</t>
        </is>
      </c>
      <c r="I83" s="3" t="inlineStr">
        <is>
          <t>["evidence_batch_003_028", "https://jeminise.com/products/christmas-bedding-quilt-soft-microfiber-holiday-bedspread", "serp_qa_028"]</t>
        </is>
      </c>
      <c r="J83" s="3" t="inlineStr">
        <is>
          <t>["R2-ISS-028-DESC", "ISS-028-ENC", "R2-ISS-028-PERS"]</t>
        </is>
      </c>
    </row>
    <row r="84" ht="42" customHeight="1">
      <c r="A84" s="2" t="inlineStr">
        <is>
          <t>jeminise.com+christmas-bedding-quilt-soft-microfiber-holiday-bedspread</t>
        </is>
      </c>
      <c r="B84" s="2" t="inlineStr">
        <is>
          <t>T1</t>
        </is>
      </c>
      <c r="C84" s="2" t="n">
        <v>10</v>
      </c>
      <c r="D84" s="2" t="inlineStr">
        <is>
          <t>FULL</t>
        </is>
      </c>
      <c r="E84" s="5">
        <f>IF(B84="I1",AVERAGEIF('QA_Images'!$A$2:$A$51,A84,'QA_Images'!$T$2:$T$51)/100,IF(D84="FULL",1,IF(D84="PARTIAL",0.5,IF(D84="FAIL",0,""))))</f>
        <v/>
      </c>
      <c r="F84" s="5">
        <f>IF(E84="",0,C84*E84)</f>
        <v/>
      </c>
      <c r="G84" s="5">
        <f>IF(B84="I1",20*AVERAGEIF('QA_Images'!$A$2:$A$51,A84,'QA_Images'!$U$2:$U$51)/100,IF(D84="NOT_CHECKED",0,C84))</f>
        <v/>
      </c>
      <c r="H84" s="2" t="inlineStr">
        <is>
          <t>Đánh giá SEO title English về độ đúng, tự nhiên, keyword và điểm phân biệt.</t>
        </is>
      </c>
      <c r="I84" s="2" t="inlineStr">
        <is>
          <t>["evidence_batch_003_028", "https://jeminise.com/products/christmas-bedding-quilt-soft-microfiber-holiday-bedspread", "serp_qa_028"]</t>
        </is>
      </c>
      <c r="J84" s="2" t="inlineStr">
        <is>
          <t>["R2-ISS-028-DESC", "ISS-028-ENC", "R2-ISS-028-PERS"]</t>
        </is>
      </c>
    </row>
    <row r="85" ht="42" customHeight="1">
      <c r="A85" s="3" t="inlineStr">
        <is>
          <t>jeminise.com+christmas-bedding-quilt-soft-microfiber-holiday-bedspread</t>
        </is>
      </c>
      <c r="B85" s="3" t="inlineStr">
        <is>
          <t>T2</t>
        </is>
      </c>
      <c r="C85" s="3" t="n">
        <v>5</v>
      </c>
      <c r="D85" s="3" t="inlineStr">
        <is>
          <t>FULL</t>
        </is>
      </c>
      <c r="E85" s="7">
        <f>IF(B85="I1",AVERAGEIF('QA_Images'!$A$2:$A$51,A85,'QA_Images'!$T$2:$T$51)/100,IF(D85="FULL",1,IF(D85="PARTIAL",0.5,IF(D85="FAIL",0,""))))</f>
        <v/>
      </c>
      <c r="F85" s="7">
        <f>IF(E85="",0,C85*E85)</f>
        <v/>
      </c>
      <c r="G85" s="7">
        <f>IF(B85="I1",20*AVERAGEIF('QA_Images'!$A$2:$A$51,A85,'QA_Images'!$U$2:$U$51)/100,IF(D85="NOT_CHECKED",0,C85))</f>
        <v/>
      </c>
      <c r="H85" s="3" t="inlineStr">
        <is>
          <t>Đánh giá H1 đề xuất độc lập với SEO title và đối chiếu lỗi ký tự nguồn.</t>
        </is>
      </c>
      <c r="I85" s="3" t="inlineStr">
        <is>
          <t>["evidence_batch_003_028", "https://jeminise.com/products/christmas-bedding-quilt-soft-microfiber-holiday-bedspread", "serp_qa_028"]</t>
        </is>
      </c>
      <c r="J85" s="3" t="inlineStr">
        <is>
          <t>["R2-ISS-028-DESC", "ISS-028-ENC", "R2-ISS-028-PERS"]</t>
        </is>
      </c>
    </row>
    <row r="86" ht="42" customHeight="1">
      <c r="A86" s="2" t="inlineStr">
        <is>
          <t>jeminise.com+christmas-bedding-quilt-soft-microfiber-holiday-bedspread</t>
        </is>
      </c>
      <c r="B86" s="2" t="inlineStr">
        <is>
          <t>D1</t>
        </is>
      </c>
      <c r="C86" s="2" t="n">
        <v>5</v>
      </c>
      <c r="D86" s="2" t="inlineStr">
        <is>
          <t>PARTIAL</t>
        </is>
      </c>
      <c r="E86" s="5">
        <f>IF(B86="I1",AVERAGEIF('QA_Images'!$A$2:$A$51,A86,'QA_Images'!$T$2:$T$51)/100,IF(D86="FULL",1,IF(D86="PARTIAL",0.5,IF(D86="FAIL",0,""))))</f>
        <v/>
      </c>
      <c r="F86" s="5">
        <f>IF(E86="",0,C86*E86)</f>
        <v/>
      </c>
      <c r="G86" s="5">
        <f>IF(B86="I1",20*AVERAGEIF('QA_Images'!$A$2:$A$51,A86,'QA_Images'!$U$2:$U$51)/100,IF(D86="NOT_CHECKED",0,C86))</f>
        <v/>
      </c>
      <c r="H86" s="2" t="inlineStr">
        <is>
          <t>Đánh giá meta description về tính cụ thể và căn cứ claim.</t>
        </is>
      </c>
      <c r="I86" s="2" t="inlineStr">
        <is>
          <t>["evidence_batch_003_028", "https://jeminise.com/products/christmas-bedding-quilt-soft-microfiber-holiday-bedspread", "serp_qa_028"]</t>
        </is>
      </c>
      <c r="J86" s="2" t="inlineStr">
        <is>
          <t>["R2-ISS-028-DESC", "ISS-028-ENC", "R2-ISS-028-PERS"]</t>
        </is>
      </c>
    </row>
    <row r="87" ht="42" customHeight="1">
      <c r="A87" s="3" t="inlineStr">
        <is>
          <t>jeminise.com+christmas-bedding-quilt-soft-microfiber-holiday-bedspread</t>
        </is>
      </c>
      <c r="B87" s="3" t="inlineStr">
        <is>
          <t>D2</t>
        </is>
      </c>
      <c r="C87" s="3" t="n">
        <v>10</v>
      </c>
      <c r="D87" s="3" t="inlineStr">
        <is>
          <t>PARTIAL</t>
        </is>
      </c>
      <c r="E87" s="7">
        <f>IF(B87="I1",AVERAGEIF('QA_Images'!$A$2:$A$51,A87,'QA_Images'!$T$2:$T$51)/100,IF(D87="FULL",1,IF(D87="PARTIAL",0.5,IF(D87="FAIL",0,""))))</f>
        <v/>
      </c>
      <c r="F87" s="7">
        <f>IF(E87="",0,C87*E87)</f>
        <v/>
      </c>
      <c r="G87" s="7">
        <f>IF(B87="I1",20*AVERAGEIF('QA_Images'!$A$2:$A$51,A87,'QA_Images'!$U$2:$U$51)/100,IF(D87="NOT_CHECKED",0,C87))</f>
        <v/>
      </c>
      <c r="H87" s="3" t="inlineStr">
        <is>
          <t>Description SET có HTML đầy đủ nhưng chứa câu nội bộ 'This draft should be reviewed...' và dữ liệu nguồn thô/mâu thuẫn; chưa phải nội dung publish-ready.</t>
        </is>
      </c>
      <c r="I87" s="3" t="inlineStr">
        <is>
          <t>["evidence_batch_003_028", "https://jeminise.com/products/christmas-bedding-quilt-soft-microfiber-holiday-bedspread", "serp_qa_028"]</t>
        </is>
      </c>
      <c r="J87" s="3" t="inlineStr">
        <is>
          <t>["R2-ISS-028-DESC", "ISS-028-ENC", "R2-ISS-028-PERS"]</t>
        </is>
      </c>
    </row>
    <row r="88" ht="42" customHeight="1">
      <c r="A88" s="2" t="inlineStr">
        <is>
          <t>jeminise.com+christmas-bedding-quilt-soft-microfiber-holiday-bedspread</t>
        </is>
      </c>
      <c r="B88" s="2" t="inlineStr">
        <is>
          <t>I1</t>
        </is>
      </c>
      <c r="C88" s="2" t="n">
        <v>20</v>
      </c>
      <c r="D88" s="2" t="inlineStr">
        <is>
          <t>DERIVED</t>
        </is>
      </c>
      <c r="E88" s="5">
        <f>IF(B88="I1",AVERAGEIF('QA_Images'!$A$2:$A$51,A88,'QA_Images'!$T$2:$T$51)/100,IF(D88="FULL",1,IF(D88="PARTIAL",0.5,IF(D88="FAIL",0,""))))</f>
        <v/>
      </c>
      <c r="F88" s="5">
        <f>IF(E88="",0,C88*E88)</f>
        <v/>
      </c>
      <c r="G88" s="5">
        <f>IF(B88="I1",20*AVERAGEIF('QA_Images'!$A$2:$A$51,A88,'QA_Images'!$U$2:$U$51)/100,IF(D88="NOT_CHECKED",0,C88))</f>
        <v/>
      </c>
      <c r="H88" s="2" t="inlineStr">
        <is>
          <t>Tính từ trung bình 5 ảnh: 100.0000/100.</t>
        </is>
      </c>
      <c r="I88" s="2" t="inlineStr">
        <is>
          <t>["evidence_batch_003_028", "https://jeminise.com/products/christmas-bedding-quilt-soft-microfiber-holiday-bedspread", "serp_qa_028"]</t>
        </is>
      </c>
      <c r="J88" s="2" t="inlineStr">
        <is>
          <t>["R2-ISS-028-DESC", "ISS-028-ENC", "R2-ISS-028-PERS"]</t>
        </is>
      </c>
    </row>
    <row r="89" ht="42" customHeight="1">
      <c r="A89" s="3" t="inlineStr">
        <is>
          <t>jeminise.com+christmas-bedding-quilt-soft-microfiber-holiday-bedspread</t>
        </is>
      </c>
      <c r="B89" s="3" t="inlineStr">
        <is>
          <t>E1</t>
        </is>
      </c>
      <c r="C89" s="3" t="n">
        <v>5</v>
      </c>
      <c r="D89" s="3" t="inlineStr">
        <is>
          <t>FULL</t>
        </is>
      </c>
      <c r="E89" s="7">
        <f>IF(B89="I1",AVERAGEIF('QA_Images'!$A$2:$A$51,A89,'QA_Images'!$T$2:$T$51)/100,IF(D89="FULL",1,IF(D89="PARTIAL",0.5,IF(D89="FAIL",0,""))))</f>
        <v/>
      </c>
      <c r="F89" s="7">
        <f>IF(E89="",0,C89*E89)</f>
        <v/>
      </c>
      <c r="G89" s="7">
        <f>IF(B89="I1",20*AVERAGEIF('QA_Images'!$A$2:$A$51,A89,'QA_Images'!$U$2:$U$51)/100,IF(D89="NOT_CHECKED",0,C89))</f>
        <v/>
      </c>
      <c r="H89" s="3" t="inlineStr">
        <is>
          <t>Kiểm tra liên kết product key/handle/evidence/revision giữa workbook, snapshot và nguồn live.</t>
        </is>
      </c>
      <c r="I89" s="3" t="inlineStr">
        <is>
          <t>["evidence_batch_003_028", "https://jeminise.com/products/christmas-bedding-quilt-soft-microfiber-holiday-bedspread", "serp_qa_028"]</t>
        </is>
      </c>
      <c r="J89" s="3" t="inlineStr">
        <is>
          <t>["R2-ISS-028-DESC", "ISS-028-ENC", "R2-ISS-028-PERS"]</t>
        </is>
      </c>
    </row>
    <row r="90" ht="42" customHeight="1">
      <c r="A90" s="2" t="inlineStr">
        <is>
          <t>jeminise.com+christmas-cardinal-on-branch-within-patchwork-winter-quilt-892d70543a-892d70543a</t>
        </is>
      </c>
      <c r="B90" s="2" t="inlineStr">
        <is>
          <t>P1</t>
        </is>
      </c>
      <c r="C90" s="2" t="n">
        <v>15</v>
      </c>
      <c r="D90" s="2" t="inlineStr">
        <is>
          <t>FULL</t>
        </is>
      </c>
      <c r="E90" s="5">
        <f>IF(B90="I1",AVERAGEIF('QA_Images'!$A$2:$A$51,A90,'QA_Images'!$T$2:$T$51)/100,IF(D90="FULL",1,IF(D90="PARTIAL",0.5,IF(D90="FAIL",0,""))))</f>
        <v/>
      </c>
      <c r="F90" s="5">
        <f>IF(E90="",0,C90*E90)</f>
        <v/>
      </c>
      <c r="G90" s="5">
        <f>IF(B90="I1",20*AVERAGEIF('QA_Images'!$A$2:$A$51,A90,'QA_Images'!$U$2:$U$51)/100,IF(D90="NOT_CHECKED",0,C90))</f>
        <v/>
      </c>
      <c r="H90" s="2" t="inlineStr">
        <is>
          <t>Đối chiếu loại sản phẩm, thiết kế và màu với product JSON, H1 live và toàn bộ gallery.</t>
        </is>
      </c>
      <c r="I90" s="2" t="inlineStr">
        <is>
          <t>["evidence_batch_003_029", "https://jeminise.com/products/christmas-cardinal-on-branch-within-patchwork-winter-quilt-892d70543a-892d70543a", "serp_qa_029"]</t>
        </is>
      </c>
      <c r="J90" s="2" t="inlineStr">
        <is>
          <t>["R2-ISS-029-IMG-02", "R2-ISS-029-IMG-04", "R2-ISS-029-DESC"]</t>
        </is>
      </c>
    </row>
    <row r="91" ht="42" customHeight="1">
      <c r="A91" s="3" t="inlineStr">
        <is>
          <t>jeminise.com+christmas-cardinal-on-branch-within-patchwork-winter-quilt-892d70543a-892d70543a</t>
        </is>
      </c>
      <c r="B91" s="3" t="inlineStr">
        <is>
          <t>P2</t>
        </is>
      </c>
      <c r="C91" s="3" t="n">
        <v>10</v>
      </c>
      <c r="D91" s="3" t="inlineStr">
        <is>
          <t>FULL</t>
        </is>
      </c>
      <c r="E91" s="7">
        <f>IF(B91="I1",AVERAGEIF('QA_Images'!$A$2:$A$51,A91,'QA_Images'!$T$2:$T$51)/100,IF(D91="FULL",1,IF(D91="PARTIAL",0.5,IF(D91="FAIL",0,""))))</f>
        <v/>
      </c>
      <c r="F91" s="7">
        <f>IF(E91="",0,C91*E91)</f>
        <v/>
      </c>
      <c r="G91" s="7">
        <f>IF(B91="I1",20*AVERAGEIF('QA_Images'!$A$2:$A$51,A91,'QA_Images'!$U$2:$U$51)/100,IF(D91="NOT_CHECKED",0,C91))</f>
        <v/>
      </c>
      <c r="H91" s="3" t="inlineStr">
        <is>
          <t>Đối chiếu material, dimensions, components, variants và personalization với product.js live, body HTML và gallery.</t>
        </is>
      </c>
      <c r="I91" s="3" t="inlineStr">
        <is>
          <t>["evidence_batch_003_029", "https://jeminise.com/products/christmas-cardinal-on-branch-within-patchwork-winter-quilt-892d70543a-892d70543a", "serp_qa_029"]</t>
        </is>
      </c>
      <c r="J91" s="3" t="inlineStr">
        <is>
          <t>["R2-ISS-029-IMG-02", "R2-ISS-029-IMG-04", "R2-ISS-029-DESC"]</t>
        </is>
      </c>
    </row>
    <row r="92" ht="42" customHeight="1">
      <c r="A92" s="2" t="inlineStr">
        <is>
          <t>jeminise.com+christmas-cardinal-on-branch-within-patchwork-winter-quilt-892d70543a-892d70543a</t>
        </is>
      </c>
      <c r="B92" s="2" t="inlineStr">
        <is>
          <t>K1</t>
        </is>
      </c>
      <c r="C92" s="2" t="n">
        <v>10</v>
      </c>
      <c r="D92" s="2" t="inlineStr">
        <is>
          <t>FULL</t>
        </is>
      </c>
      <c r="E92" s="5">
        <f>IF(B92="I1",AVERAGEIF('QA_Images'!$A$2:$A$51,A92,'QA_Images'!$T$2:$T$51)/100,IF(D92="FULL",1,IF(D92="PARTIAL",0.5,IF(D92="FAIL",0,""))))</f>
        <v/>
      </c>
      <c r="F92" s="5">
        <f>IF(E92="",0,C92*E92)</f>
        <v/>
      </c>
      <c r="G92" s="5">
        <f>IF(B92="I1",20*AVERAGEIF('QA_Images'!$A$2:$A$51,A92,'QA_Images'!$U$2:$U$51)/100,IF(D92="NOT_CHECKED",0,C92))</f>
        <v/>
      </c>
      <c r="H92" s="2" t="inlineStr">
        <is>
          <t>Đối chiếu long-tail với thiết kế trực tiếp nhìn thấy và nguy cơ trùng intent trong cụm Christmas/cardinal.</t>
        </is>
      </c>
      <c r="I92" s="2" t="inlineStr">
        <is>
          <t>["evidence_batch_003_029", "https://jeminise.com/products/christmas-cardinal-on-branch-within-patchwork-winter-quilt-892d70543a-892d70543a", "serp_qa_029"]</t>
        </is>
      </c>
      <c r="J92" s="2" t="inlineStr">
        <is>
          <t>["R2-ISS-029-IMG-02", "R2-ISS-029-IMG-04", "R2-ISS-029-DESC"]</t>
        </is>
      </c>
    </row>
    <row r="93" ht="42" customHeight="1">
      <c r="A93" s="3" t="inlineStr">
        <is>
          <t>jeminise.com+christmas-cardinal-on-branch-within-patchwork-winter-quilt-892d70543a-892d70543a</t>
        </is>
      </c>
      <c r="B93" s="3" t="inlineStr">
        <is>
          <t>K2</t>
        </is>
      </c>
      <c r="C93" s="3" t="n">
        <v>5</v>
      </c>
      <c r="D93" s="3" t="inlineStr">
        <is>
          <t>FULL</t>
        </is>
      </c>
      <c r="E93" s="7">
        <f>IF(B93="I1",AVERAGEIF('QA_Images'!$A$2:$A$51,A93,'QA_Images'!$T$2:$T$51)/100,IF(D93="FULL",1,IF(D93="PARTIAL",0.5,IF(D93="FAIL",0,""))))</f>
        <v/>
      </c>
      <c r="F93" s="7">
        <f>IF(E93="",0,C93*E93)</f>
        <v/>
      </c>
      <c r="G93" s="7">
        <f>IF(B93="I1",20*AVERAGEIF('QA_Images'!$A$2:$A$51,A93,'QA_Images'!$U$2:$U$51)/100,IF(D93="NOT_CHECKED",0,C93))</f>
        <v/>
      </c>
      <c r="H93" s="3" t="inlineStr">
        <is>
          <t>Đã đọc lại primary và comparator SERP theo US intent; đánh giá product/kit/pattern result type.</t>
        </is>
      </c>
      <c r="I93" s="3" t="inlineStr">
        <is>
          <t>["evidence_batch_003_029", "https://jeminise.com/products/christmas-cardinal-on-branch-within-patchwork-winter-quilt-892d70543a-892d70543a", "serp_qa_029"]</t>
        </is>
      </c>
      <c r="J93" s="3" t="inlineStr">
        <is>
          <t>["R2-ISS-029-IMG-02", "R2-ISS-029-IMG-04", "R2-ISS-029-DESC"]</t>
        </is>
      </c>
    </row>
    <row r="94" ht="42" customHeight="1">
      <c r="A94" s="2" t="inlineStr">
        <is>
          <t>jeminise.com+christmas-cardinal-on-branch-within-patchwork-winter-quilt-892d70543a-892d70543a</t>
        </is>
      </c>
      <c r="B94" s="2" t="inlineStr">
        <is>
          <t>K3</t>
        </is>
      </c>
      <c r="C94" s="2" t="n">
        <v>5</v>
      </c>
      <c r="D94" s="2" t="inlineStr">
        <is>
          <t>FULL</t>
        </is>
      </c>
      <c r="E94" s="5">
        <f>IF(B94="I1",AVERAGEIF('QA_Images'!$A$2:$A$51,A94,'QA_Images'!$T$2:$T$51)/100,IF(D94="FULL",1,IF(D94="PARTIAL",0.5,IF(D94="FAIL",0,""))))</f>
        <v/>
      </c>
      <c r="F94" s="5">
        <f>IF(E94="",0,C94*E94)</f>
        <v/>
      </c>
      <c r="G94" s="5">
        <f>IF(B94="I1",20*AVERAGEIF('QA_Images'!$A$2:$A$51,A94,'QA_Images'!$U$2:$U$51)/100,IF(D94="NOT_CHECKED",0,C94))</f>
        <v/>
      </c>
      <c r="H94" s="2" t="inlineStr">
        <is>
          <t>Không suy diễn volume; phân biệt SERP_ONLY và HYPOTHESIS_ONLY.</t>
        </is>
      </c>
      <c r="I94" s="2" t="inlineStr">
        <is>
          <t>["evidence_batch_003_029", "https://jeminise.com/products/christmas-cardinal-on-branch-within-patchwork-winter-quilt-892d70543a-892d70543a", "serp_qa_029"]</t>
        </is>
      </c>
      <c r="J94" s="2" t="inlineStr">
        <is>
          <t>["R2-ISS-029-IMG-02", "R2-ISS-029-IMG-04", "R2-ISS-029-DESC"]</t>
        </is>
      </c>
    </row>
    <row r="95" ht="42" customHeight="1">
      <c r="A95" s="3" t="inlineStr">
        <is>
          <t>jeminise.com+christmas-cardinal-on-branch-within-patchwork-winter-quilt-892d70543a-892d70543a</t>
        </is>
      </c>
      <c r="B95" s="3" t="inlineStr">
        <is>
          <t>T1</t>
        </is>
      </c>
      <c r="C95" s="3" t="n">
        <v>10</v>
      </c>
      <c r="D95" s="3" t="inlineStr">
        <is>
          <t>FULL</t>
        </is>
      </c>
      <c r="E95" s="7">
        <f>IF(B95="I1",AVERAGEIF('QA_Images'!$A$2:$A$51,A95,'QA_Images'!$T$2:$T$51)/100,IF(D95="FULL",1,IF(D95="PARTIAL",0.5,IF(D95="FAIL",0,""))))</f>
        <v/>
      </c>
      <c r="F95" s="7">
        <f>IF(E95="",0,C95*E95)</f>
        <v/>
      </c>
      <c r="G95" s="7">
        <f>IF(B95="I1",20*AVERAGEIF('QA_Images'!$A$2:$A$51,A95,'QA_Images'!$U$2:$U$51)/100,IF(D95="NOT_CHECKED",0,C95))</f>
        <v/>
      </c>
      <c r="H95" s="3" t="inlineStr">
        <is>
          <t>Đánh giá SEO title English về độ đúng, tự nhiên, keyword và điểm phân biệt.</t>
        </is>
      </c>
      <c r="I95" s="3" t="inlineStr">
        <is>
          <t>["evidence_batch_003_029", "https://jeminise.com/products/christmas-cardinal-on-branch-within-patchwork-winter-quilt-892d70543a-892d70543a", "serp_qa_029"]</t>
        </is>
      </c>
      <c r="J95" s="3" t="inlineStr">
        <is>
          <t>["R2-ISS-029-IMG-02", "R2-ISS-029-IMG-04", "R2-ISS-029-DESC"]</t>
        </is>
      </c>
    </row>
    <row r="96" ht="42" customHeight="1">
      <c r="A96" s="2" t="inlineStr">
        <is>
          <t>jeminise.com+christmas-cardinal-on-branch-within-patchwork-winter-quilt-892d70543a-892d70543a</t>
        </is>
      </c>
      <c r="B96" s="2" t="inlineStr">
        <is>
          <t>T2</t>
        </is>
      </c>
      <c r="C96" s="2" t="n">
        <v>5</v>
      </c>
      <c r="D96" s="2" t="inlineStr">
        <is>
          <t>FULL</t>
        </is>
      </c>
      <c r="E96" s="5">
        <f>IF(B96="I1",AVERAGEIF('QA_Images'!$A$2:$A$51,A96,'QA_Images'!$T$2:$T$51)/100,IF(D96="FULL",1,IF(D96="PARTIAL",0.5,IF(D96="FAIL",0,""))))</f>
        <v/>
      </c>
      <c r="F96" s="5">
        <f>IF(E96="",0,C96*E96)</f>
        <v/>
      </c>
      <c r="G96" s="5">
        <f>IF(B96="I1",20*AVERAGEIF('QA_Images'!$A$2:$A$51,A96,'QA_Images'!$U$2:$U$51)/100,IF(D96="NOT_CHECKED",0,C96))</f>
        <v/>
      </c>
      <c r="H96" s="2" t="inlineStr">
        <is>
          <t>Đánh giá H1 đề xuất độc lập với SEO title và đối chiếu lỗi ký tự nguồn.</t>
        </is>
      </c>
      <c r="I96" s="2" t="inlineStr">
        <is>
          <t>["evidence_batch_003_029", "https://jeminise.com/products/christmas-cardinal-on-branch-within-patchwork-winter-quilt-892d70543a-892d70543a", "serp_qa_029"]</t>
        </is>
      </c>
      <c r="J96" s="2" t="inlineStr">
        <is>
          <t>["R2-ISS-029-IMG-02", "R2-ISS-029-IMG-04", "R2-ISS-029-DESC"]</t>
        </is>
      </c>
    </row>
    <row r="97" ht="42" customHeight="1">
      <c r="A97" s="3" t="inlineStr">
        <is>
          <t>jeminise.com+christmas-cardinal-on-branch-within-patchwork-winter-quilt-892d70543a-892d70543a</t>
        </is>
      </c>
      <c r="B97" s="3" t="inlineStr">
        <is>
          <t>D1</t>
        </is>
      </c>
      <c r="C97" s="3" t="n">
        <v>5</v>
      </c>
      <c r="D97" s="3" t="inlineStr">
        <is>
          <t>PARTIAL</t>
        </is>
      </c>
      <c r="E97" s="7">
        <f>IF(B97="I1",AVERAGEIF('QA_Images'!$A$2:$A$51,A97,'QA_Images'!$T$2:$T$51)/100,IF(D97="FULL",1,IF(D97="PARTIAL",0.5,IF(D97="FAIL",0,""))))</f>
        <v/>
      </c>
      <c r="F97" s="7">
        <f>IF(E97="",0,C97*E97)</f>
        <v/>
      </c>
      <c r="G97" s="7">
        <f>IF(B97="I1",20*AVERAGEIF('QA_Images'!$A$2:$A$51,A97,'QA_Images'!$U$2:$U$51)/100,IF(D97="NOT_CHECKED",0,C97))</f>
        <v/>
      </c>
      <c r="H97" s="3" t="inlineStr">
        <is>
          <t>Đánh giá meta description về tính cụ thể và căn cứ claim.</t>
        </is>
      </c>
      <c r="I97" s="3" t="inlineStr">
        <is>
          <t>["evidence_batch_003_029", "https://jeminise.com/products/christmas-cardinal-on-branch-within-patchwork-winter-quilt-892d70543a-892d70543a", "serp_qa_029"]</t>
        </is>
      </c>
      <c r="J97" s="3" t="inlineStr">
        <is>
          <t>["R2-ISS-029-IMG-02", "R2-ISS-029-IMG-04", "R2-ISS-029-DESC"]</t>
        </is>
      </c>
    </row>
    <row r="98" ht="42" customHeight="1">
      <c r="A98" s="2" t="inlineStr">
        <is>
          <t>jeminise.com+christmas-cardinal-on-branch-within-patchwork-winter-quilt-892d70543a-892d70543a</t>
        </is>
      </c>
      <c r="B98" s="2" t="inlineStr">
        <is>
          <t>D2</t>
        </is>
      </c>
      <c r="C98" s="2" t="n">
        <v>10</v>
      </c>
      <c r="D98" s="2" t="inlineStr">
        <is>
          <t>PARTIAL</t>
        </is>
      </c>
      <c r="E98" s="5">
        <f>IF(B98="I1",AVERAGEIF('QA_Images'!$A$2:$A$51,A98,'QA_Images'!$T$2:$T$51)/100,IF(D98="FULL",1,IF(D98="PARTIAL",0.5,IF(D98="FAIL",0,""))))</f>
        <v/>
      </c>
      <c r="F98" s="5">
        <f>IF(E98="",0,C98*E98)</f>
        <v/>
      </c>
      <c r="G98" s="5">
        <f>IF(B98="I1",20*AVERAGEIF('QA_Images'!$A$2:$A$51,A98,'QA_Images'!$U$2:$U$51)/100,IF(D98="NOT_CHECKED",0,C98))</f>
        <v/>
      </c>
      <c r="H98" s="2" t="inlineStr">
        <is>
          <t>Description SET có HTML đầy đủ nhưng chứa câu nội bộ 'This draft should be reviewed...' và dữ liệu nguồn thô/mâu thuẫn; chưa phải nội dung publish-ready.</t>
        </is>
      </c>
      <c r="I98" s="2" t="inlineStr">
        <is>
          <t>["evidence_batch_003_029", "https://jeminise.com/products/christmas-cardinal-on-branch-within-patchwork-winter-quilt-892d70543a-892d70543a", "serp_qa_029"]</t>
        </is>
      </c>
      <c r="J98" s="2" t="inlineStr">
        <is>
          <t>["R2-ISS-029-IMG-02", "R2-ISS-029-IMG-04", "R2-ISS-029-DESC"]</t>
        </is>
      </c>
    </row>
    <row r="99" ht="42" customHeight="1">
      <c r="A99" s="3" t="inlineStr">
        <is>
          <t>jeminise.com+christmas-cardinal-on-branch-within-patchwork-winter-quilt-892d70543a-892d70543a</t>
        </is>
      </c>
      <c r="B99" s="3" t="inlineStr">
        <is>
          <t>I1</t>
        </is>
      </c>
      <c r="C99" s="3" t="n">
        <v>20</v>
      </c>
      <c r="D99" s="3" t="inlineStr">
        <is>
          <t>DERIVED</t>
        </is>
      </c>
      <c r="E99" s="7">
        <f>IF(B99="I1",AVERAGEIF('QA_Images'!$A$2:$A$51,A99,'QA_Images'!$T$2:$T$51)/100,IF(D99="FULL",1,IF(D99="PARTIAL",0.5,IF(D99="FAIL",0,""))))</f>
        <v/>
      </c>
      <c r="F99" s="7">
        <f>IF(E99="",0,C99*E99)</f>
        <v/>
      </c>
      <c r="G99" s="7">
        <f>IF(B99="I1",20*AVERAGEIF('QA_Images'!$A$2:$A$51,A99,'QA_Images'!$U$2:$U$51)/100,IF(D99="NOT_CHECKED",0,C99))</f>
        <v/>
      </c>
      <c r="H99" s="3" t="inlineStr">
        <is>
          <t>Tính từ trung bình 5 ảnh: 80.0000/100.</t>
        </is>
      </c>
      <c r="I99" s="3" t="inlineStr">
        <is>
          <t>["evidence_batch_003_029", "https://jeminise.com/products/christmas-cardinal-on-branch-within-patchwork-winter-quilt-892d70543a-892d70543a", "serp_qa_029"]</t>
        </is>
      </c>
      <c r="J99" s="3" t="inlineStr">
        <is>
          <t>["R2-ISS-029-IMG-02", "R2-ISS-029-IMG-04", "R2-ISS-029-DESC"]</t>
        </is>
      </c>
    </row>
    <row r="100" ht="42" customHeight="1">
      <c r="A100" s="2" t="inlineStr">
        <is>
          <t>jeminise.com+christmas-cardinal-on-branch-within-patchwork-winter-quilt-892d70543a-892d70543a</t>
        </is>
      </c>
      <c r="B100" s="2" t="inlineStr">
        <is>
          <t>E1</t>
        </is>
      </c>
      <c r="C100" s="2" t="n">
        <v>5</v>
      </c>
      <c r="D100" s="2" t="inlineStr">
        <is>
          <t>FULL</t>
        </is>
      </c>
      <c r="E100" s="5">
        <f>IF(B100="I1",AVERAGEIF('QA_Images'!$A$2:$A$51,A100,'QA_Images'!$T$2:$T$51)/100,IF(D100="FULL",1,IF(D100="PARTIAL",0.5,IF(D100="FAIL",0,""))))</f>
        <v/>
      </c>
      <c r="F100" s="5">
        <f>IF(E100="",0,C100*E100)</f>
        <v/>
      </c>
      <c r="G100" s="5">
        <f>IF(B100="I1",20*AVERAGEIF('QA_Images'!$A$2:$A$51,A100,'QA_Images'!$U$2:$U$51)/100,IF(D100="NOT_CHECKED",0,C100))</f>
        <v/>
      </c>
      <c r="H100" s="2" t="inlineStr">
        <is>
          <t>Kiểm tra liên kết product key/handle/evidence/revision giữa workbook, snapshot và nguồn live.</t>
        </is>
      </c>
      <c r="I100" s="2" t="inlineStr">
        <is>
          <t>["evidence_batch_003_029", "https://jeminise.com/products/christmas-cardinal-on-branch-within-patchwork-winter-quilt-892d70543a-892d70543a", "serp_qa_029"]</t>
        </is>
      </c>
      <c r="J100" s="2" t="inlineStr">
        <is>
          <t>["R2-ISS-029-IMG-02", "R2-ISS-029-IMG-04", "R2-ISS-029-DESC"]</t>
        </is>
      </c>
    </row>
    <row r="101" ht="42" customHeight="1">
      <c r="A101" s="3" t="inlineStr">
        <is>
          <t>jeminise.com+christmas-cardinal-perched-on-branch-within-wreath-patchwork-winter-quilt-9e7c0b5896-9e7c0b5896</t>
        </is>
      </c>
      <c r="B101" s="3" t="inlineStr">
        <is>
          <t>P1</t>
        </is>
      </c>
      <c r="C101" s="3" t="n">
        <v>15</v>
      </c>
      <c r="D101" s="3" t="inlineStr">
        <is>
          <t>FULL</t>
        </is>
      </c>
      <c r="E101" s="7">
        <f>IF(B101="I1",AVERAGEIF('QA_Images'!$A$2:$A$51,A101,'QA_Images'!$T$2:$T$51)/100,IF(D101="FULL",1,IF(D101="PARTIAL",0.5,IF(D101="FAIL",0,""))))</f>
        <v/>
      </c>
      <c r="F101" s="7">
        <f>IF(E101="",0,C101*E101)</f>
        <v/>
      </c>
      <c r="G101" s="7">
        <f>IF(B101="I1",20*AVERAGEIF('QA_Images'!$A$2:$A$51,A101,'QA_Images'!$U$2:$U$51)/100,IF(D101="NOT_CHECKED",0,C101))</f>
        <v/>
      </c>
      <c r="H101" s="3" t="inlineStr">
        <is>
          <t>Đối chiếu loại sản phẩm, thiết kế và màu với product JSON, H1 live và toàn bộ gallery.</t>
        </is>
      </c>
      <c r="I101" s="3" t="inlineStr">
        <is>
          <t>["evidence_batch_003_030", "https://jeminise.com/products/christmas-cardinal-perched-on-branch-within-wreath-patchwork-winter-quilt-9e7c0b5896-9e7c0b5896", "serp_qa_030"]</t>
        </is>
      </c>
      <c r="J101" s="3" t="inlineStr">
        <is>
          <t>["R2-ISS-030-IMG-02", "R2-ISS-030-IMG-04", "R2-ISS-030-DESC", "R2-ISS-030-PERS"]</t>
        </is>
      </c>
    </row>
    <row r="102" ht="42" customHeight="1">
      <c r="A102" s="2" t="inlineStr">
        <is>
          <t>jeminise.com+christmas-cardinal-perched-on-branch-within-wreath-patchwork-winter-quilt-9e7c0b5896-9e7c0b5896</t>
        </is>
      </c>
      <c r="B102" s="2" t="inlineStr">
        <is>
          <t>P2</t>
        </is>
      </c>
      <c r="C102" s="2" t="n">
        <v>10</v>
      </c>
      <c r="D102" s="2" t="inlineStr">
        <is>
          <t>PARTIAL</t>
        </is>
      </c>
      <c r="E102" s="5">
        <f>IF(B102="I1",AVERAGEIF('QA_Images'!$A$2:$A$51,A102,'QA_Images'!$T$2:$T$51)/100,IF(D102="FULL",1,IF(D102="PARTIAL",0.5,IF(D102="FAIL",0,""))))</f>
        <v/>
      </c>
      <c r="F102" s="5">
        <f>IF(E102="",0,C102*E102)</f>
        <v/>
      </c>
      <c r="G102" s="5">
        <f>IF(B102="I1",20*AVERAGEIF('QA_Images'!$A$2:$A$51,A102,'QA_Images'!$U$2:$U$51)/100,IF(D102="NOT_CHECKED",0,C102))</f>
        <v/>
      </c>
      <c r="H102" s="2" t="inlineStr">
        <is>
          <t>Đối chiếu material, dimensions, components, variants và personalization với product.js live, body HTML và gallery.</t>
        </is>
      </c>
      <c r="I102" s="2" t="inlineStr">
        <is>
          <t>["evidence_batch_003_030", "https://jeminise.com/products/christmas-cardinal-perched-on-branch-within-wreath-patchwork-winter-quilt-9e7c0b5896-9e7c0b5896", "serp_qa_030"]</t>
        </is>
      </c>
      <c r="J102" s="2" t="inlineStr">
        <is>
          <t>["R2-ISS-030-IMG-02", "R2-ISS-030-IMG-04", "R2-ISS-030-DESC", "R2-ISS-030-PERS"]</t>
        </is>
      </c>
    </row>
    <row r="103" ht="42" customHeight="1">
      <c r="A103" s="3" t="inlineStr">
        <is>
          <t>jeminise.com+christmas-cardinal-perched-on-branch-within-wreath-patchwork-winter-quilt-9e7c0b5896-9e7c0b5896</t>
        </is>
      </c>
      <c r="B103" s="3" t="inlineStr">
        <is>
          <t>K1</t>
        </is>
      </c>
      <c r="C103" s="3" t="n">
        <v>10</v>
      </c>
      <c r="D103" s="3" t="inlineStr">
        <is>
          <t>FULL</t>
        </is>
      </c>
      <c r="E103" s="7">
        <f>IF(B103="I1",AVERAGEIF('QA_Images'!$A$2:$A$51,A103,'QA_Images'!$T$2:$T$51)/100,IF(D103="FULL",1,IF(D103="PARTIAL",0.5,IF(D103="FAIL",0,""))))</f>
        <v/>
      </c>
      <c r="F103" s="7">
        <f>IF(E103="",0,C103*E103)</f>
        <v/>
      </c>
      <c r="G103" s="7">
        <f>IF(B103="I1",20*AVERAGEIF('QA_Images'!$A$2:$A$51,A103,'QA_Images'!$U$2:$U$51)/100,IF(D103="NOT_CHECKED",0,C103))</f>
        <v/>
      </c>
      <c r="H103" s="3" t="inlineStr">
        <is>
          <t>Đối chiếu long-tail với thiết kế trực tiếp nhìn thấy và nguy cơ trùng intent trong cụm Christmas/cardinal.</t>
        </is>
      </c>
      <c r="I103" s="3" t="inlineStr">
        <is>
          <t>["evidence_batch_003_030", "https://jeminise.com/products/christmas-cardinal-perched-on-branch-within-wreath-patchwork-winter-quilt-9e7c0b5896-9e7c0b5896", "serp_qa_030"]</t>
        </is>
      </c>
      <c r="J103" s="3" t="inlineStr">
        <is>
          <t>["R2-ISS-030-IMG-02", "R2-ISS-030-IMG-04", "R2-ISS-030-DESC", "R2-ISS-030-PERS"]</t>
        </is>
      </c>
    </row>
    <row r="104" ht="42" customHeight="1">
      <c r="A104" s="2" t="inlineStr">
        <is>
          <t>jeminise.com+christmas-cardinal-perched-on-branch-within-wreath-patchwork-winter-quilt-9e7c0b5896-9e7c0b5896</t>
        </is>
      </c>
      <c r="B104" s="2" t="inlineStr">
        <is>
          <t>K2</t>
        </is>
      </c>
      <c r="C104" s="2" t="n">
        <v>5</v>
      </c>
      <c r="D104" s="2" t="inlineStr">
        <is>
          <t>FULL</t>
        </is>
      </c>
      <c r="E104" s="5">
        <f>IF(B104="I1",AVERAGEIF('QA_Images'!$A$2:$A$51,A104,'QA_Images'!$T$2:$T$51)/100,IF(D104="FULL",1,IF(D104="PARTIAL",0.5,IF(D104="FAIL",0,""))))</f>
        <v/>
      </c>
      <c r="F104" s="5">
        <f>IF(E104="",0,C104*E104)</f>
        <v/>
      </c>
      <c r="G104" s="5">
        <f>IF(B104="I1",20*AVERAGEIF('QA_Images'!$A$2:$A$51,A104,'QA_Images'!$U$2:$U$51)/100,IF(D104="NOT_CHECKED",0,C104))</f>
        <v/>
      </c>
      <c r="H104" s="2" t="inlineStr">
        <is>
          <t>Đã đọc lại primary và comparator SERP theo US intent; đánh giá product/kit/pattern result type.</t>
        </is>
      </c>
      <c r="I104" s="2" t="inlineStr">
        <is>
          <t>["evidence_batch_003_030", "https://jeminise.com/products/christmas-cardinal-perched-on-branch-within-wreath-patchwork-winter-quilt-9e7c0b5896-9e7c0b5896", "serp_qa_030"]</t>
        </is>
      </c>
      <c r="J104" s="2" t="inlineStr">
        <is>
          <t>["R2-ISS-030-IMG-02", "R2-ISS-030-IMG-04", "R2-ISS-030-DESC", "R2-ISS-030-PERS"]</t>
        </is>
      </c>
    </row>
    <row r="105" ht="42" customHeight="1">
      <c r="A105" s="3" t="inlineStr">
        <is>
          <t>jeminise.com+christmas-cardinal-perched-on-branch-within-wreath-patchwork-winter-quilt-9e7c0b5896-9e7c0b5896</t>
        </is>
      </c>
      <c r="B105" s="3" t="inlineStr">
        <is>
          <t>K3</t>
        </is>
      </c>
      <c r="C105" s="3" t="n">
        <v>5</v>
      </c>
      <c r="D105" s="3" t="inlineStr">
        <is>
          <t>FULL</t>
        </is>
      </c>
      <c r="E105" s="7">
        <f>IF(B105="I1",AVERAGEIF('QA_Images'!$A$2:$A$51,A105,'QA_Images'!$T$2:$T$51)/100,IF(D105="FULL",1,IF(D105="PARTIAL",0.5,IF(D105="FAIL",0,""))))</f>
        <v/>
      </c>
      <c r="F105" s="7">
        <f>IF(E105="",0,C105*E105)</f>
        <v/>
      </c>
      <c r="G105" s="7">
        <f>IF(B105="I1",20*AVERAGEIF('QA_Images'!$A$2:$A$51,A105,'QA_Images'!$U$2:$U$51)/100,IF(D105="NOT_CHECKED",0,C105))</f>
        <v/>
      </c>
      <c r="H105" s="3" t="inlineStr">
        <is>
          <t>Không suy diễn volume; phân biệt SERP_ONLY và HYPOTHESIS_ONLY.</t>
        </is>
      </c>
      <c r="I105" s="3" t="inlineStr">
        <is>
          <t>["evidence_batch_003_030", "https://jeminise.com/products/christmas-cardinal-perched-on-branch-within-wreath-patchwork-winter-quilt-9e7c0b5896-9e7c0b5896", "serp_qa_030"]</t>
        </is>
      </c>
      <c r="J105" s="3" t="inlineStr">
        <is>
          <t>["R2-ISS-030-IMG-02", "R2-ISS-030-IMG-04", "R2-ISS-030-DESC", "R2-ISS-030-PERS"]</t>
        </is>
      </c>
    </row>
    <row r="106" ht="42" customHeight="1">
      <c r="A106" s="2" t="inlineStr">
        <is>
          <t>jeminise.com+christmas-cardinal-perched-on-branch-within-wreath-patchwork-winter-quilt-9e7c0b5896-9e7c0b5896</t>
        </is>
      </c>
      <c r="B106" s="2" t="inlineStr">
        <is>
          <t>T1</t>
        </is>
      </c>
      <c r="C106" s="2" t="n">
        <v>10</v>
      </c>
      <c r="D106" s="2" t="inlineStr">
        <is>
          <t>FULL</t>
        </is>
      </c>
      <c r="E106" s="5">
        <f>IF(B106="I1",AVERAGEIF('QA_Images'!$A$2:$A$51,A106,'QA_Images'!$T$2:$T$51)/100,IF(D106="FULL",1,IF(D106="PARTIAL",0.5,IF(D106="FAIL",0,""))))</f>
        <v/>
      </c>
      <c r="F106" s="5">
        <f>IF(E106="",0,C106*E106)</f>
        <v/>
      </c>
      <c r="G106" s="5">
        <f>IF(B106="I1",20*AVERAGEIF('QA_Images'!$A$2:$A$51,A106,'QA_Images'!$U$2:$U$51)/100,IF(D106="NOT_CHECKED",0,C106))</f>
        <v/>
      </c>
      <c r="H106" s="2" t="inlineStr">
        <is>
          <t>Đánh giá SEO title English về độ đúng, tự nhiên, keyword và điểm phân biệt.</t>
        </is>
      </c>
      <c r="I106" s="2" t="inlineStr">
        <is>
          <t>["evidence_batch_003_030", "https://jeminise.com/products/christmas-cardinal-perched-on-branch-within-wreath-patchwork-winter-quilt-9e7c0b5896-9e7c0b5896", "serp_qa_030"]</t>
        </is>
      </c>
      <c r="J106" s="2" t="inlineStr">
        <is>
          <t>["R2-ISS-030-IMG-02", "R2-ISS-030-IMG-04", "R2-ISS-030-DESC", "R2-ISS-030-PERS"]</t>
        </is>
      </c>
    </row>
    <row r="107" ht="42" customHeight="1">
      <c r="A107" s="3" t="inlineStr">
        <is>
          <t>jeminise.com+christmas-cardinal-perched-on-branch-within-wreath-patchwork-winter-quilt-9e7c0b5896-9e7c0b5896</t>
        </is>
      </c>
      <c r="B107" s="3" t="inlineStr">
        <is>
          <t>T2</t>
        </is>
      </c>
      <c r="C107" s="3" t="n">
        <v>5</v>
      </c>
      <c r="D107" s="3" t="inlineStr">
        <is>
          <t>FULL</t>
        </is>
      </c>
      <c r="E107" s="7">
        <f>IF(B107="I1",AVERAGEIF('QA_Images'!$A$2:$A$51,A107,'QA_Images'!$T$2:$T$51)/100,IF(D107="FULL",1,IF(D107="PARTIAL",0.5,IF(D107="FAIL",0,""))))</f>
        <v/>
      </c>
      <c r="F107" s="7">
        <f>IF(E107="",0,C107*E107)</f>
        <v/>
      </c>
      <c r="G107" s="7">
        <f>IF(B107="I1",20*AVERAGEIF('QA_Images'!$A$2:$A$51,A107,'QA_Images'!$U$2:$U$51)/100,IF(D107="NOT_CHECKED",0,C107))</f>
        <v/>
      </c>
      <c r="H107" s="3" t="inlineStr">
        <is>
          <t>Đánh giá H1 đề xuất độc lập với SEO title và đối chiếu lỗi ký tự nguồn.</t>
        </is>
      </c>
      <c r="I107" s="3" t="inlineStr">
        <is>
          <t>["evidence_batch_003_030", "https://jeminise.com/products/christmas-cardinal-perched-on-branch-within-wreath-patchwork-winter-quilt-9e7c0b5896-9e7c0b5896", "serp_qa_030"]</t>
        </is>
      </c>
      <c r="J107" s="3" t="inlineStr">
        <is>
          <t>["R2-ISS-030-IMG-02", "R2-ISS-030-IMG-04", "R2-ISS-030-DESC", "R2-ISS-030-PERS"]</t>
        </is>
      </c>
    </row>
    <row r="108" ht="42" customHeight="1">
      <c r="A108" s="2" t="inlineStr">
        <is>
          <t>jeminise.com+christmas-cardinal-perched-on-branch-within-wreath-patchwork-winter-quilt-9e7c0b5896-9e7c0b5896</t>
        </is>
      </c>
      <c r="B108" s="2" t="inlineStr">
        <is>
          <t>D1</t>
        </is>
      </c>
      <c r="C108" s="2" t="n">
        <v>5</v>
      </c>
      <c r="D108" s="2" t="inlineStr">
        <is>
          <t>PARTIAL</t>
        </is>
      </c>
      <c r="E108" s="5">
        <f>IF(B108="I1",AVERAGEIF('QA_Images'!$A$2:$A$51,A108,'QA_Images'!$T$2:$T$51)/100,IF(D108="FULL",1,IF(D108="PARTIAL",0.5,IF(D108="FAIL",0,""))))</f>
        <v/>
      </c>
      <c r="F108" s="5">
        <f>IF(E108="",0,C108*E108)</f>
        <v/>
      </c>
      <c r="G108" s="5">
        <f>IF(B108="I1",20*AVERAGEIF('QA_Images'!$A$2:$A$51,A108,'QA_Images'!$U$2:$U$51)/100,IF(D108="NOT_CHECKED",0,C108))</f>
        <v/>
      </c>
      <c r="H108" s="2" t="inlineStr">
        <is>
          <t>Đánh giá meta description về tính cụ thể và căn cứ claim.</t>
        </is>
      </c>
      <c r="I108" s="2" t="inlineStr">
        <is>
          <t>["evidence_batch_003_030", "https://jeminise.com/products/christmas-cardinal-perched-on-branch-within-wreath-patchwork-winter-quilt-9e7c0b5896-9e7c0b5896", "serp_qa_030"]</t>
        </is>
      </c>
      <c r="J108" s="2" t="inlineStr">
        <is>
          <t>["R2-ISS-030-IMG-02", "R2-ISS-030-IMG-04", "R2-ISS-030-DESC", "R2-ISS-030-PERS"]</t>
        </is>
      </c>
    </row>
    <row r="109" ht="42" customHeight="1">
      <c r="A109" s="3" t="inlineStr">
        <is>
          <t>jeminise.com+christmas-cardinal-perched-on-branch-within-wreath-patchwork-winter-quilt-9e7c0b5896-9e7c0b5896</t>
        </is>
      </c>
      <c r="B109" s="3" t="inlineStr">
        <is>
          <t>D2</t>
        </is>
      </c>
      <c r="C109" s="3" t="n">
        <v>10</v>
      </c>
      <c r="D109" s="3" t="inlineStr">
        <is>
          <t>PARTIAL</t>
        </is>
      </c>
      <c r="E109" s="7">
        <f>IF(B109="I1",AVERAGEIF('QA_Images'!$A$2:$A$51,A109,'QA_Images'!$T$2:$T$51)/100,IF(D109="FULL",1,IF(D109="PARTIAL",0.5,IF(D109="FAIL",0,""))))</f>
        <v/>
      </c>
      <c r="F109" s="7">
        <f>IF(E109="",0,C109*E109)</f>
        <v/>
      </c>
      <c r="G109" s="7">
        <f>IF(B109="I1",20*AVERAGEIF('QA_Images'!$A$2:$A$51,A109,'QA_Images'!$U$2:$U$51)/100,IF(D109="NOT_CHECKED",0,C109))</f>
        <v/>
      </c>
      <c r="H109" s="3" t="inlineStr">
        <is>
          <t>Description SET có HTML đầy đủ nhưng chứa câu nội bộ 'This draft should be reviewed...' và dữ liệu nguồn thô/mâu thuẫn; chưa phải nội dung publish-ready.</t>
        </is>
      </c>
      <c r="I109" s="3" t="inlineStr">
        <is>
          <t>["evidence_batch_003_030", "https://jeminise.com/products/christmas-cardinal-perched-on-branch-within-wreath-patchwork-winter-quilt-9e7c0b5896-9e7c0b5896", "serp_qa_030"]</t>
        </is>
      </c>
      <c r="J109" s="3" t="inlineStr">
        <is>
          <t>["R2-ISS-030-IMG-02", "R2-ISS-030-IMG-04", "R2-ISS-030-DESC", "R2-ISS-030-PERS"]</t>
        </is>
      </c>
    </row>
    <row r="110" ht="42" customHeight="1">
      <c r="A110" s="2" t="inlineStr">
        <is>
          <t>jeminise.com+christmas-cardinal-perched-on-branch-within-wreath-patchwork-winter-quilt-9e7c0b5896-9e7c0b5896</t>
        </is>
      </c>
      <c r="B110" s="2" t="inlineStr">
        <is>
          <t>I1</t>
        </is>
      </c>
      <c r="C110" s="2" t="n">
        <v>20</v>
      </c>
      <c r="D110" s="2" t="inlineStr">
        <is>
          <t>DERIVED</t>
        </is>
      </c>
      <c r="E110" s="5">
        <f>IF(B110="I1",AVERAGEIF('QA_Images'!$A$2:$A$51,A110,'QA_Images'!$T$2:$T$51)/100,IF(D110="FULL",1,IF(D110="PARTIAL",0.5,IF(D110="FAIL",0,""))))</f>
        <v/>
      </c>
      <c r="F110" s="5">
        <f>IF(E110="",0,C110*E110)</f>
        <v/>
      </c>
      <c r="G110" s="5">
        <f>IF(B110="I1",20*AVERAGEIF('QA_Images'!$A$2:$A$51,A110,'QA_Images'!$U$2:$U$51)/100,IF(D110="NOT_CHECKED",0,C110))</f>
        <v/>
      </c>
      <c r="H110" s="2" t="inlineStr">
        <is>
          <t>Tính từ trung bình 5 ảnh: 80.0000/100.</t>
        </is>
      </c>
      <c r="I110" s="2" t="inlineStr">
        <is>
          <t>["evidence_batch_003_030", "https://jeminise.com/products/christmas-cardinal-perched-on-branch-within-wreath-patchwork-winter-quilt-9e7c0b5896-9e7c0b5896", "serp_qa_030"]</t>
        </is>
      </c>
      <c r="J110" s="2" t="inlineStr">
        <is>
          <t>["R2-ISS-030-IMG-02", "R2-ISS-030-IMG-04", "R2-ISS-030-DESC", "R2-ISS-030-PERS"]</t>
        </is>
      </c>
    </row>
    <row r="111" ht="42" customHeight="1">
      <c r="A111" s="3" t="inlineStr">
        <is>
          <t>jeminise.com+christmas-cardinal-perched-on-branch-within-wreath-patchwork-winter-quilt-9e7c0b5896-9e7c0b5896</t>
        </is>
      </c>
      <c r="B111" s="3" t="inlineStr">
        <is>
          <t>E1</t>
        </is>
      </c>
      <c r="C111" s="3" t="n">
        <v>5</v>
      </c>
      <c r="D111" s="3" t="inlineStr">
        <is>
          <t>FULL</t>
        </is>
      </c>
      <c r="E111" s="7">
        <f>IF(B111="I1",AVERAGEIF('QA_Images'!$A$2:$A$51,A111,'QA_Images'!$T$2:$T$51)/100,IF(D111="FULL",1,IF(D111="PARTIAL",0.5,IF(D111="FAIL",0,""))))</f>
        <v/>
      </c>
      <c r="F111" s="7">
        <f>IF(E111="",0,C111*E111)</f>
        <v/>
      </c>
      <c r="G111" s="7">
        <f>IF(B111="I1",20*AVERAGEIF('QA_Images'!$A$2:$A$51,A111,'QA_Images'!$U$2:$U$51)/100,IF(D111="NOT_CHECKED",0,C111))</f>
        <v/>
      </c>
      <c r="H111" s="3" t="inlineStr">
        <is>
          <t>Kiểm tra liên kết product key/handle/evidence/revision giữa workbook, snapshot và nguồn live.</t>
        </is>
      </c>
      <c r="I111" s="3" t="inlineStr">
        <is>
          <t>["evidence_batch_003_030", "https://jeminise.com/products/christmas-cardinal-perched-on-branch-within-wreath-patchwork-winter-quilt-9e7c0b5896-9e7c0b5896", "serp_qa_030"]</t>
        </is>
      </c>
      <c r="J111" s="3" t="inlineStr">
        <is>
          <t>["R2-ISS-030-IMG-02", "R2-ISS-030-IMG-04", "R2-ISS-030-DESC", "R2-ISS-030-PERS"]</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5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3"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jeminise.com+christmas-bedding-quilt-soft-microfiber-holiday-bedsprea-design-05</t>
        </is>
      </c>
      <c r="B2" s="2" t="inlineStr">
        <is>
          <t>qaimg_3b1892f0f41c718e</t>
        </is>
      </c>
      <c r="C2" s="4" t="inlineStr">
        <is>
          <t>https://cdn.shopify.com/s/files/1/0792/5098/1063/files/7db6811c66637965300a2e7b9c74cbf013694f223ecb0c00a52fba2970fa6e22.jpg?v=1787239304</t>
        </is>
      </c>
      <c r="D2" s="4" t="inlineStr">
        <is>
          <t>https://cdn.shopify.com/s/files/1/0792/5098/1063/files/7db6811c66637965300a2e7b9c74cbf013694f223ecb0c00a52fba2970fa6e22.jpg?v=1787239304</t>
        </is>
      </c>
      <c r="E2" s="2" t="inlineStr">
        <is>
          <t>38895268790471</t>
        </is>
      </c>
      <c r="F2" s="2" t="inlineStr">
        <is>
          <t>47934032314567</t>
        </is>
      </c>
      <c r="G2" s="2" t="inlineStr"/>
      <c r="H2" s="2" t="inlineStr">
        <is>
          <t>GALLERY</t>
        </is>
      </c>
      <c r="I2" s="2" t="inlineStr">
        <is>
          <t>DIRECT_ORIGINAL_IMAGE</t>
        </is>
      </c>
      <c r="J2" s="2" t="inlineStr">
        <is>
          <t>2026-09-07T14:36:41.969406+07:00</t>
        </is>
      </c>
      <c r="K2" s="2" t="inlineStr">
        <is>
          <t>Front bedroom mockup of a cream Christmas quilt with a gingerbread man, candy cane, green bow and peppermint border.</t>
        </is>
      </c>
      <c r="L2" s="2" t="inlineStr">
        <is>
          <t>Main bed mockup showing cream gingerbread man and candy cane Christmas quilt.</t>
        </is>
      </c>
      <c r="M2" s="2" t="inlineStr">
        <is>
          <t>Christmas Bedding Quilt – Soft Microfiber Holiday Bedspread, Lightweight Winter Bedding, Cozy Xmas Quilts for Couch, Bedroom &amp; Seasonal Home Decorations (Christmas Quilt-DS05)</t>
        </is>
      </c>
      <c r="N2" s="2" t="inlineStr">
        <is>
          <t>SET</t>
        </is>
      </c>
      <c r="O2" s="2" t="inlineStr">
        <is>
          <t>Gingerbread Candy Cane Christmas Quilt Set displayed on a bed</t>
        </is>
      </c>
      <c r="P2" s="2" t="inlineStr">
        <is>
          <t>FULL</t>
        </is>
      </c>
      <c r="Q2" s="2" t="inlineStr">
        <is>
          <t>FULL</t>
        </is>
      </c>
      <c r="R2" s="2" t="inlineStr">
        <is>
          <t>FULL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t>
        </is>
      </c>
      <c r="Z2" s="2" t="inlineStr">
        <is>
          <t>["seo_runs\\jeminise.com\\20260906_234129\\evidence\\images\\21_christmas-bedding-quilt-soft-microfiber-holiday-bedsprea-design-05\\image_01_47934032314567.jpg; seo_runs\\jeminise.com\\20260906_234129\\evidence\\contact_sheets\\21_christmas-bedding-quilt-soft-microfiber-holiday-bedsprea-design-05.jpg", "https://jeminise.com/products/christmas-bedding-quilt-soft-microfiber-holiday-bedsprea-design-05", "https://cdn.shopify.com/s/files/1/0792/5098/1063/files/7db6811c66637965300a2e7b9c74cbf013694f223ecb0c00a52fba2970fa6e22.jpg?v=1787239304"]</t>
        </is>
      </c>
    </row>
    <row r="3" ht="66" customHeight="1">
      <c r="A3" s="3" t="inlineStr">
        <is>
          <t>jeminise.com+christmas-bedding-quilt-soft-microfiber-holiday-bedsprea-design-05</t>
        </is>
      </c>
      <c r="B3" s="3" t="inlineStr">
        <is>
          <t>qaimg_d60f2c3e4da9bb23</t>
        </is>
      </c>
      <c r="C3" s="4" t="inlineStr">
        <is>
          <t>https://cdn.shopify.com/s/files/1/0792/5098/1063/files/16c248973ae48e0a9cc4448f2002965ba9049a188545c2818d9f66e2db24f2a5.jpg?v=1787239304</t>
        </is>
      </c>
      <c r="D3" s="4" t="inlineStr">
        <is>
          <t>https://cdn.shopify.com/s/files/1/0792/5098/1063/files/16c248973ae48e0a9cc4448f2002965ba9049a188545c2818d9f66e2db24f2a5.jpg?v=1787239304</t>
        </is>
      </c>
      <c r="E3" s="3" t="inlineStr">
        <is>
          <t>38895268823239</t>
        </is>
      </c>
      <c r="F3" s="3" t="inlineStr">
        <is>
          <t>47934032347335</t>
        </is>
      </c>
      <c r="G3" s="3" t="inlineStr"/>
      <c r="H3" s="3" t="inlineStr">
        <is>
          <t>GALLERY</t>
        </is>
      </c>
      <c r="I3" s="3" t="inlineStr">
        <is>
          <t>DIRECT_ORIGINAL_IMAGE</t>
        </is>
      </c>
      <c r="J3" s="3" t="inlineStr">
        <is>
          <t>2026-09-07T14:36:41.969406+07:00</t>
        </is>
      </c>
      <c r="K3" s="3" t="inlineStr">
        <is>
          <t>Angled bedroom mockup of the same gingerbread-and-candy-cane Christmas quilt.</t>
        </is>
      </c>
      <c r="L3" s="3" t="inlineStr">
        <is>
          <t>Angled bedroom mockup showing the cream gingerbread man and candy cane Christmas quilt quilt and matching shams.</t>
        </is>
      </c>
      <c r="M3" s="3" t="inlineStr">
        <is>
          <t>Christmas Bedding Quilt – Soft Microfiber Holiday Bedspread, Lightweight Winter Bedding, Cozy Xmas Quilts for Couch, Bedroom &amp; Seasonal Home Decorations (Christmas Quilt-DS05)</t>
        </is>
      </c>
      <c r="N3" s="3" t="inlineStr">
        <is>
          <t>SET</t>
        </is>
      </c>
      <c r="O3" s="3" t="inlineStr">
        <is>
          <t>Angled bedroom view of Gingerbread Candy Cane Christmas Quilt Set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is>
          <t>[]</t>
        </is>
      </c>
      <c r="Z3" s="3" t="inlineStr">
        <is>
          <t>["seo_runs\\jeminise.com\\20260906_234129\\evidence\\images\\21_christmas-bedding-quilt-soft-microfiber-holiday-bedsprea-design-05\\image_02_47934032347335.jpg; seo_runs\\jeminise.com\\20260906_234129\\evidence\\contact_sheets\\21_christmas-bedding-quilt-soft-microfiber-holiday-bedsprea-design-05.jpg", "https://jeminise.com/products/christmas-bedding-quilt-soft-microfiber-holiday-bedsprea-design-05", "https://cdn.shopify.com/s/files/1/0792/5098/1063/files/16c248973ae48e0a9cc4448f2002965ba9049a188545c2818d9f66e2db24f2a5.jpg?v=1787239304"]</t>
        </is>
      </c>
    </row>
    <row r="4" ht="66" customHeight="1">
      <c r="A4" s="2" t="inlineStr">
        <is>
          <t>jeminise.com+christmas-bedding-quilt-soft-microfiber-holiday-bedsprea-design-05</t>
        </is>
      </c>
      <c r="B4" s="2" t="inlineStr">
        <is>
          <t>qaimg_a89e6c5c17ce820f</t>
        </is>
      </c>
      <c r="C4" s="4" t="inlineStr">
        <is>
          <t>https://cdn.shopify.com/s/files/1/0792/5098/1063/files/323ea5e3469590e61df70a45da30caeee15b2197d409a07ec242f1425c067466.jpg?v=1787239304</t>
        </is>
      </c>
      <c r="D4" s="4" t="inlineStr">
        <is>
          <t>https://cdn.shopify.com/s/files/1/0792/5098/1063/files/323ea5e3469590e61df70a45da30caeee15b2197d409a07ec242f1425c067466.jpg?v=1787239304</t>
        </is>
      </c>
      <c r="E4" s="2" t="inlineStr">
        <is>
          <t>38895268856007</t>
        </is>
      </c>
      <c r="F4" s="2" t="inlineStr">
        <is>
          <t>47934032380103</t>
        </is>
      </c>
      <c r="G4" s="2" t="inlineStr"/>
      <c r="H4" s="2" t="inlineStr">
        <is>
          <t>GALLERY</t>
        </is>
      </c>
      <c r="I4" s="2" t="inlineStr">
        <is>
          <t>DIRECT_ORIGINAL_IMAGE</t>
        </is>
      </c>
      <c r="J4" s="2" t="inlineStr">
        <is>
          <t>2026-09-07T14:36:41.969406+07:00</t>
        </is>
      </c>
      <c r="K4" s="2" t="inlineStr">
        <is>
          <t>Close-up of the printed gingerbread bow and candy-cane surface with visible quilting lines.</t>
        </is>
      </c>
      <c r="L4" s="2" t="inlineStr">
        <is>
          <t>Matching pillow sham with cream gingerbread man and candy cane Christmas quilt artwork.</t>
        </is>
      </c>
      <c r="M4" s="2" t="inlineStr">
        <is>
          <t>Christmas Bedding Quilt – Soft Microfiber Holiday Bedspread, Lightweight Winter Bedding, Cozy Xmas Quilts for Couch, Bedroom &amp; Seasonal Home Decorations (Christmas Quilt-DS05)</t>
        </is>
      </c>
      <c r="N4" s="2" t="inlineStr">
        <is>
          <t>SET</t>
        </is>
      </c>
      <c r="O4" s="2" t="inlineStr">
        <is>
          <t>Matching pillow sham for Gingerbread Candy Cane Christmas Quilt Set</t>
        </is>
      </c>
      <c r="P4" s="2" t="inlineStr">
        <is>
          <t>FULL</t>
        </is>
      </c>
      <c r="Q4" s="2" t="inlineStr">
        <is>
          <t>FAIL</t>
        </is>
      </c>
      <c r="R4" s="2" t="inlineStr">
        <is>
          <t>FAIL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["R2-ISS-021-IMG-03"]</t>
        </is>
      </c>
      <c r="Z4" s="2" t="inlineStr">
        <is>
          <t>["seo_runs\\jeminise.com\\20260906_234129\\evidence\\images\\21_christmas-bedding-quilt-soft-microfiber-holiday-bedsprea-design-05\\image_03_47934032380103.jpg; seo_runs\\jeminise.com\\20260906_234129\\evidence\\contact_sheets\\21_christmas-bedding-quilt-soft-microfiber-holiday-bedsprea-design-05.jpg", "https://jeminise.com/products/christmas-bedding-quilt-soft-microfiber-holiday-bedsprea-design-05", "https://cdn.shopify.com/s/files/1/0792/5098/1063/files/323ea5e3469590e61df70a45da30caeee15b2197d409a07ec242f1425c067466.jpg?v=1787239304"]</t>
        </is>
      </c>
    </row>
    <row r="5" ht="66" customHeight="1">
      <c r="A5" s="3" t="inlineStr">
        <is>
          <t>jeminise.com+christmas-bedding-quilt-soft-microfiber-holiday-bedsprea-design-05</t>
        </is>
      </c>
      <c r="B5" s="3" t="inlineStr">
        <is>
          <t>qaimg_7d7c7bc9d4c25ee7</t>
        </is>
      </c>
      <c r="C5" s="4" t="inlineStr">
        <is>
          <t>https://cdn.shopify.com/s/files/1/0792/5098/1063/files/a9d73f05a5624e29d69e9f45c9035fc8ce6d17dce0280be079f2697dfabb6a95.jpg?v=1787239304</t>
        </is>
      </c>
      <c r="D5" s="4" t="inlineStr">
        <is>
          <t>https://cdn.shopify.com/s/files/1/0792/5098/1063/files/a9d73f05a5624e29d69e9f45c9035fc8ce6d17dce0280be079f2697dfabb6a95.jpg?v=1787239304</t>
        </is>
      </c>
      <c r="E5" s="3" t="inlineStr">
        <is>
          <t>38895268888775</t>
        </is>
      </c>
      <c r="F5" s="3" t="inlineStr">
        <is>
          <t>47934032412871</t>
        </is>
      </c>
      <c r="G5" s="3" t="inlineStr"/>
      <c r="H5" s="3" t="inlineStr">
        <is>
          <t>GALLERY</t>
        </is>
      </c>
      <c r="I5" s="3" t="inlineStr">
        <is>
          <t>DIRECT_ORIGINAL_IMAGE</t>
        </is>
      </c>
      <c r="J5" s="3" t="inlineStr">
        <is>
          <t>2026-09-07T14:36:41.969406+07:00</t>
        </is>
      </c>
      <c r="K5" s="3" t="inlineStr">
        <is>
          <t>Isolated matching pillow sham with gingerbread man and candy cane artwork.</t>
        </is>
      </c>
      <c r="L5" s="3" t="inlineStr">
        <is>
          <t>Close-up view of the printed/quilted texture and cream gingerbread man and candy cane Christmas quilt detail.</t>
        </is>
      </c>
      <c r="M5" s="3" t="inlineStr">
        <is>
          <t>Christmas Bedding Quilt – Soft Microfiber Holiday Bedspread, Lightweight Winter Bedding, Cozy Xmas Quilts for Couch, Bedroom &amp; Seasonal Home Decorations (Christmas Quilt-DS05)</t>
        </is>
      </c>
      <c r="N5" s="3" t="inlineStr">
        <is>
          <t>SET</t>
        </is>
      </c>
      <c r="O5" s="3" t="inlineStr">
        <is>
          <t>Close-up of cream gingerbread man and candy cane Christmas quilt on the quilt</t>
        </is>
      </c>
      <c r="P5" s="3" t="inlineStr">
        <is>
          <t>FULL</t>
        </is>
      </c>
      <c r="Q5" s="3" t="inlineStr">
        <is>
          <t>FAIL</t>
        </is>
      </c>
      <c r="R5" s="3" t="inlineStr">
        <is>
          <t>FAIL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["R2-ISS-021-IMG-04"]</t>
        </is>
      </c>
      <c r="Z5" s="3" t="inlineStr">
        <is>
          <t>["seo_runs\\jeminise.com\\20260906_234129\\evidence\\images\\21_christmas-bedding-quilt-soft-microfiber-holiday-bedsprea-design-05\\image_04_47934032412871.jpg; seo_runs\\jeminise.com\\20260906_234129\\evidence\\contact_sheets\\21_christmas-bedding-quilt-soft-microfiber-holiday-bedsprea-design-05.jpg", "https://jeminise.com/products/christmas-bedding-quilt-soft-microfiber-holiday-bedsprea-design-05", "https://cdn.shopify.com/s/files/1/0792/5098/1063/files/a9d73f05a5624e29d69e9f45c9035fc8ce6d17dce0280be079f2697dfabb6a95.jpg?v=1787239304"]</t>
        </is>
      </c>
    </row>
    <row r="6" ht="66" customHeight="1">
      <c r="A6" s="2" t="inlineStr">
        <is>
          <t>jeminise.com+christmas-bedding-quilt-soft-microfiber-holiday-bedsprea-design-05</t>
        </is>
      </c>
      <c r="B6" s="2" t="inlineStr">
        <is>
          <t>qaimg_79be3ce8e550e4ae</t>
        </is>
      </c>
      <c r="C6" s="4" t="inlineStr">
        <is>
          <t>https://cdn.shopify.com/s/files/1/0792/5098/1063/files/0461d860e029a4d27649c56e37e256172572e09064aab3d6823b9226c1ee8c9b.jpg?v=1787239304</t>
        </is>
      </c>
      <c r="D6" s="4" t="inlineStr">
        <is>
          <t>https://cdn.shopify.com/s/files/1/0792/5098/1063/files/0461d860e029a4d27649c56e37e256172572e09064aab3d6823b9226c1ee8c9b.jpg?v=1787239304</t>
        </is>
      </c>
      <c r="E6" s="2" t="inlineStr">
        <is>
          <t>38895268921543</t>
        </is>
      </c>
      <c r="F6" s="2" t="inlineStr">
        <is>
          <t>47934032445639</t>
        </is>
      </c>
      <c r="G6" s="2" t="inlineStr"/>
      <c r="H6" s="2" t="inlineStr">
        <is>
          <t>GALLERY</t>
        </is>
      </c>
      <c r="I6" s="2" t="inlineStr">
        <is>
          <t>DIRECT_ORIGINAL_IMAGE</t>
        </is>
      </c>
      <c r="J6" s="2" t="inlineStr">
        <is>
          <t>2026-09-07T14:36:41.969406+07:00</t>
        </is>
      </c>
      <c r="K6" s="2" t="inlineStr">
        <is>
          <t>Included-components and size graphic: one premium quilt plus two optional standard shams; Throw, Twin, Queen and King dimensions.</t>
        </is>
      </c>
      <c r="L6" s="2" t="inlineStr">
        <is>
          <t>Included-components and size information image for the quilt set.</t>
        </is>
      </c>
      <c r="M6" s="2" t="inlineStr">
        <is>
          <t>Christmas Bedding Quilt – Soft Microfiber Holiday Bedspread, Lightweight Winter Bedding, Cozy Xmas Quilts for Couch, Bedroom &amp; Seasonal Home Decorations (Christmas Quilt-DS05)</t>
        </is>
      </c>
      <c r="N6" s="2" t="inlineStr">
        <is>
          <t>SET</t>
        </is>
      </c>
      <c r="O6" s="2" t="inlineStr">
        <is>
          <t>Size guide for Gingerbread Candy Cane Christmas Quilt Set</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t>
        </is>
      </c>
      <c r="Z6" s="2" t="inlineStr">
        <is>
          <t>["seo_runs\\jeminise.com\\20260906_234129\\evidence\\images\\21_christmas-bedding-quilt-soft-microfiber-holiday-bedsprea-design-05\\image_05_47934032445639.jpg; seo_runs\\jeminise.com\\20260906_234129\\evidence\\contact_sheets\\21_christmas-bedding-quilt-soft-microfiber-holiday-bedsprea-design-05.jpg", "https://jeminise.com/products/christmas-bedding-quilt-soft-microfiber-holiday-bedsprea-design-05", "https://cdn.shopify.com/s/files/1/0792/5098/1063/files/0461d860e029a4d27649c56e37e256172572e09064aab3d6823b9226c1ee8c9b.jpg?v=1787239304"]</t>
        </is>
      </c>
    </row>
    <row r="7" ht="66" customHeight="1">
      <c r="A7" s="3" t="inlineStr">
        <is>
          <t>jeminise.com+christmas-bedding-quilt-soft-microfiber-holiday-bedsprea-design-06</t>
        </is>
      </c>
      <c r="B7" s="3" t="inlineStr">
        <is>
          <t>qaimg_d8049b1aff78f5fa</t>
        </is>
      </c>
      <c r="C7" s="4" t="inlineStr">
        <is>
          <t>https://cdn.shopify.com/s/files/1/0792/5098/1063/files/72e69cf5279e1503866df817e765ec4b9528ac9d374090ff6a383b64dc802f0f.jpg?v=1787239327</t>
        </is>
      </c>
      <c r="D7" s="4" t="inlineStr">
        <is>
          <t>https://cdn.shopify.com/s/files/1/0792/5098/1063/files/72e69cf5279e1503866df817e765ec4b9528ac9d374090ff6a383b64dc802f0f.jpg?v=1787239327</t>
        </is>
      </c>
      <c r="E7" s="3" t="inlineStr">
        <is>
          <t>38895272100039</t>
        </is>
      </c>
      <c r="F7" s="3" t="inlineStr">
        <is>
          <t>47934035427527</t>
        </is>
      </c>
      <c r="G7" s="3" t="inlineStr"/>
      <c r="H7" s="3" t="inlineStr">
        <is>
          <t>GALLERY</t>
        </is>
      </c>
      <c r="I7" s="3" t="inlineStr">
        <is>
          <t>DIRECT_ORIGINAL_IMAGE</t>
        </is>
      </c>
      <c r="J7" s="3" t="inlineStr">
        <is>
          <t>2026-09-07T14:36:41.969406+07:00</t>
        </is>
      </c>
      <c r="K7" s="3" t="inlineStr">
        <is>
          <t>Front bedroom mockup of a black Christmas-tree quilt with ornaments, snowflakes and wrapped gifts.</t>
        </is>
      </c>
      <c r="L7" s="3" t="inlineStr">
        <is>
          <t>Main bed mockup showing black Christmas tree quilt with ornaments and gifts.</t>
        </is>
      </c>
      <c r="M7" s="3" t="inlineStr">
        <is>
          <t>Christmas Bedding Quilt – Soft Microfiber Holiday Bedspread, Lightweight Winter Bedding, Cozy Xmas Quilts for Couch, Bedroom &amp; Seasonal Home Decorations (Christmas Quilt-DS06)</t>
        </is>
      </c>
      <c r="N7" s="3" t="inlineStr">
        <is>
          <t>SET</t>
        </is>
      </c>
      <c r="O7" s="3" t="inlineStr">
        <is>
          <t>Black Christmas Tree Quilt Set displayed on a bed</t>
        </is>
      </c>
      <c r="P7" s="3" t="inlineStr">
        <is>
          <t>FULL</t>
        </is>
      </c>
      <c r="Q7" s="3" t="inlineStr">
        <is>
          <t>FULL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t>
        </is>
      </c>
      <c r="Z7" s="3" t="inlineStr">
        <is>
          <t>["seo_runs\\jeminise.com\\20260906_234129\\evidence\\images\\22_christmas-bedding-quilt-soft-microfiber-holiday-bedsprea-design-06\\image_01_47934035427527.jpg; seo_runs\\jeminise.com\\20260906_234129\\evidence\\contact_sheets\\22_christmas-bedding-quilt-soft-microfiber-holiday-bedsprea-design-06.jpg", "https://jeminise.com/products/christmas-bedding-quilt-soft-microfiber-holiday-bedsprea-design-06", "https://cdn.shopify.com/s/files/1/0792/5098/1063/files/72e69cf5279e1503866df817e765ec4b9528ac9d374090ff6a383b64dc802f0f.jpg?v=1787239327"]</t>
        </is>
      </c>
    </row>
    <row r="8" ht="66" customHeight="1">
      <c r="A8" s="2" t="inlineStr">
        <is>
          <t>jeminise.com+christmas-bedding-quilt-soft-microfiber-holiday-bedsprea-design-06</t>
        </is>
      </c>
      <c r="B8" s="2" t="inlineStr">
        <is>
          <t>qaimg_8b1396097d5a8e9d</t>
        </is>
      </c>
      <c r="C8" s="4" t="inlineStr">
        <is>
          <t>https://cdn.shopify.com/s/files/1/0792/5098/1063/files/1f0bc53734f9d184eafeba37de9d2d68714be1c73b540fbe08ef60be1bc69fa5.jpg?v=1787239327</t>
        </is>
      </c>
      <c r="D8" s="4" t="inlineStr">
        <is>
          <t>https://cdn.shopify.com/s/files/1/0792/5098/1063/files/1f0bc53734f9d184eafeba37de9d2d68714be1c73b540fbe08ef60be1bc69fa5.jpg?v=1787239327</t>
        </is>
      </c>
      <c r="E8" s="2" t="inlineStr">
        <is>
          <t>38895272132807</t>
        </is>
      </c>
      <c r="F8" s="2" t="inlineStr">
        <is>
          <t>47934035460295</t>
        </is>
      </c>
      <c r="G8" s="2" t="inlineStr"/>
      <c r="H8" s="2" t="inlineStr">
        <is>
          <t>GALLERY</t>
        </is>
      </c>
      <c r="I8" s="2" t="inlineStr">
        <is>
          <t>DIRECT_ORIGINAL_IMAGE</t>
        </is>
      </c>
      <c r="J8" s="2" t="inlineStr">
        <is>
          <t>2026-09-07T14:36:41.969406+07:00</t>
        </is>
      </c>
      <c r="K8" s="2" t="inlineStr">
        <is>
          <t>Angled bedroom mockup of the same black Christmas-tree quilt.</t>
        </is>
      </c>
      <c r="L8" s="2" t="inlineStr">
        <is>
          <t>Angled bedroom mockup showing the black Christmas tree quilt with ornaments and gifts quilt and matching shams.</t>
        </is>
      </c>
      <c r="M8" s="2" t="inlineStr">
        <is>
          <t>Christmas Bedding Quilt – Soft Microfiber Holiday Bedspread, Lightweight Winter Bedding, Cozy Xmas Quilts for Couch, Bedroom &amp; Seasonal Home Decorations (Christmas Quilt-DS06)</t>
        </is>
      </c>
      <c r="N8" s="2" t="inlineStr">
        <is>
          <t>SET</t>
        </is>
      </c>
      <c r="O8" s="2" t="inlineStr">
        <is>
          <t>Angled bedroom view of Black Christmas Tree Quilt Set</t>
        </is>
      </c>
      <c r="P8" s="2" t="inlineStr">
        <is>
          <t>FULL</t>
        </is>
      </c>
      <c r="Q8" s="2" t="inlineStr">
        <is>
          <t>FULL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t>
        </is>
      </c>
      <c r="Z8" s="2" t="inlineStr">
        <is>
          <t>["seo_runs\\jeminise.com\\20260906_234129\\evidence\\images\\22_christmas-bedding-quilt-soft-microfiber-holiday-bedsprea-design-06\\image_02_47934035460295.jpg; seo_runs\\jeminise.com\\20260906_234129\\evidence\\contact_sheets\\22_christmas-bedding-quilt-soft-microfiber-holiday-bedsprea-design-06.jpg", "https://jeminise.com/products/christmas-bedding-quilt-soft-microfiber-holiday-bedsprea-design-06", "https://cdn.shopify.com/s/files/1/0792/5098/1063/files/1f0bc53734f9d184eafeba37de9d2d68714be1c73b540fbe08ef60be1bc69fa5.jpg?v=1787239327"]</t>
        </is>
      </c>
    </row>
    <row r="9" ht="66" customHeight="1">
      <c r="A9" s="3" t="inlineStr">
        <is>
          <t>jeminise.com+christmas-bedding-quilt-soft-microfiber-holiday-bedsprea-design-06</t>
        </is>
      </c>
      <c r="B9" s="3" t="inlineStr">
        <is>
          <t>qaimg_4ad323b46fbb3b15</t>
        </is>
      </c>
      <c r="C9" s="4" t="inlineStr">
        <is>
          <t>https://cdn.shopify.com/s/files/1/0792/5098/1063/files/9f875161013c7183bc18456508e00b3634194100adb029e0ff7c1be3bada05cf.jpg?v=1787239327</t>
        </is>
      </c>
      <c r="D9" s="4" t="inlineStr">
        <is>
          <t>https://cdn.shopify.com/s/files/1/0792/5098/1063/files/9f875161013c7183bc18456508e00b3634194100adb029e0ff7c1be3bada05cf.jpg?v=1787239327</t>
        </is>
      </c>
      <c r="E9" s="3" t="inlineStr">
        <is>
          <t>38895272165575</t>
        </is>
      </c>
      <c r="F9" s="3" t="inlineStr">
        <is>
          <t>47934035493063</t>
        </is>
      </c>
      <c r="G9" s="3" t="inlineStr"/>
      <c r="H9" s="3" t="inlineStr">
        <is>
          <t>GALLERY</t>
        </is>
      </c>
      <c r="I9" s="3" t="inlineStr">
        <is>
          <t>DIRECT_ORIGINAL_IMAGE</t>
        </is>
      </c>
      <c r="J9" s="3" t="inlineStr">
        <is>
          <t>2026-09-07T14:36:41.969406+07:00</t>
        </is>
      </c>
      <c r="K9" s="3" t="inlineStr">
        <is>
          <t>Isolated matching pillow sham with decorated tree and gift artwork.</t>
        </is>
      </c>
      <c r="L9" s="3" t="inlineStr">
        <is>
          <t>Matching pillow sham with black Christmas tree quilt with ornaments and gifts artwork.</t>
        </is>
      </c>
      <c r="M9" s="3" t="inlineStr">
        <is>
          <t>Christmas Bedding Quilt – Soft Microfiber Holiday Bedspread, Lightweight Winter Bedding, Cozy Xmas Quilts for Couch, Bedroom &amp; Seasonal Home Decorations (Christmas Quilt-DS06)</t>
        </is>
      </c>
      <c r="N9" s="3" t="inlineStr">
        <is>
          <t>SET</t>
        </is>
      </c>
      <c r="O9" s="3" t="inlineStr">
        <is>
          <t>Matching pillow sham for Black Christmas Tree Quilt Set</t>
        </is>
      </c>
      <c r="P9" s="3" t="inlineStr">
        <is>
          <t>FULL</t>
        </is>
      </c>
      <c r="Q9" s="3" t="inlineStr">
        <is>
          <t>FULL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t>
        </is>
      </c>
      <c r="Z9" s="3" t="inlineStr">
        <is>
          <t>["seo_runs\\jeminise.com\\20260906_234129\\evidence\\images\\22_christmas-bedding-quilt-soft-microfiber-holiday-bedsprea-design-06\\image_03_47934035493063.jpg; seo_runs\\jeminise.com\\20260906_234129\\evidence\\contact_sheets\\22_christmas-bedding-quilt-soft-microfiber-holiday-bedsprea-design-06.jpg", "https://jeminise.com/products/christmas-bedding-quilt-soft-microfiber-holiday-bedsprea-design-06", "https://cdn.shopify.com/s/files/1/0792/5098/1063/files/9f875161013c7183bc18456508e00b3634194100adb029e0ff7c1be3bada05cf.jpg?v=1787239327"]</t>
        </is>
      </c>
    </row>
    <row r="10" ht="66" customHeight="1">
      <c r="A10" s="2" t="inlineStr">
        <is>
          <t>jeminise.com+christmas-bedding-quilt-soft-microfiber-holiday-bedsprea-design-06</t>
        </is>
      </c>
      <c r="B10" s="2" t="inlineStr">
        <is>
          <t>qaimg_89cedf4228b13065</t>
        </is>
      </c>
      <c r="C10" s="4" t="inlineStr">
        <is>
          <t>https://cdn.shopify.com/s/files/1/0792/5098/1063/files/de596ab0879cec52ad5e2a96c2ef7ec529fa83fcec514ad55907502143e123a0.jpg?v=1787239327</t>
        </is>
      </c>
      <c r="D10" s="4" t="inlineStr">
        <is>
          <t>https://cdn.shopify.com/s/files/1/0792/5098/1063/files/de596ab0879cec52ad5e2a96c2ef7ec529fa83fcec514ad55907502143e123a0.jpg?v=1787239327</t>
        </is>
      </c>
      <c r="E10" s="2" t="inlineStr">
        <is>
          <t>38895272198343</t>
        </is>
      </c>
      <c r="F10" s="2" t="inlineStr">
        <is>
          <t>47934035525831</t>
        </is>
      </c>
      <c r="G10" s="2" t="inlineStr"/>
      <c r="H10" s="2" t="inlineStr">
        <is>
          <t>GALLERY</t>
        </is>
      </c>
      <c r="I10" s="2" t="inlineStr">
        <is>
          <t>DIRECT_ORIGINAL_IMAGE</t>
        </is>
      </c>
      <c r="J10" s="2" t="inlineStr">
        <is>
          <t>2026-09-07T14:36:41.969406+07:00</t>
        </is>
      </c>
      <c r="K10" s="2" t="inlineStr">
        <is>
          <t>Close-up of the printed Christmas-tree surface with visible quilting lines.</t>
        </is>
      </c>
      <c r="L10" s="2" t="inlineStr">
        <is>
          <t>Close-up view of the printed/quilted texture and black Christmas tree quilt with ornaments and gifts detail.</t>
        </is>
      </c>
      <c r="M10" s="2" t="inlineStr">
        <is>
          <t>Christmas Bedding Quilt – Soft Microfiber Holiday Bedspread, Lightweight Winter Bedding, Cozy Xmas Quilts for Couch, Bedroom &amp; Seasonal Home Decorations (Christmas Quilt-DS06)</t>
        </is>
      </c>
      <c r="N10" s="2" t="inlineStr">
        <is>
          <t>SET</t>
        </is>
      </c>
      <c r="O10" s="2" t="inlineStr">
        <is>
          <t>Close-up of black Christmas tree quilt with ornaments and gifts on the quilt</t>
        </is>
      </c>
      <c r="P10" s="2" t="inlineStr">
        <is>
          <t>FULL</t>
        </is>
      </c>
      <c r="Q10" s="2" t="inlineStr">
        <is>
          <t>FULL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t>
        </is>
      </c>
      <c r="Z10" s="2" t="inlineStr">
        <is>
          <t>["seo_runs\\jeminise.com\\20260906_234129\\evidence\\images\\22_christmas-bedding-quilt-soft-microfiber-holiday-bedsprea-design-06\\image_04_47934035525831.jpg; seo_runs\\jeminise.com\\20260906_234129\\evidence\\contact_sheets\\22_christmas-bedding-quilt-soft-microfiber-holiday-bedsprea-design-06.jpg", "https://jeminise.com/products/christmas-bedding-quilt-soft-microfiber-holiday-bedsprea-design-06", "https://cdn.shopify.com/s/files/1/0792/5098/1063/files/de596ab0879cec52ad5e2a96c2ef7ec529fa83fcec514ad55907502143e123a0.jpg?v=1787239327"]</t>
        </is>
      </c>
    </row>
    <row r="11" ht="66" customHeight="1">
      <c r="A11" s="3" t="inlineStr">
        <is>
          <t>jeminise.com+christmas-bedding-quilt-soft-microfiber-holiday-bedsprea-design-06</t>
        </is>
      </c>
      <c r="B11" s="3" t="inlineStr">
        <is>
          <t>qaimg_29ecfa2fd03f1c9f</t>
        </is>
      </c>
      <c r="C11" s="4" t="inlineStr">
        <is>
          <t>https://cdn.shopify.com/s/files/1/0792/5098/1063/files/c551c6c00f378c8ae6d61af5e53faaf79a1375863eefd1febffb9ecee0e3e4c9.jpg?v=1787239327</t>
        </is>
      </c>
      <c r="D11" s="4" t="inlineStr">
        <is>
          <t>https://cdn.shopify.com/s/files/1/0792/5098/1063/files/c551c6c00f378c8ae6d61af5e53faaf79a1375863eefd1febffb9ecee0e3e4c9.jpg?v=1787239327</t>
        </is>
      </c>
      <c r="E11" s="3" t="inlineStr">
        <is>
          <t>38895272231111</t>
        </is>
      </c>
      <c r="F11" s="3" t="inlineStr">
        <is>
          <t>47934035558599</t>
        </is>
      </c>
      <c r="G11" s="3" t="inlineStr"/>
      <c r="H11" s="3" t="inlineStr">
        <is>
          <t>GALLERY</t>
        </is>
      </c>
      <c r="I11" s="3" t="inlineStr">
        <is>
          <t>DIRECT_ORIGINAL_IMAGE</t>
        </is>
      </c>
      <c r="J11" s="3" t="inlineStr">
        <is>
          <t>2026-09-07T14:36:41.969406+07:00</t>
        </is>
      </c>
      <c r="K11" s="3" t="inlineStr">
        <is>
          <t>Included-components and size graphic: one premium quilt plus two optional standard shams; Throw, Twin, Queen and King dimensions.</t>
        </is>
      </c>
      <c r="L11" s="3" t="inlineStr">
        <is>
          <t>Included-components and size information image for the quilt set.</t>
        </is>
      </c>
      <c r="M11" s="3" t="inlineStr">
        <is>
          <t>Christmas Bedding Quilt – Soft Microfiber Holiday Bedspread, Lightweight Winter Bedding, Cozy Xmas Quilts for Couch, Bedroom &amp; Seasonal Home Decorations (Christmas Quilt-DS06)</t>
        </is>
      </c>
      <c r="N11" s="3" t="inlineStr">
        <is>
          <t>SET</t>
        </is>
      </c>
      <c r="O11" s="3" t="inlineStr">
        <is>
          <t>Size guide for Black Christmas Tree Quilt Set</t>
        </is>
      </c>
      <c r="P11" s="3" t="inlineStr">
        <is>
          <t>FULL</t>
        </is>
      </c>
      <c r="Q11" s="3" t="inlineStr">
        <is>
          <t>FULL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t>
        </is>
      </c>
      <c r="Z11" s="3" t="inlineStr">
        <is>
          <t>["seo_runs\\jeminise.com\\20260906_234129\\evidence\\images\\22_christmas-bedding-quilt-soft-microfiber-holiday-bedsprea-design-06\\image_05_47934035558599.jpg; seo_runs\\jeminise.com\\20260906_234129\\evidence\\contact_sheets\\22_christmas-bedding-quilt-soft-microfiber-holiday-bedsprea-design-06.jpg", "https://jeminise.com/products/christmas-bedding-quilt-soft-microfiber-holiday-bedsprea-design-06", "https://cdn.shopify.com/s/files/1/0792/5098/1063/files/c551c6c00f378c8ae6d61af5e53faaf79a1375863eefd1febffb9ecee0e3e4c9.jpg?v=1787239327"]</t>
        </is>
      </c>
    </row>
    <row r="12" ht="66" customHeight="1">
      <c r="A12" s="2" t="inlineStr">
        <is>
          <t>jeminise.com+christmas-bedding-quilt-soft-microfiber-holiday-bedsprea-design-08</t>
        </is>
      </c>
      <c r="B12" s="2" t="inlineStr">
        <is>
          <t>qaimg_953ca80518f15da6</t>
        </is>
      </c>
      <c r="C12" s="4" t="inlineStr">
        <is>
          <t>https://cdn.shopify.com/s/files/1/0792/5098/1063/files/46ac5bc18554d3c8eef4fcfd803278c3caa3d66a0c5dad038cb8e03d55416938.jpg?v=1787239336</t>
        </is>
      </c>
      <c r="D12" s="4" t="inlineStr">
        <is>
          <t>https://cdn.shopify.com/s/files/1/0792/5098/1063/files/46ac5bc18554d3c8eef4fcfd803278c3caa3d66a0c5dad038cb8e03d55416938.jpg?v=1787239336</t>
        </is>
      </c>
      <c r="E12" s="2" t="inlineStr">
        <is>
          <t>38895273083079</t>
        </is>
      </c>
      <c r="F12" s="2" t="inlineStr">
        <is>
          <t>47934036541639</t>
        </is>
      </c>
      <c r="G12" s="2" t="inlineStr"/>
      <c r="H12" s="2" t="inlineStr">
        <is>
          <t>GALLERY</t>
        </is>
      </c>
      <c r="I12" s="2" t="inlineStr">
        <is>
          <t>DIRECT_ORIGINAL_IMAGE</t>
        </is>
      </c>
      <c r="J12" s="2" t="inlineStr">
        <is>
          <t>2026-09-07T14:36:41.969406+07:00</t>
        </is>
      </c>
      <c r="K12" s="2" t="inlineStr">
        <is>
          <t>Front bedroom mockup of a soft blue-and-cream winter quilt with red cardinals, snowy birdhouse and wreath.</t>
        </is>
      </c>
      <c r="L12" s="2" t="inlineStr">
        <is>
          <t>Main bed mockup showing winter cardinal birdhouse quilt in soft blue and cream.</t>
        </is>
      </c>
      <c r="M12" s="2" t="inlineStr">
        <is>
          <t>Christmas Bedding Quilt – Soft Microfiber Holiday Bedspread, Lightweight Winter Bedding, Cozy Xmas Quilts for Couch, Bedroom &amp; Seasonal Home Decorations (Christmas Quilt-DS08)</t>
        </is>
      </c>
      <c r="N12" s="2" t="inlineStr">
        <is>
          <t>SET</t>
        </is>
      </c>
      <c r="O12" s="2" t="inlineStr">
        <is>
          <t>Winter Cardinal Birdhouse Quilt Set displayed on a bed</t>
        </is>
      </c>
      <c r="P12" s="2" t="inlineStr">
        <is>
          <t>FULL</t>
        </is>
      </c>
      <c r="Q12" s="2" t="inlineStr">
        <is>
          <t>FULL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t>
        </is>
      </c>
      <c r="Z12" s="2" t="inlineStr">
        <is>
          <t>["seo_runs\\jeminise.com\\20260906_234129\\evidence\\images\\23_christmas-bedding-quilt-soft-microfiber-holiday-bedsprea-design-08\\image_01_47934036541639.jpg; seo_runs\\jeminise.com\\20260906_234129\\evidence\\contact_sheets\\23_christmas-bedding-quilt-soft-microfiber-holiday-bedsprea-design-08.jpg", "https://jeminise.com/products/christmas-bedding-quilt-soft-microfiber-holiday-bedsprea-design-08", "https://cdn.shopify.com/s/files/1/0792/5098/1063/files/46ac5bc18554d3c8eef4fcfd803278c3caa3d66a0c5dad038cb8e03d55416938.jpg?v=1787239336"]</t>
        </is>
      </c>
    </row>
    <row r="13" ht="66" customHeight="1">
      <c r="A13" s="3" t="inlineStr">
        <is>
          <t>jeminise.com+christmas-bedding-quilt-soft-microfiber-holiday-bedsprea-design-08</t>
        </is>
      </c>
      <c r="B13" s="3" t="inlineStr">
        <is>
          <t>qaimg_9b3592ddada7bedd</t>
        </is>
      </c>
      <c r="C13" s="4" t="inlineStr">
        <is>
          <t>https://cdn.shopify.com/s/files/1/0792/5098/1063/files/6253d0d99a44a39ec73a70fccf1fd5474c4304769ed308a2bce71e6ae7fc6773.jpg?v=1787239336</t>
        </is>
      </c>
      <c r="D13" s="4" t="inlineStr">
        <is>
          <t>https://cdn.shopify.com/s/files/1/0792/5098/1063/files/6253d0d99a44a39ec73a70fccf1fd5474c4304769ed308a2bce71e6ae7fc6773.jpg?v=1787239336</t>
        </is>
      </c>
      <c r="E13" s="3" t="inlineStr">
        <is>
          <t>38895273115847</t>
        </is>
      </c>
      <c r="F13" s="3" t="inlineStr">
        <is>
          <t>47934036574407</t>
        </is>
      </c>
      <c r="G13" s="3" t="inlineStr"/>
      <c r="H13" s="3" t="inlineStr">
        <is>
          <t>GALLERY</t>
        </is>
      </c>
      <c r="I13" s="3" t="inlineStr">
        <is>
          <t>DIRECT_ORIGINAL_IMAGE</t>
        </is>
      </c>
      <c r="J13" s="3" t="inlineStr">
        <is>
          <t>2026-09-07T14:36:41.969406+07:00</t>
        </is>
      </c>
      <c r="K13" s="3" t="inlineStr">
        <is>
          <t>Angled bedroom mockup of the same cardinal-and-birdhouse winter quilt.</t>
        </is>
      </c>
      <c r="L13" s="3" t="inlineStr">
        <is>
          <t>Angled bedroom mockup showing the winter cardinal birdhouse quilt in soft blue and cream quilt and matching shams.</t>
        </is>
      </c>
      <c r="M13" s="3" t="inlineStr">
        <is>
          <t>Christmas Bedding Quilt – Soft Microfiber Holiday Bedspread, Lightweight Winter Bedding, Cozy Xmas Quilts for Couch, Bedroom &amp; Seasonal Home Decorations (Christmas Quilt-DS08)</t>
        </is>
      </c>
      <c r="N13" s="3" t="inlineStr">
        <is>
          <t>SET</t>
        </is>
      </c>
      <c r="O13" s="3" t="inlineStr">
        <is>
          <t>Angled bedroom view of Winter Cardinal Birdhouse Quilt Set</t>
        </is>
      </c>
      <c r="P13" s="3" t="inlineStr">
        <is>
          <t>FULL</t>
        </is>
      </c>
      <c r="Q13" s="3" t="inlineStr">
        <is>
          <t>FULL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t>
        </is>
      </c>
      <c r="Z13" s="3" t="inlineStr">
        <is>
          <t>["seo_runs\\jeminise.com\\20260906_234129\\evidence\\images\\23_christmas-bedding-quilt-soft-microfiber-holiday-bedsprea-design-08\\image_02_47934036574407.jpg; seo_runs\\jeminise.com\\20260906_234129\\evidence\\contact_sheets\\23_christmas-bedding-quilt-soft-microfiber-holiday-bedsprea-design-08.jpg", "https://jeminise.com/products/christmas-bedding-quilt-soft-microfiber-holiday-bedsprea-design-08", "https://cdn.shopify.com/s/files/1/0792/5098/1063/files/6253d0d99a44a39ec73a70fccf1fd5474c4304769ed308a2bce71e6ae7fc6773.jpg?v=1787239336"]</t>
        </is>
      </c>
    </row>
    <row r="14" ht="66" customHeight="1">
      <c r="A14" s="2" t="inlineStr">
        <is>
          <t>jeminise.com+christmas-bedding-quilt-soft-microfiber-holiday-bedsprea-design-08</t>
        </is>
      </c>
      <c r="B14" s="2" t="inlineStr">
        <is>
          <t>qaimg_326b2ee63be4dfcb</t>
        </is>
      </c>
      <c r="C14" s="4" t="inlineStr">
        <is>
          <t>https://cdn.shopify.com/s/files/1/0792/5098/1063/files/2de8ef1ba93562897c63ce73c8318e5dfa629b1dde66298ab9a0975f5c8e67fa.jpg?v=1787239336</t>
        </is>
      </c>
      <c r="D14" s="4" t="inlineStr">
        <is>
          <t>https://cdn.shopify.com/s/files/1/0792/5098/1063/files/2de8ef1ba93562897c63ce73c8318e5dfa629b1dde66298ab9a0975f5c8e67fa.jpg?v=1787239336</t>
        </is>
      </c>
      <c r="E14" s="2" t="inlineStr">
        <is>
          <t>38895273148615</t>
        </is>
      </c>
      <c r="F14" s="2" t="inlineStr">
        <is>
          <t>47934036607175</t>
        </is>
      </c>
      <c r="G14" s="2" t="inlineStr"/>
      <c r="H14" s="2" t="inlineStr">
        <is>
          <t>GALLERY</t>
        </is>
      </c>
      <c r="I14" s="2" t="inlineStr">
        <is>
          <t>DIRECT_ORIGINAL_IMAGE</t>
        </is>
      </c>
      <c r="J14" s="2" t="inlineStr">
        <is>
          <t>2026-09-07T14:36:41.969406+07:00</t>
        </is>
      </c>
      <c r="K14" s="2" t="inlineStr">
        <is>
          <t>Isolated matching pillow sham with two red cardinals and snowy birdhouse artwork.</t>
        </is>
      </c>
      <c r="L14" s="2" t="inlineStr">
        <is>
          <t>Matching pillow sham with winter cardinal birdhouse quilt in soft blue and cream artwork.</t>
        </is>
      </c>
      <c r="M14" s="2" t="inlineStr">
        <is>
          <t>Christmas Bedding Quilt – Soft Microfiber Holiday Bedspread, Lightweight Winter Bedding, Cozy Xmas Quilts for Couch, Bedroom &amp; Seasonal Home Decorations (Christmas Quilt-DS08)</t>
        </is>
      </c>
      <c r="N14" s="2" t="inlineStr">
        <is>
          <t>SET</t>
        </is>
      </c>
      <c r="O14" s="2" t="inlineStr">
        <is>
          <t>Matching pillow sham for Winter Cardinal Birdhouse Quilt Set</t>
        </is>
      </c>
      <c r="P14" s="2" t="inlineStr">
        <is>
          <t>FULL</t>
        </is>
      </c>
      <c r="Q14" s="2" t="inlineStr">
        <is>
          <t>FULL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t>
        </is>
      </c>
      <c r="Z14" s="2" t="inlineStr">
        <is>
          <t>["seo_runs\\jeminise.com\\20260906_234129\\evidence\\images\\23_christmas-bedding-quilt-soft-microfiber-holiday-bedsprea-design-08\\image_03_47934036607175.jpg; seo_runs\\jeminise.com\\20260906_234129\\evidence\\contact_sheets\\23_christmas-bedding-quilt-soft-microfiber-holiday-bedsprea-design-08.jpg", "https://jeminise.com/products/christmas-bedding-quilt-soft-microfiber-holiday-bedsprea-design-08", "https://cdn.shopify.com/s/files/1/0792/5098/1063/files/2de8ef1ba93562897c63ce73c8318e5dfa629b1dde66298ab9a0975f5c8e67fa.jpg?v=1787239336"]</t>
        </is>
      </c>
    </row>
    <row r="15" ht="66" customHeight="1">
      <c r="A15" s="3" t="inlineStr">
        <is>
          <t>jeminise.com+christmas-bedding-quilt-soft-microfiber-holiday-bedsprea-design-08</t>
        </is>
      </c>
      <c r="B15" s="3" t="inlineStr">
        <is>
          <t>qaimg_b962a24650ba5a38</t>
        </is>
      </c>
      <c r="C15" s="4" t="inlineStr">
        <is>
          <t>https://cdn.shopify.com/s/files/1/0792/5098/1063/files/3b2f22710d1a46e0e095953b6c975ddfea342c3464885dc25bfef9b9378fdb2e.jpg?v=1787239336</t>
        </is>
      </c>
      <c r="D15" s="4" t="inlineStr">
        <is>
          <t>https://cdn.shopify.com/s/files/1/0792/5098/1063/files/3b2f22710d1a46e0e095953b6c975ddfea342c3464885dc25bfef9b9378fdb2e.jpg?v=1787239336</t>
        </is>
      </c>
      <c r="E15" s="3" t="inlineStr">
        <is>
          <t>38895273181383</t>
        </is>
      </c>
      <c r="F15" s="3" t="inlineStr">
        <is>
          <t>47934036639943</t>
        </is>
      </c>
      <c r="G15" s="3" t="inlineStr"/>
      <c r="H15" s="3" t="inlineStr">
        <is>
          <t>GALLERY</t>
        </is>
      </c>
      <c r="I15" s="3" t="inlineStr">
        <is>
          <t>DIRECT_ORIGINAL_IMAGE</t>
        </is>
      </c>
      <c r="J15" s="3" t="inlineStr">
        <is>
          <t>2026-09-07T14:36:41.969406+07:00</t>
        </is>
      </c>
      <c r="K15" s="3" t="inlineStr">
        <is>
          <t>Close-up of the printed cardinal, birdhouse and wreath surface with visible quilting lines.</t>
        </is>
      </c>
      <c r="L15" s="3" t="inlineStr">
        <is>
          <t>Close-up view of the printed/quilted texture and winter cardinal birdhouse quilt in soft blue and cream detail.</t>
        </is>
      </c>
      <c r="M15" s="3" t="inlineStr">
        <is>
          <t>Christmas Bedding Quilt – Soft Microfiber Holiday Bedspread, Lightweight Winter Bedding, Cozy Xmas Quilts for Couch, Bedroom &amp; Seasonal Home Decorations (Christmas Quilt-DS08)</t>
        </is>
      </c>
      <c r="N15" s="3" t="inlineStr">
        <is>
          <t>SET</t>
        </is>
      </c>
      <c r="O15" s="3" t="inlineStr">
        <is>
          <t>Close-up of winter cardinal birdhouse quilt in soft blue and cream on the quilt</t>
        </is>
      </c>
      <c r="P15" s="3" t="inlineStr">
        <is>
          <t>FULL</t>
        </is>
      </c>
      <c r="Q15" s="3" t="inlineStr">
        <is>
          <t>FULL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t>
        </is>
      </c>
      <c r="Z15" s="3" t="inlineStr">
        <is>
          <t>["seo_runs\\jeminise.com\\20260906_234129\\evidence\\images\\23_christmas-bedding-quilt-soft-microfiber-holiday-bedsprea-design-08\\image_04_47934036639943.jpg; seo_runs\\jeminise.com\\20260906_234129\\evidence\\contact_sheets\\23_christmas-bedding-quilt-soft-microfiber-holiday-bedsprea-design-08.jpg", "https://jeminise.com/products/christmas-bedding-quilt-soft-microfiber-holiday-bedsprea-design-08", "https://cdn.shopify.com/s/files/1/0792/5098/1063/files/3b2f22710d1a46e0e095953b6c975ddfea342c3464885dc25bfef9b9378fdb2e.jpg?v=1787239336"]</t>
        </is>
      </c>
    </row>
    <row r="16" ht="66" customHeight="1">
      <c r="A16" s="2" t="inlineStr">
        <is>
          <t>jeminise.com+christmas-bedding-quilt-soft-microfiber-holiday-bedsprea-design-08</t>
        </is>
      </c>
      <c r="B16" s="2" t="inlineStr">
        <is>
          <t>qaimg_7e6547018439f403</t>
        </is>
      </c>
      <c r="C16" s="4" t="inlineStr">
        <is>
          <t>https://cdn.shopify.com/s/files/1/0792/5098/1063/files/0dee6830a719b55bc41e1ff6962d26e0a61f2f790098df31d82ccf6c573e00bb.jpg?v=1787239336</t>
        </is>
      </c>
      <c r="D16" s="4" t="inlineStr">
        <is>
          <t>https://cdn.shopify.com/s/files/1/0792/5098/1063/files/0dee6830a719b55bc41e1ff6962d26e0a61f2f790098df31d82ccf6c573e00bb.jpg?v=1787239336</t>
        </is>
      </c>
      <c r="E16" s="2" t="inlineStr">
        <is>
          <t>38895273214151</t>
        </is>
      </c>
      <c r="F16" s="2" t="inlineStr">
        <is>
          <t>47934036672711</t>
        </is>
      </c>
      <c r="G16" s="2" t="inlineStr"/>
      <c r="H16" s="2" t="inlineStr">
        <is>
          <t>GALLERY</t>
        </is>
      </c>
      <c r="I16" s="2" t="inlineStr">
        <is>
          <t>DIRECT_ORIGINAL_IMAGE</t>
        </is>
      </c>
      <c r="J16" s="2" t="inlineStr">
        <is>
          <t>2026-09-07T14:36:41.969406+07:00</t>
        </is>
      </c>
      <c r="K16" s="2" t="inlineStr">
        <is>
          <t>Included-components and size graphic: one premium quilt plus two optional standard shams; Throw, Twin, Queen and King dimensions.</t>
        </is>
      </c>
      <c r="L16" s="2" t="inlineStr">
        <is>
          <t>Included-components and size information image for the quilt set.</t>
        </is>
      </c>
      <c r="M16" s="2" t="inlineStr">
        <is>
          <t>Christmas Bedding Quilt – Soft Microfiber Holiday Bedspread, Lightweight Winter Bedding, Cozy Xmas Quilts for Couch, Bedroom &amp; Seasonal Home Decorations (Christmas Quilt-DS08)</t>
        </is>
      </c>
      <c r="N16" s="2" t="inlineStr">
        <is>
          <t>SET</t>
        </is>
      </c>
      <c r="O16" s="2" t="inlineStr">
        <is>
          <t>Size guide for Winter Cardinal Birdhouse Quilt Set</t>
        </is>
      </c>
      <c r="P16" s="2" t="inlineStr">
        <is>
          <t>FULL</t>
        </is>
      </c>
      <c r="Q16" s="2" t="inlineStr">
        <is>
          <t>FULL</t>
        </is>
      </c>
      <c r="R16" s="2" t="inlineStr">
        <is>
          <t>FULL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t>
        </is>
      </c>
      <c r="Z16" s="2" t="inlineStr">
        <is>
          <t>["seo_runs\\jeminise.com\\20260906_234129\\evidence\\images\\23_christmas-bedding-quilt-soft-microfiber-holiday-bedsprea-design-08\\image_05_47934036672711.jpg; seo_runs\\jeminise.com\\20260906_234129\\evidence\\contact_sheets\\23_christmas-bedding-quilt-soft-microfiber-holiday-bedsprea-design-08.jpg", "https://jeminise.com/products/christmas-bedding-quilt-soft-microfiber-holiday-bedsprea-design-08", "https://cdn.shopify.com/s/files/1/0792/5098/1063/files/0dee6830a719b55bc41e1ff6962d26e0a61f2f790098df31d82ccf6c573e00bb.jpg?v=1787239336"]</t>
        </is>
      </c>
    </row>
    <row r="17" ht="66" customHeight="1">
      <c r="A17" s="3" t="inlineStr">
        <is>
          <t>jeminise.com+christmas-bedding-quilt-soft-microfiber-holiday-bedsprea-design-09</t>
        </is>
      </c>
      <c r="B17" s="3" t="inlineStr">
        <is>
          <t>qaimg_16b72d9c4f7d71ff</t>
        </is>
      </c>
      <c r="C17" s="4" t="inlineStr">
        <is>
          <t>https://cdn.shopify.com/s/files/1/0792/5098/1063/files/d2bc26d7e0a1539757ff02234b818258378a4fed938876959c8d6c2a9252ab74.jpg?v=1787239380</t>
        </is>
      </c>
      <c r="D17" s="4" t="inlineStr">
        <is>
          <t>https://cdn.shopify.com/s/files/1/0792/5098/1063/files/d2bc26d7e0a1539757ff02234b818258378a4fed938876959c8d6c2a9252ab74.jpg?v=1787239380</t>
        </is>
      </c>
      <c r="E17" s="3" t="inlineStr">
        <is>
          <t>38895277342919</t>
        </is>
      </c>
      <c r="F17" s="3" t="inlineStr">
        <is>
          <t>47934040703175</t>
        </is>
      </c>
      <c r="G17" s="3" t="inlineStr"/>
      <c r="H17" s="3" t="inlineStr">
        <is>
          <t>GALLERY</t>
        </is>
      </c>
      <c r="I17" s="3" t="inlineStr">
        <is>
          <t>DIRECT_ORIGINAL_IMAGE</t>
        </is>
      </c>
      <c r="J17" s="3" t="inlineStr">
        <is>
          <t>2026-09-07T14:36:41.969406+07:00</t>
        </is>
      </c>
      <c r="K17" s="3" t="inlineStr">
        <is>
          <t>Front bedroom mockup of a large gingerbread figure in a green hat and scarf, surrounded by gifts, cookies and a snowy village.</t>
        </is>
      </c>
      <c r="L17" s="3" t="inlineStr">
        <is>
          <t>Main bed mockup showing snowman Christmas village quilt with gifts and cookies.</t>
        </is>
      </c>
      <c r="M17" s="3" t="inlineStr">
        <is>
          <t>Christmas Bedding Quilt – Soft Microfiber Holiday Bedspread, Lightweight Winter Bedding, Cozy Xmas Quilts for Couch, Bedroom &amp; Seasonal Home Decorations (Christmas Quilt-DS09)</t>
        </is>
      </c>
      <c r="N17" s="3" t="inlineStr">
        <is>
          <t>SET</t>
        </is>
      </c>
      <c r="O17" s="3" t="inlineStr">
        <is>
          <t>gingerbread Christmas Village Quilt Set displayed on a bed</t>
        </is>
      </c>
      <c r="P17" s="3" t="inlineStr">
        <is>
          <t>FULL</t>
        </is>
      </c>
      <c r="Q17" s="3" t="inlineStr">
        <is>
          <t>FULL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t>
        </is>
      </c>
      <c r="Z17" s="3" t="inlineStr">
        <is>
          <t>["seo_runs\\jeminise.com\\20260906_234129\\evidence\\images\\24_christmas-bedding-quilt-soft-microfiber-holiday-bedsprea-design-09\\image_01_47934040703175.jpg; seo_runs\\jeminise.com\\20260906_234129\\evidence\\contact_sheets\\24_christmas-bedding-quilt-soft-microfiber-holiday-bedsprea-design-09.jpg", "https://jeminise.com/products/christmas-bedding-quilt-soft-microfiber-holiday-bedsprea-design-09", "https://cdn.shopify.com/s/files/1/0792/5098/1063/files/d2bc26d7e0a1539757ff02234b818258378a4fed938876959c8d6c2a9252ab74.jpg?v=1787239380"]</t>
        </is>
      </c>
    </row>
    <row r="18" ht="66" customHeight="1">
      <c r="A18" s="2" t="inlineStr">
        <is>
          <t>jeminise.com+christmas-bedding-quilt-soft-microfiber-holiday-bedsprea-design-09</t>
        </is>
      </c>
      <c r="B18" s="2" t="inlineStr">
        <is>
          <t>qaimg_b1a6746c5dfcdcc8</t>
        </is>
      </c>
      <c r="C18" s="4" t="inlineStr">
        <is>
          <t>https://cdn.shopify.com/s/files/1/0792/5098/1063/files/92819bbb1bab62430498426868c03f6a71d83b02976baffe6e9ae7c163a8d57a.jpg?v=1787239380</t>
        </is>
      </c>
      <c r="D18" s="4" t="inlineStr">
        <is>
          <t>https://cdn.shopify.com/s/files/1/0792/5098/1063/files/92819bbb1bab62430498426868c03f6a71d83b02976baffe6e9ae7c163a8d57a.jpg?v=1787239380</t>
        </is>
      </c>
      <c r="E18" s="2" t="inlineStr">
        <is>
          <t>38895277375687</t>
        </is>
      </c>
      <c r="F18" s="2" t="inlineStr">
        <is>
          <t>47934040735943</t>
        </is>
      </c>
      <c r="G18" s="2" t="inlineStr"/>
      <c r="H18" s="2" t="inlineStr">
        <is>
          <t>GALLERY</t>
        </is>
      </c>
      <c r="I18" s="2" t="inlineStr">
        <is>
          <t>DIRECT_ORIGINAL_IMAGE</t>
        </is>
      </c>
      <c r="J18" s="2" t="inlineStr">
        <is>
          <t>2026-09-07T14:36:41.969406+07:00</t>
        </is>
      </c>
      <c r="K18" s="2" t="inlineStr">
        <is>
          <t>Angled bedroom mockup of the same gingerbread Christmas-village quilt.</t>
        </is>
      </c>
      <c r="L18" s="2" t="inlineStr">
        <is>
          <t>Angled bedroom mockup showing the snowman Christmas village quilt with gifts and cookies quilt and matching shams.</t>
        </is>
      </c>
      <c r="M18" s="2" t="inlineStr">
        <is>
          <t>Christmas Bedding Quilt – Soft Microfiber Holiday Bedspread, Lightweight Winter Bedding, Cozy Xmas Quilts for Couch, Bedroom &amp; Seasonal Home Decorations (Christmas Quilt-DS09)</t>
        </is>
      </c>
      <c r="N18" s="2" t="inlineStr">
        <is>
          <t>SET</t>
        </is>
      </c>
      <c r="O18" s="2" t="inlineStr">
        <is>
          <t>Angled bedroom view of gingerbread Christmas Village Quilt Set</t>
        </is>
      </c>
      <c r="P18" s="2" t="inlineStr">
        <is>
          <t>FULL</t>
        </is>
      </c>
      <c r="Q18" s="2" t="inlineStr">
        <is>
          <t>FULL</t>
        </is>
      </c>
      <c r="R18" s="2" t="inlineStr">
        <is>
          <t>FULL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t>
        </is>
      </c>
      <c r="Z18" s="2" t="inlineStr">
        <is>
          <t>["seo_runs\\jeminise.com\\20260906_234129\\evidence\\images\\24_christmas-bedding-quilt-soft-microfiber-holiday-bedsprea-design-09\\image_02_47934040735943.jpg; seo_runs\\jeminise.com\\20260906_234129\\evidence\\contact_sheets\\24_christmas-bedding-quilt-soft-microfiber-holiday-bedsprea-design-09.jpg", "https://jeminise.com/products/christmas-bedding-quilt-soft-microfiber-holiday-bedsprea-design-09", "https://cdn.shopify.com/s/files/1/0792/5098/1063/files/92819bbb1bab62430498426868c03f6a71d83b02976baffe6e9ae7c163a8d57a.jpg?v=1787239380"]</t>
        </is>
      </c>
    </row>
    <row r="19" ht="66" customHeight="1">
      <c r="A19" s="3" t="inlineStr">
        <is>
          <t>jeminise.com+christmas-bedding-quilt-soft-microfiber-holiday-bedsprea-design-09</t>
        </is>
      </c>
      <c r="B19" s="3" t="inlineStr">
        <is>
          <t>qaimg_46fb9878904faf29</t>
        </is>
      </c>
      <c r="C19" s="4" t="inlineStr">
        <is>
          <t>https://cdn.shopify.com/s/files/1/0792/5098/1063/files/8b9b39ff116a9ed0e810e59f32df8035bc7842af460038e5fe9e42fe52d11d2b.jpg?v=1787239380</t>
        </is>
      </c>
      <c r="D19" s="4" t="inlineStr">
        <is>
          <t>https://cdn.shopify.com/s/files/1/0792/5098/1063/files/8b9b39ff116a9ed0e810e59f32df8035bc7842af460038e5fe9e42fe52d11d2b.jpg?v=1787239380</t>
        </is>
      </c>
      <c r="E19" s="3" t="inlineStr">
        <is>
          <t>38895277408455</t>
        </is>
      </c>
      <c r="F19" s="3" t="inlineStr">
        <is>
          <t>47934040768711</t>
        </is>
      </c>
      <c r="G19" s="3" t="inlineStr"/>
      <c r="H19" s="3" t="inlineStr">
        <is>
          <t>GALLERY</t>
        </is>
      </c>
      <c r="I19" s="3" t="inlineStr">
        <is>
          <t>DIRECT_ORIGINAL_IMAGE</t>
        </is>
      </c>
      <c r="J19" s="3" t="inlineStr">
        <is>
          <t>2026-09-07T14:36:41.969406+07:00</t>
        </is>
      </c>
      <c r="K19" s="3" t="inlineStr">
        <is>
          <t>Isolated matching pillow sham with gingerbread figure, gifts, cookies and village artwork.</t>
        </is>
      </c>
      <c r="L19" s="3" t="inlineStr">
        <is>
          <t>Matching pillow sham with snowman Christmas village quilt with gifts and cookies artwork.</t>
        </is>
      </c>
      <c r="M19" s="3" t="inlineStr">
        <is>
          <t>Christmas Bedding Quilt – Soft Microfiber Holiday Bedspread, Lightweight Winter Bedding, Cozy Xmas Quilts for Couch, Bedroom &amp; Seasonal Home Decorations (Christmas Quilt-DS09)</t>
        </is>
      </c>
      <c r="N19" s="3" t="inlineStr">
        <is>
          <t>SET</t>
        </is>
      </c>
      <c r="O19" s="3" t="inlineStr">
        <is>
          <t>Matching pillow sham for gingerbread Christmas Village Quilt Set</t>
        </is>
      </c>
      <c r="P19" s="3" t="inlineStr">
        <is>
          <t>FULL</t>
        </is>
      </c>
      <c r="Q19" s="3" t="inlineStr">
        <is>
          <t>FULL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t>
        </is>
      </c>
      <c r="Z19" s="3" t="inlineStr">
        <is>
          <t>["seo_runs\\jeminise.com\\20260906_234129\\evidence\\images\\24_christmas-bedding-quilt-soft-microfiber-holiday-bedsprea-design-09\\image_03_47934040768711.jpg; seo_runs\\jeminise.com\\20260906_234129\\evidence\\contact_sheets\\24_christmas-bedding-quilt-soft-microfiber-holiday-bedsprea-design-09.jpg", "https://jeminise.com/products/christmas-bedding-quilt-soft-microfiber-holiday-bedsprea-design-09", "https://cdn.shopify.com/s/files/1/0792/5098/1063/files/8b9b39ff116a9ed0e810e59f32df8035bc7842af460038e5fe9e42fe52d11d2b.jpg?v=1787239380"]</t>
        </is>
      </c>
    </row>
    <row r="20" ht="66" customHeight="1">
      <c r="A20" s="2" t="inlineStr">
        <is>
          <t>jeminise.com+christmas-bedding-quilt-soft-microfiber-holiday-bedsprea-design-09</t>
        </is>
      </c>
      <c r="B20" s="2" t="inlineStr">
        <is>
          <t>qaimg_01435ed35bfd87a3</t>
        </is>
      </c>
      <c r="C20" s="4" t="inlineStr">
        <is>
          <t>https://cdn.shopify.com/s/files/1/0792/5098/1063/files/ff6861c326fe77551be0989f5304657a44c60df7dd12c0c301ad5ca8d111f257.jpg?v=1787239380</t>
        </is>
      </c>
      <c r="D20" s="4" t="inlineStr">
        <is>
          <t>https://cdn.shopify.com/s/files/1/0792/5098/1063/files/ff6861c326fe77551be0989f5304657a44c60df7dd12c0c301ad5ca8d111f257.jpg?v=1787239380</t>
        </is>
      </c>
      <c r="E20" s="2" t="inlineStr">
        <is>
          <t>38895277441223</t>
        </is>
      </c>
      <c r="F20" s="2" t="inlineStr">
        <is>
          <t>47934040801479</t>
        </is>
      </c>
      <c r="G20" s="2" t="inlineStr"/>
      <c r="H20" s="2" t="inlineStr">
        <is>
          <t>GALLERY</t>
        </is>
      </c>
      <c r="I20" s="2" t="inlineStr">
        <is>
          <t>DIRECT_ORIGINAL_IMAGE</t>
        </is>
      </c>
      <c r="J20" s="2" t="inlineStr">
        <is>
          <t>2026-09-07T14:36:41.969406+07:00</t>
        </is>
      </c>
      <c r="K20" s="2" t="inlineStr">
        <is>
          <t>Close-up of the gingerbread scarf and icing detail with visible quilting lines.</t>
        </is>
      </c>
      <c r="L20" s="2" t="inlineStr">
        <is>
          <t>Close-up view of the printed/quilted texture and snowman Christmas village quilt with gifts and cookies detail.</t>
        </is>
      </c>
      <c r="M20" s="2" t="inlineStr">
        <is>
          <t>Christmas Bedding Quilt – Soft Microfiber Holiday Bedspread, Lightweight Winter Bedding, Cozy Xmas Quilts for Couch, Bedroom &amp; Seasonal Home Decorations (Christmas Quilt-DS09)</t>
        </is>
      </c>
      <c r="N20" s="2" t="inlineStr">
        <is>
          <t>SET</t>
        </is>
      </c>
      <c r="O20" s="2" t="inlineStr">
        <is>
          <t>Close-up of gingerbread Christmas village quilt with gifts and cookies on the quilt</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t>
        </is>
      </c>
      <c r="Z20" s="2" t="inlineStr">
        <is>
          <t>["seo_runs\\jeminise.com\\20260906_234129\\evidence\\images\\24_christmas-bedding-quilt-soft-microfiber-holiday-bedsprea-design-09\\image_04_47934040801479.jpg; seo_runs\\jeminise.com\\20260906_234129\\evidence\\contact_sheets\\24_christmas-bedding-quilt-soft-microfiber-holiday-bedsprea-design-09.jpg", "https://jeminise.com/products/christmas-bedding-quilt-soft-microfiber-holiday-bedsprea-design-09", "https://cdn.shopify.com/s/files/1/0792/5098/1063/files/ff6861c326fe77551be0989f5304657a44c60df7dd12c0c301ad5ca8d111f257.jpg?v=1787239380"]</t>
        </is>
      </c>
    </row>
    <row r="21" ht="66" customHeight="1">
      <c r="A21" s="3" t="inlineStr">
        <is>
          <t>jeminise.com+christmas-bedding-quilt-soft-microfiber-holiday-bedsprea-design-09</t>
        </is>
      </c>
      <c r="B21" s="3" t="inlineStr">
        <is>
          <t>qaimg_de4b99063db907eb</t>
        </is>
      </c>
      <c r="C21" s="4" t="inlineStr">
        <is>
          <t>https://cdn.shopify.com/s/files/1/0792/5098/1063/files/a525d08980e5d668ee538fa59be8827c6e640884669920a738b16cc49b1b4c24.jpg?v=1787239380</t>
        </is>
      </c>
      <c r="D21" s="4" t="inlineStr">
        <is>
          <t>https://cdn.shopify.com/s/files/1/0792/5098/1063/files/a525d08980e5d668ee538fa59be8827c6e640884669920a738b16cc49b1b4c24.jpg?v=1787239380</t>
        </is>
      </c>
      <c r="E21" s="3" t="inlineStr">
        <is>
          <t>38895277473991</t>
        </is>
      </c>
      <c r="F21" s="3" t="inlineStr">
        <is>
          <t>47934040834247</t>
        </is>
      </c>
      <c r="G21" s="3" t="inlineStr"/>
      <c r="H21" s="3" t="inlineStr">
        <is>
          <t>GALLERY</t>
        </is>
      </c>
      <c r="I21" s="3" t="inlineStr">
        <is>
          <t>DIRECT_ORIGINAL_IMAGE</t>
        </is>
      </c>
      <c r="J21" s="3" t="inlineStr">
        <is>
          <t>2026-09-07T14:36:41.969406+07:00</t>
        </is>
      </c>
      <c r="K21" s="3" t="inlineStr">
        <is>
          <t>Included-components and size graphic: one premium quilt plus two optional standard shams; Throw, Twin, Queen and King dimensions.</t>
        </is>
      </c>
      <c r="L21" s="3" t="inlineStr">
        <is>
          <t>Included-components and size information image for the quilt set.</t>
        </is>
      </c>
      <c r="M21" s="3" t="inlineStr">
        <is>
          <t>Christmas Bedding Quilt – Soft Microfiber Holiday Bedspread, Lightweight Winter Bedding, Cozy Xmas Quilts for Couch, Bedroom &amp; Seasonal Home Decorations (Christmas Quilt-DS09)</t>
        </is>
      </c>
      <c r="N21" s="3" t="inlineStr">
        <is>
          <t>SET</t>
        </is>
      </c>
      <c r="O21" s="3" t="inlineStr">
        <is>
          <t>Size guide for gingerbread Christmas Village Quilt Set</t>
        </is>
      </c>
      <c r="P21" s="3" t="inlineStr">
        <is>
          <t>FULL</t>
        </is>
      </c>
      <c r="Q21" s="3" t="inlineStr">
        <is>
          <t>FULL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t>
        </is>
      </c>
      <c r="Z21" s="3" t="inlineStr">
        <is>
          <t>["seo_runs\\jeminise.com\\20260906_234129\\evidence\\images\\24_christmas-bedding-quilt-soft-microfiber-holiday-bedsprea-design-09\\image_05_47934040834247.jpg; seo_runs\\jeminise.com\\20260906_234129\\evidence\\contact_sheets\\24_christmas-bedding-quilt-soft-microfiber-holiday-bedsprea-design-09.jpg", "https://jeminise.com/products/christmas-bedding-quilt-soft-microfiber-holiday-bedsprea-design-09", "https://cdn.shopify.com/s/files/1/0792/5098/1063/files/a525d08980e5d668ee538fa59be8827c6e640884669920a738b16cc49b1b4c24.jpg?v=1787239380"]</t>
        </is>
      </c>
    </row>
    <row r="22" ht="66" customHeight="1">
      <c r="A22" s="2" t="inlineStr">
        <is>
          <t>jeminise.com+christmas-bedding-quilt-soft-microfiber-holiday-bedsprea-design-10</t>
        </is>
      </c>
      <c r="B22" s="2" t="inlineStr">
        <is>
          <t>qaimg_bec15977767a6049</t>
        </is>
      </c>
      <c r="C22" s="4" t="inlineStr">
        <is>
          <t>https://cdn.shopify.com/s/files/1/0792/5098/1063/files/c9012211f4a80fc29b04e6c36a6d06286d3bcd99481ba14bb0f48bbd8dc22628.jpg?v=1787239292</t>
        </is>
      </c>
      <c r="D22" s="4" t="inlineStr">
        <is>
          <t>https://cdn.shopify.com/s/files/1/0792/5098/1063/files/c9012211f4a80fc29b04e6c36a6d06286d3bcd99481ba14bb0f48bbd8dc22628.jpg?v=1787239292</t>
        </is>
      </c>
      <c r="E22" s="2" t="inlineStr">
        <is>
          <t>38895266922695</t>
        </is>
      </c>
      <c r="F22" s="2" t="inlineStr">
        <is>
          <t>47934030708935</t>
        </is>
      </c>
      <c r="G22" s="2" t="inlineStr"/>
      <c r="H22" s="2" t="inlineStr">
        <is>
          <t>GALLERY</t>
        </is>
      </c>
      <c r="I22" s="2" t="inlineStr">
        <is>
          <t>DIRECT_ORIGINAL_IMAGE</t>
        </is>
      </c>
      <c r="J22" s="2" t="inlineStr">
        <is>
          <t>2026-09-07T14:36:41.969406+07:00</t>
        </is>
      </c>
      <c r="K22" s="2" t="inlineStr">
        <is>
          <t>Front bedroom mockup of a red Christmas quilt with a snowman, cardinal birds, pine trees and holly.</t>
        </is>
      </c>
      <c r="L22" s="2" t="inlineStr">
        <is>
          <t>Main bed mockup showing red snowman quilt with cardinal birds and pine trees.</t>
        </is>
      </c>
      <c r="M22" s="2" t="inlineStr">
        <is>
          <t>Christmas Bedding Quilt – Soft Microfiber Holiday Bedspread, Lightweight Winter Bedding, Cozy Xmas Quilts for Couch, Bedroom &amp; Seasonal Home Decorations (Christmas Quilt-DS10)</t>
        </is>
      </c>
      <c r="N22" s="2" t="inlineStr">
        <is>
          <t>SET</t>
        </is>
      </c>
      <c r="O22" s="2" t="inlineStr">
        <is>
          <t>Red gingerbread figure and Cardinal Christmas Quilt displayed on a bed</t>
        </is>
      </c>
      <c r="P22" s="2" t="inlineStr">
        <is>
          <t>FULL</t>
        </is>
      </c>
      <c r="Q22" s="2" t="inlineStr">
        <is>
          <t>FULL</t>
        </is>
      </c>
      <c r="R22" s="2" t="inlineStr">
        <is>
          <t>FAIL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["R2-ISS-025-IMG-01"]</t>
        </is>
      </c>
      <c r="Z22" s="2" t="inlineStr">
        <is>
          <t>["seo_runs\\jeminise.com\\20260906_234129\\evidence\\images\\25_christmas-bedding-quilt-soft-microfiber-holiday-bedsprea-design-10\\image_01_47934030708935.jpg; seo_runs\\jeminise.com\\20260906_234129\\evidence\\contact_sheets\\25_christmas-bedding-quilt-soft-microfiber-holiday-bedsprea-design-10.jpg", "https://jeminise.com/products/christmas-bedding-quilt-soft-microfiber-holiday-bedsprea-design-10", "https://cdn.shopify.com/s/files/1/0792/5098/1063/files/c9012211f4a80fc29b04e6c36a6d06286d3bcd99481ba14bb0f48bbd8dc22628.jpg?v=1787239292"]</t>
        </is>
      </c>
    </row>
    <row r="23" ht="66" customHeight="1">
      <c r="A23" s="3" t="inlineStr">
        <is>
          <t>jeminise.com+christmas-bedding-quilt-soft-microfiber-holiday-bedsprea-design-10</t>
        </is>
      </c>
      <c r="B23" s="3" t="inlineStr">
        <is>
          <t>qaimg_580175efb542e8fe</t>
        </is>
      </c>
      <c r="C23" s="4" t="inlineStr">
        <is>
          <t>https://cdn.shopify.com/s/files/1/0792/5098/1063/files/839d3838d97a9792a8c1011e15becc2872cb904640fdb176e9d34c9ec4a1382f.jpg?v=1787239292</t>
        </is>
      </c>
      <c r="D23" s="4" t="inlineStr">
        <is>
          <t>https://cdn.shopify.com/s/files/1/0792/5098/1063/files/839d3838d97a9792a8c1011e15becc2872cb904640fdb176e9d34c9ec4a1382f.jpg?v=1787239292</t>
        </is>
      </c>
      <c r="E23" s="3" t="inlineStr">
        <is>
          <t>38895266955463</t>
        </is>
      </c>
      <c r="F23" s="3" t="inlineStr">
        <is>
          <t>47934030741703</t>
        </is>
      </c>
      <c r="G23" s="3" t="inlineStr"/>
      <c r="H23" s="3" t="inlineStr">
        <is>
          <t>GALLERY</t>
        </is>
      </c>
      <c r="I23" s="3" t="inlineStr">
        <is>
          <t>DIRECT_ORIGINAL_IMAGE</t>
        </is>
      </c>
      <c r="J23" s="3" t="inlineStr">
        <is>
          <t>2026-09-07T14:36:41.969406+07:00</t>
        </is>
      </c>
      <c r="K23" s="3" t="inlineStr">
        <is>
          <t>Angled bedroom mockup of the same red snowman-and-cardinal quilt.</t>
        </is>
      </c>
      <c r="L23" s="3" t="inlineStr">
        <is>
          <t>Angled bedroom mockup showing the red snowman quilt with cardinal birds and pine trees quilt and matching shams.</t>
        </is>
      </c>
      <c r="M23" s="3" t="inlineStr">
        <is>
          <t>Christmas Bedding Quilt – Soft Microfiber Holiday Bedspread, Lightweight Winter Bedding, Cozy Xmas Quilts for Couch, Bedroom &amp; Seasonal Home Decorations (Christmas Quilt-DS10)</t>
        </is>
      </c>
      <c r="N23" s="3" t="inlineStr">
        <is>
          <t>SET</t>
        </is>
      </c>
      <c r="O23" s="3" t="inlineStr">
        <is>
          <t>Angled bedroom view of Red gingerbread figure and Cardinal Christmas Quilt</t>
        </is>
      </c>
      <c r="P23" s="3" t="inlineStr">
        <is>
          <t>FULL</t>
        </is>
      </c>
      <c r="Q23" s="3" t="inlineStr">
        <is>
          <t>FULL</t>
        </is>
      </c>
      <c r="R23" s="3" t="inlineStr">
        <is>
          <t>FAIL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["R2-ISS-025-IMG-02"]</t>
        </is>
      </c>
      <c r="Z23" s="3" t="inlineStr">
        <is>
          <t>["seo_runs\\jeminise.com\\20260906_234129\\evidence\\images\\25_christmas-bedding-quilt-soft-microfiber-holiday-bedsprea-design-10\\image_02_47934030741703.jpg; seo_runs\\jeminise.com\\20260906_234129\\evidence\\contact_sheets\\25_christmas-bedding-quilt-soft-microfiber-holiday-bedsprea-design-10.jpg", "https://jeminise.com/products/christmas-bedding-quilt-soft-microfiber-holiday-bedsprea-design-10", "https://cdn.shopify.com/s/files/1/0792/5098/1063/files/839d3838d97a9792a8c1011e15becc2872cb904640fdb176e9d34c9ec4a1382f.jpg?v=1787239292"]</t>
        </is>
      </c>
    </row>
    <row r="24" ht="66" customHeight="1">
      <c r="A24" s="2" t="inlineStr">
        <is>
          <t>jeminise.com+christmas-bedding-quilt-soft-microfiber-holiday-bedsprea-design-10</t>
        </is>
      </c>
      <c r="B24" s="2" t="inlineStr">
        <is>
          <t>qaimg_475d612843981ab6</t>
        </is>
      </c>
      <c r="C24" s="4" t="inlineStr">
        <is>
          <t>https://cdn.shopify.com/s/files/1/0792/5098/1063/files/029f59325955756dff3beb424bb93f337eade1161d1694ef1f392a84a004e0d4.jpg?v=1787239292</t>
        </is>
      </c>
      <c r="D24" s="4" t="inlineStr">
        <is>
          <t>https://cdn.shopify.com/s/files/1/0792/5098/1063/files/029f59325955756dff3beb424bb93f337eade1161d1694ef1f392a84a004e0d4.jpg?v=1787239292</t>
        </is>
      </c>
      <c r="E24" s="2" t="inlineStr">
        <is>
          <t>38895266988231</t>
        </is>
      </c>
      <c r="F24" s="2" t="inlineStr">
        <is>
          <t>47934030774471</t>
        </is>
      </c>
      <c r="G24" s="2" t="inlineStr"/>
      <c r="H24" s="2" t="inlineStr">
        <is>
          <t>GALLERY</t>
        </is>
      </c>
      <c r="I24" s="2" t="inlineStr">
        <is>
          <t>DIRECT_ORIGINAL_IMAGE</t>
        </is>
      </c>
      <c r="J24" s="2" t="inlineStr">
        <is>
          <t>2026-09-07T14:36:41.969406+07:00</t>
        </is>
      </c>
      <c r="K24" s="2" t="inlineStr">
        <is>
          <t>Isolated matching pillow sham with snowman and cardinals.</t>
        </is>
      </c>
      <c r="L24" s="2" t="inlineStr">
        <is>
          <t>Matching pillow sham with red snowman quilt with cardinal birds and pine trees artwork.</t>
        </is>
      </c>
      <c r="M24" s="2" t="inlineStr">
        <is>
          <t>Christmas Bedding Quilt – Soft Microfiber Holiday Bedspread, Lightweight Winter Bedding, Cozy Xmas Quilts for Couch, Bedroom &amp; Seasonal Home Decorations (Christmas Quilt-DS10)</t>
        </is>
      </c>
      <c r="N24" s="2" t="inlineStr">
        <is>
          <t>SET</t>
        </is>
      </c>
      <c r="O24" s="2" t="inlineStr">
        <is>
          <t>Matching pillow sham for Red gingerbread figure and Cardinal Christmas Quilt</t>
        </is>
      </c>
      <c r="P24" s="2" t="inlineStr">
        <is>
          <t>FULL</t>
        </is>
      </c>
      <c r="Q24" s="2" t="inlineStr">
        <is>
          <t>FULL</t>
        </is>
      </c>
      <c r="R24" s="2" t="inlineStr">
        <is>
          <t>FAIL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["R2-ISS-025-IMG-03"]</t>
        </is>
      </c>
      <c r="Z24" s="2" t="inlineStr">
        <is>
          <t>["seo_runs\\jeminise.com\\20260906_234129\\evidence\\images\\25_christmas-bedding-quilt-soft-microfiber-holiday-bedsprea-design-10\\image_03_47934030774471.jpg; seo_runs\\jeminise.com\\20260906_234129\\evidence\\contact_sheets\\25_christmas-bedding-quilt-soft-microfiber-holiday-bedsprea-design-10.jpg", "https://jeminise.com/products/christmas-bedding-quilt-soft-microfiber-holiday-bedsprea-design-10", "https://cdn.shopify.com/s/files/1/0792/5098/1063/files/029f59325955756dff3beb424bb93f337eade1161d1694ef1f392a84a004e0d4.jpg?v=1787239292"]</t>
        </is>
      </c>
    </row>
    <row r="25" ht="66" customHeight="1">
      <c r="A25" s="3" t="inlineStr">
        <is>
          <t>jeminise.com+christmas-bedding-quilt-soft-microfiber-holiday-bedsprea-design-10</t>
        </is>
      </c>
      <c r="B25" s="3" t="inlineStr">
        <is>
          <t>qaimg_27839bbd7a011485</t>
        </is>
      </c>
      <c r="C25" s="4" t="inlineStr">
        <is>
          <t>https://cdn.shopify.com/s/files/1/0792/5098/1063/files/b12a3b8244039f69fe8236f2263a3bb2f6cef1a9d48030f14c267fcc7b0cf9e0.jpg?v=1787239292</t>
        </is>
      </c>
      <c r="D25" s="4" t="inlineStr">
        <is>
          <t>https://cdn.shopify.com/s/files/1/0792/5098/1063/files/b12a3b8244039f69fe8236f2263a3bb2f6cef1a9d48030f14c267fcc7b0cf9e0.jpg?v=1787239292</t>
        </is>
      </c>
      <c r="E25" s="3" t="inlineStr">
        <is>
          <t>38895267020999</t>
        </is>
      </c>
      <c r="F25" s="3" t="inlineStr">
        <is>
          <t>47934030807239</t>
        </is>
      </c>
      <c r="G25" s="3" t="inlineStr"/>
      <c r="H25" s="3" t="inlineStr">
        <is>
          <t>GALLERY</t>
        </is>
      </c>
      <c r="I25" s="3" t="inlineStr">
        <is>
          <t>DIRECT_ORIGINAL_IMAGE</t>
        </is>
      </c>
      <c r="J25" s="3" t="inlineStr">
        <is>
          <t>2026-09-07T14:36:41.969406+07:00</t>
        </is>
      </c>
      <c r="K25" s="3" t="inlineStr">
        <is>
          <t>Close-up of the printed snowman scarf and cardinal surface with visible quilting lines.</t>
        </is>
      </c>
      <c r="L25" s="3" t="inlineStr">
        <is>
          <t>Close-up view of the printed/quilted texture and red snowman quilt with cardinal birds and pine trees detail.</t>
        </is>
      </c>
      <c r="M25" s="3" t="inlineStr">
        <is>
          <t>Christmas Bedding Quilt – Soft Microfiber Holiday Bedspread, Lightweight Winter Bedding, Cozy Xmas Quilts for Couch, Bedroom &amp; Seasonal Home Decorations (Christmas Quilt-DS10)</t>
        </is>
      </c>
      <c r="N25" s="3" t="inlineStr">
        <is>
          <t>SET</t>
        </is>
      </c>
      <c r="O25" s="3" t="inlineStr">
        <is>
          <t>Close-up of red gingerbread figure quilt with cardinal birds and pine trees on the quilt</t>
        </is>
      </c>
      <c r="P25" s="3" t="inlineStr">
        <is>
          <t>FULL</t>
        </is>
      </c>
      <c r="Q25" s="3" t="inlineStr">
        <is>
          <t>FULL</t>
        </is>
      </c>
      <c r="R25" s="3" t="inlineStr">
        <is>
          <t>FAIL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["R2-ISS-025-IMG-04"]</t>
        </is>
      </c>
      <c r="Z25" s="3" t="inlineStr">
        <is>
          <t>["seo_runs\\jeminise.com\\20260906_234129\\evidence\\images\\25_christmas-bedding-quilt-soft-microfiber-holiday-bedsprea-design-10\\image_04_47934030807239.jpg; seo_runs\\jeminise.com\\20260906_234129\\evidence\\contact_sheets\\25_christmas-bedding-quilt-soft-microfiber-holiday-bedsprea-design-10.jpg", "https://jeminise.com/products/christmas-bedding-quilt-soft-microfiber-holiday-bedsprea-design-10", "https://cdn.shopify.com/s/files/1/0792/5098/1063/files/b12a3b8244039f69fe8236f2263a3bb2f6cef1a9d48030f14c267fcc7b0cf9e0.jpg?v=1787239292"]</t>
        </is>
      </c>
    </row>
    <row r="26" ht="66" customHeight="1">
      <c r="A26" s="2" t="inlineStr">
        <is>
          <t>jeminise.com+christmas-bedding-quilt-soft-microfiber-holiday-bedsprea-design-10</t>
        </is>
      </c>
      <c r="B26" s="2" t="inlineStr">
        <is>
          <t>qaimg_c0475919dd64391b</t>
        </is>
      </c>
      <c r="C26" s="4" t="inlineStr">
        <is>
          <t>https://cdn.shopify.com/s/files/1/0792/5098/1063/files/db17975966105e572ee398b3501c29ac2c8a38f61dae4eb1e3d795982c917bc2.jpg?v=1787239292</t>
        </is>
      </c>
      <c r="D26" s="4" t="inlineStr">
        <is>
          <t>https://cdn.shopify.com/s/files/1/0792/5098/1063/files/db17975966105e572ee398b3501c29ac2c8a38f61dae4eb1e3d795982c917bc2.jpg?v=1787239292</t>
        </is>
      </c>
      <c r="E26" s="2" t="inlineStr">
        <is>
          <t>38895267053767</t>
        </is>
      </c>
      <c r="F26" s="2" t="inlineStr">
        <is>
          <t>47934030840007</t>
        </is>
      </c>
      <c r="G26" s="2" t="inlineStr"/>
      <c r="H26" s="2" t="inlineStr">
        <is>
          <t>GALLERY</t>
        </is>
      </c>
      <c r="I26" s="2" t="inlineStr">
        <is>
          <t>DIRECT_ORIGINAL_IMAGE</t>
        </is>
      </c>
      <c r="J26" s="2" t="inlineStr">
        <is>
          <t>2026-09-07T14:36:41.969406+07:00</t>
        </is>
      </c>
      <c r="K26" s="2" t="inlineStr">
        <is>
          <t>Included-components and size graphic: one premium quilt plus two optional standard shams; Throw, Twin, Queen and King dimensions.</t>
        </is>
      </c>
      <c r="L26" s="2" t="inlineStr">
        <is>
          <t>Included-components and size information image for the quilt set.</t>
        </is>
      </c>
      <c r="M26" s="2" t="inlineStr">
        <is>
          <t>Christmas Bedding Quilt – Soft Microfiber Holiday Bedspread, Lightweight Winter Bedding, Cozy Xmas Quilts for Couch, Bedroom &amp; Seasonal Home Decorations (Christmas Quilt-DS10)</t>
        </is>
      </c>
      <c r="N26" s="2" t="inlineStr">
        <is>
          <t>SET</t>
        </is>
      </c>
      <c r="O26" s="2" t="inlineStr">
        <is>
          <t>Size guide for Red gingerbread figure and Cardinal Christmas Quilt</t>
        </is>
      </c>
      <c r="P26" s="2" t="inlineStr">
        <is>
          <t>FULL</t>
        </is>
      </c>
      <c r="Q26" s="2" t="inlineStr">
        <is>
          <t>FULL</t>
        </is>
      </c>
      <c r="R26" s="2" t="inlineStr">
        <is>
          <t>FAIL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["R2-ISS-025-IMG-05"]</t>
        </is>
      </c>
      <c r="Z26" s="2" t="inlineStr">
        <is>
          <t>["seo_runs\\jeminise.com\\20260906_234129\\evidence\\images\\25_christmas-bedding-quilt-soft-microfiber-holiday-bedsprea-design-10\\image_05_47934030840007.jpg; seo_runs\\jeminise.com\\20260906_234129\\evidence\\contact_sheets\\25_christmas-bedding-quilt-soft-microfiber-holiday-bedsprea-design-10.jpg", "https://jeminise.com/products/christmas-bedding-quilt-soft-microfiber-holiday-bedsprea-design-10", "https://cdn.shopify.com/s/files/1/0792/5098/1063/files/db17975966105e572ee398b3501c29ac2c8a38f61dae4eb1e3d795982c917bc2.jpg?v=1787239292"]</t>
        </is>
      </c>
    </row>
    <row r="27" ht="66" customHeight="1">
      <c r="A27" s="3" t="inlineStr">
        <is>
          <t>jeminise.com+christmas-bedding-quilt-soft-microfiber-holiday-bedsprea-design-11</t>
        </is>
      </c>
      <c r="B27" s="3" t="inlineStr">
        <is>
          <t>qaimg_5551a4d9a03d6b10</t>
        </is>
      </c>
      <c r="C27" s="4" t="inlineStr">
        <is>
          <t>https://cdn.shopify.com/s/files/1/0792/5098/1063/files/cfd15964c5a578a0d72eca69fce5d3b6e69d208ab70ee89a4fecaa6fc490d6dc.jpg?v=1787239369</t>
        </is>
      </c>
      <c r="D27" s="4" t="inlineStr">
        <is>
          <t>https://cdn.shopify.com/s/files/1/0792/5098/1063/files/cfd15964c5a578a0d72eca69fce5d3b6e69d208ab70ee89a4fecaa6fc490d6dc.jpg?v=1787239369</t>
        </is>
      </c>
      <c r="E27" s="3" t="inlineStr">
        <is>
          <t>38895276425415</t>
        </is>
      </c>
      <c r="F27" s="3" t="inlineStr">
        <is>
          <t>47934039851207</t>
        </is>
      </c>
      <c r="G27" s="3" t="inlineStr"/>
      <c r="H27" s="3" t="inlineStr">
        <is>
          <t>GALLERY</t>
        </is>
      </c>
      <c r="I27" s="3" t="inlineStr">
        <is>
          <t>DIRECT_ORIGINAL_IMAGE</t>
        </is>
      </c>
      <c r="J27" s="3" t="inlineStr">
        <is>
          <t>2026-09-07T14:36:41.969406+07:00</t>
        </is>
      </c>
      <c r="K27" s="3" t="inlineStr">
        <is>
          <t>Front bedroom mockup of a white Christmas quilt with a black-and-gray tree, red and gold stars, and check border.</t>
        </is>
      </c>
      <c r="L27" s="3" t="inlineStr">
        <is>
          <t>Main bed mockup showing white Christmas tree quilt with red and gold stars.</t>
        </is>
      </c>
      <c r="M27" s="3" t="inlineStr">
        <is>
          <t>Christmas Bedding Quilt – Soft Microfiber Holiday Bedspread, Lightweight Winter Bedding, Cozy Xmas Quilts for Couch, Bedroom &amp; Seasonal Home Decorations (Christmas Quilt-DS11)</t>
        </is>
      </c>
      <c r="N27" s="3" t="inlineStr">
        <is>
          <t>SET</t>
        </is>
      </c>
      <c r="O27" s="3" t="inlineStr">
        <is>
          <t>White Christmas Tree Quilt Set displayed on a bed</t>
        </is>
      </c>
      <c r="P27" s="3" t="inlineStr">
        <is>
          <t>FULL</t>
        </is>
      </c>
      <c r="Q27" s="3" t="inlineStr">
        <is>
          <t>FULL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t>
        </is>
      </c>
      <c r="Z27" s="3" t="inlineStr">
        <is>
          <t>["seo_runs\\jeminise.com\\20260906_234129\\evidence\\images\\26_christmas-bedding-quilt-soft-microfiber-holiday-bedsprea-design-11\\image_01_47934039851207.jpg; seo_runs\\jeminise.com\\20260906_234129\\evidence\\contact_sheets\\26_christmas-bedding-quilt-soft-microfiber-holiday-bedsprea-design-11.jpg", "https://jeminise.com/products/christmas-bedding-quilt-soft-microfiber-holiday-bedsprea-design-11", "https://cdn.shopify.com/s/files/1/0792/5098/1063/files/cfd15964c5a578a0d72eca69fce5d3b6e69d208ab70ee89a4fecaa6fc490d6dc.jpg?v=1787239369"]</t>
        </is>
      </c>
    </row>
    <row r="28" ht="66" customHeight="1">
      <c r="A28" s="2" t="inlineStr">
        <is>
          <t>jeminise.com+christmas-bedding-quilt-soft-microfiber-holiday-bedsprea-design-11</t>
        </is>
      </c>
      <c r="B28" s="2" t="inlineStr">
        <is>
          <t>qaimg_37465cea10072c9c</t>
        </is>
      </c>
      <c r="C28" s="4" t="inlineStr">
        <is>
          <t>https://cdn.shopify.com/s/files/1/0792/5098/1063/files/86e7cf9fde4b0b585dedce2199d4a124a61ae29e25d0eeffb64f5836d7944670.jpg?v=1787239369</t>
        </is>
      </c>
      <c r="D28" s="4" t="inlineStr">
        <is>
          <t>https://cdn.shopify.com/s/files/1/0792/5098/1063/files/86e7cf9fde4b0b585dedce2199d4a124a61ae29e25d0eeffb64f5836d7944670.jpg?v=1787239369</t>
        </is>
      </c>
      <c r="E28" s="2" t="inlineStr">
        <is>
          <t>38895276458183</t>
        </is>
      </c>
      <c r="F28" s="2" t="inlineStr">
        <is>
          <t>47934039883975</t>
        </is>
      </c>
      <c r="G28" s="2" t="inlineStr"/>
      <c r="H28" s="2" t="inlineStr">
        <is>
          <t>GALLERY</t>
        </is>
      </c>
      <c r="I28" s="2" t="inlineStr">
        <is>
          <t>DIRECT_ORIGINAL_IMAGE</t>
        </is>
      </c>
      <c r="J28" s="2" t="inlineStr">
        <is>
          <t>2026-09-07T14:36:41.969406+07:00</t>
        </is>
      </c>
      <c r="K28" s="2" t="inlineStr">
        <is>
          <t>Angled bedroom mockup of the same white Christmas-tree quilt.</t>
        </is>
      </c>
      <c r="L28" s="2" t="inlineStr">
        <is>
          <t>Angled bedroom mockup showing the white Christmas tree quilt with red and gold stars quilt and matching shams.</t>
        </is>
      </c>
      <c r="M28" s="2" t="inlineStr">
        <is>
          <t>Christmas Bedding Quilt – Soft Microfiber Holiday Bedspread, Lightweight Winter Bedding, Cozy Xmas Quilts for Couch, Bedroom &amp; Seasonal Home Decorations (Christmas Quilt-DS11)</t>
        </is>
      </c>
      <c r="N28" s="2" t="inlineStr">
        <is>
          <t>SET</t>
        </is>
      </c>
      <c r="O28" s="2" t="inlineStr">
        <is>
          <t>Angled bedroom view of White Christmas Tree Quilt Set</t>
        </is>
      </c>
      <c r="P28" s="2" t="inlineStr">
        <is>
          <t>FULL</t>
        </is>
      </c>
      <c r="Q28" s="2" t="inlineStr">
        <is>
          <t>FULL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t>
        </is>
      </c>
      <c r="Z28" s="2" t="inlineStr">
        <is>
          <t>["seo_runs\\jeminise.com\\20260906_234129\\evidence\\images\\26_christmas-bedding-quilt-soft-microfiber-holiday-bedsprea-design-11\\image_02_47934039883975.jpg; seo_runs\\jeminise.com\\20260906_234129\\evidence\\contact_sheets\\26_christmas-bedding-quilt-soft-microfiber-holiday-bedsprea-design-11.jpg", "https://jeminise.com/products/christmas-bedding-quilt-soft-microfiber-holiday-bedsprea-design-11", "https://cdn.shopify.com/s/files/1/0792/5098/1063/files/86e7cf9fde4b0b585dedce2199d4a124a61ae29e25d0eeffb64f5836d7944670.jpg?v=1787239369"]</t>
        </is>
      </c>
    </row>
    <row r="29" ht="66" customHeight="1">
      <c r="A29" s="3" t="inlineStr">
        <is>
          <t>jeminise.com+christmas-bedding-quilt-soft-microfiber-holiday-bedsprea-design-11</t>
        </is>
      </c>
      <c r="B29" s="3" t="inlineStr">
        <is>
          <t>qaimg_9cbf0a7be5a13435</t>
        </is>
      </c>
      <c r="C29" s="4" t="inlineStr">
        <is>
          <t>https://cdn.shopify.com/s/files/1/0792/5098/1063/files/831baca24e7f78fe5b238f870105905aebb283699f1d966c44611c51f763376c.jpg?v=1787239368</t>
        </is>
      </c>
      <c r="D29" s="4" t="inlineStr">
        <is>
          <t>https://cdn.shopify.com/s/files/1/0792/5098/1063/files/831baca24e7f78fe5b238f870105905aebb283699f1d966c44611c51f763376c.jpg?v=1787239368</t>
        </is>
      </c>
      <c r="E29" s="3" t="inlineStr">
        <is>
          <t>38895276490951</t>
        </is>
      </c>
      <c r="F29" s="3" t="inlineStr">
        <is>
          <t>47934039916743</t>
        </is>
      </c>
      <c r="G29" s="3" t="inlineStr"/>
      <c r="H29" s="3" t="inlineStr">
        <is>
          <t>GALLERY</t>
        </is>
      </c>
      <c r="I29" s="3" t="inlineStr">
        <is>
          <t>DIRECT_ORIGINAL_IMAGE</t>
        </is>
      </c>
      <c r="J29" s="3" t="inlineStr">
        <is>
          <t>2026-09-07T14:36:41.969406+07:00</t>
        </is>
      </c>
      <c r="K29" s="3" t="inlineStr">
        <is>
          <t>Isolated matching pillow sham with black, gray, red and gold Christmas tree.</t>
        </is>
      </c>
      <c r="L29" s="3" t="inlineStr">
        <is>
          <t>Matching pillow sham with white Christmas tree quilt with red and gold stars artwork.</t>
        </is>
      </c>
      <c r="M29" s="3" t="inlineStr">
        <is>
          <t>Christmas Bedding Quilt – Soft Microfiber Holiday Bedspread, Lightweight Winter Bedding, Cozy Xmas Quilts for Couch, Bedroom &amp; Seasonal Home Decorations (Christmas Quilt-DS11)</t>
        </is>
      </c>
      <c r="N29" s="3" t="inlineStr">
        <is>
          <t>SET</t>
        </is>
      </c>
      <c r="O29" s="3" t="inlineStr">
        <is>
          <t>Matching pillow sham for White Christmas Tree Quilt Set</t>
        </is>
      </c>
      <c r="P29" s="3" t="inlineStr">
        <is>
          <t>FULL</t>
        </is>
      </c>
      <c r="Q29" s="3" t="inlineStr">
        <is>
          <t>FULL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t>
        </is>
      </c>
      <c r="Z29" s="3" t="inlineStr">
        <is>
          <t>["seo_runs\\jeminise.com\\20260906_234129\\evidence\\images\\26_christmas-bedding-quilt-soft-microfiber-holiday-bedsprea-design-11\\image_03_47934039916743.jpg; seo_runs\\jeminise.com\\20260906_234129\\evidence\\contact_sheets\\26_christmas-bedding-quilt-soft-microfiber-holiday-bedsprea-design-11.jpg", "https://jeminise.com/products/christmas-bedding-quilt-soft-microfiber-holiday-bedsprea-design-11", "https://cdn.shopify.com/s/files/1/0792/5098/1063/files/831baca24e7f78fe5b238f870105905aebb283699f1d966c44611c51f763376c.jpg?v=1787239368"]</t>
        </is>
      </c>
    </row>
    <row r="30" ht="66" customHeight="1">
      <c r="A30" s="2" t="inlineStr">
        <is>
          <t>jeminise.com+christmas-bedding-quilt-soft-microfiber-holiday-bedsprea-design-11</t>
        </is>
      </c>
      <c r="B30" s="2" t="inlineStr">
        <is>
          <t>qaimg_e4449039b2335780</t>
        </is>
      </c>
      <c r="C30" s="4" t="inlineStr">
        <is>
          <t>https://cdn.shopify.com/s/files/1/0792/5098/1063/files/2f4d4c35afff8f2089e0135e46abde6f635650c9769aa95164023d71bd8441f7.jpg?v=1787239368</t>
        </is>
      </c>
      <c r="D30" s="4" t="inlineStr">
        <is>
          <t>https://cdn.shopify.com/s/files/1/0792/5098/1063/files/2f4d4c35afff8f2089e0135e46abde6f635650c9769aa95164023d71bd8441f7.jpg?v=1787239368</t>
        </is>
      </c>
      <c r="E30" s="2" t="inlineStr">
        <is>
          <t>38895276523719</t>
        </is>
      </c>
      <c r="F30" s="2" t="inlineStr">
        <is>
          <t>47934039949511</t>
        </is>
      </c>
      <c r="G30" s="2" t="inlineStr"/>
      <c r="H30" s="2" t="inlineStr">
        <is>
          <t>GALLERY</t>
        </is>
      </c>
      <c r="I30" s="2" t="inlineStr">
        <is>
          <t>DIRECT_ORIGINAL_IMAGE</t>
        </is>
      </c>
      <c r="J30" s="2" t="inlineStr">
        <is>
          <t>2026-09-07T14:36:41.969406+07:00</t>
        </is>
      </c>
      <c r="K30" s="2" t="inlineStr">
        <is>
          <t>Close-up of the printed tree branches and star ornaments with visible quilting lines.</t>
        </is>
      </c>
      <c r="L30" s="2" t="inlineStr">
        <is>
          <t>Close-up view of the printed/quilted texture and white Christmas tree quilt with red and gold stars detail.</t>
        </is>
      </c>
      <c r="M30" s="2" t="inlineStr">
        <is>
          <t>Christmas Bedding Quilt – Soft Microfiber Holiday Bedspread, Lightweight Winter Bedding, Cozy Xmas Quilts for Couch, Bedroom &amp; Seasonal Home Decorations (Christmas Quilt-DS11)</t>
        </is>
      </c>
      <c r="N30" s="2" t="inlineStr">
        <is>
          <t>SET</t>
        </is>
      </c>
      <c r="O30" s="2" t="inlineStr">
        <is>
          <t>Close-up of white Christmas tree quilt with red and gold stars on the quilt</t>
        </is>
      </c>
      <c r="P30" s="2" t="inlineStr">
        <is>
          <t>FULL</t>
        </is>
      </c>
      <c r="Q30" s="2" t="inlineStr">
        <is>
          <t>FULL</t>
        </is>
      </c>
      <c r="R30" s="2" t="inlineStr">
        <is>
          <t>FULL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t>
        </is>
      </c>
      <c r="Z30" s="2" t="inlineStr">
        <is>
          <t>["seo_runs\\jeminise.com\\20260906_234129\\evidence\\images\\26_christmas-bedding-quilt-soft-microfiber-holiday-bedsprea-design-11\\image_04_47934039949511.jpg; seo_runs\\jeminise.com\\20260906_234129\\evidence\\contact_sheets\\26_christmas-bedding-quilt-soft-microfiber-holiday-bedsprea-design-11.jpg", "https://jeminise.com/products/christmas-bedding-quilt-soft-microfiber-holiday-bedsprea-design-11", "https://cdn.shopify.com/s/files/1/0792/5098/1063/files/2f4d4c35afff8f2089e0135e46abde6f635650c9769aa95164023d71bd8441f7.jpg?v=1787239368"]</t>
        </is>
      </c>
    </row>
    <row r="31" ht="66" customHeight="1">
      <c r="A31" s="3" t="inlineStr">
        <is>
          <t>jeminise.com+christmas-bedding-quilt-soft-microfiber-holiday-bedsprea-design-11</t>
        </is>
      </c>
      <c r="B31" s="3" t="inlineStr">
        <is>
          <t>qaimg_2860a1119a18c5fd</t>
        </is>
      </c>
      <c r="C31" s="4" t="inlineStr">
        <is>
          <t>https://cdn.shopify.com/s/files/1/0792/5098/1063/files/1061d99508b65a3791be2f40d46d11d955f9c37d218235d1ab797254f993a666.jpg?v=1787239369</t>
        </is>
      </c>
      <c r="D31" s="4" t="inlineStr">
        <is>
          <t>https://cdn.shopify.com/s/files/1/0792/5098/1063/files/1061d99508b65a3791be2f40d46d11d955f9c37d218235d1ab797254f993a666.jpg?v=1787239369</t>
        </is>
      </c>
      <c r="E31" s="3" t="inlineStr">
        <is>
          <t>38895276556487</t>
        </is>
      </c>
      <c r="F31" s="3" t="inlineStr">
        <is>
          <t>47934039982279</t>
        </is>
      </c>
      <c r="G31" s="3" t="inlineStr"/>
      <c r="H31" s="3" t="inlineStr">
        <is>
          <t>GALLERY</t>
        </is>
      </c>
      <c r="I31" s="3" t="inlineStr">
        <is>
          <t>DIRECT_ORIGINAL_IMAGE</t>
        </is>
      </c>
      <c r="J31" s="3" t="inlineStr">
        <is>
          <t>2026-09-07T14:36:41.969406+07:00</t>
        </is>
      </c>
      <c r="K31" s="3" t="inlineStr">
        <is>
          <t>Included-components and size graphic: one premium quilt plus two optional standard shams; Throw, Twin, Queen and King dimensions.</t>
        </is>
      </c>
      <c r="L31" s="3" t="inlineStr">
        <is>
          <t>Included-components and size information image for the quilt set.</t>
        </is>
      </c>
      <c r="M31" s="3" t="inlineStr">
        <is>
          <t>Christmas Bedding Quilt – Soft Microfiber Holiday Bedspread, Lightweight Winter Bedding, Cozy Xmas Quilts for Couch, Bedroom &amp; Seasonal Home Decorations (Christmas Quilt-DS11)</t>
        </is>
      </c>
      <c r="N31" s="3" t="inlineStr">
        <is>
          <t>SET</t>
        </is>
      </c>
      <c r="O31" s="3" t="inlineStr">
        <is>
          <t>Size guide for White Christmas Tree Quilt Set</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t>
        </is>
      </c>
      <c r="Z31" s="3" t="inlineStr">
        <is>
          <t>["seo_runs\\jeminise.com\\20260906_234129\\evidence\\images\\26_christmas-bedding-quilt-soft-microfiber-holiday-bedsprea-design-11\\image_05_47934039982279.jpg; seo_runs\\jeminise.com\\20260906_234129\\evidence\\contact_sheets\\26_christmas-bedding-quilt-soft-microfiber-holiday-bedsprea-design-11.jpg", "https://jeminise.com/products/christmas-bedding-quilt-soft-microfiber-holiday-bedsprea-design-11", "https://cdn.shopify.com/s/files/1/0792/5098/1063/files/1061d99508b65a3791be2f40d46d11d955f9c37d218235d1ab797254f993a666.jpg?v=1787239369"]</t>
        </is>
      </c>
    </row>
    <row r="32" ht="66" customHeight="1">
      <c r="A32" s="2" t="inlineStr">
        <is>
          <t>jeminise.com+christmas-bedding-quilt-soft-microfiber-holiday-bedsprea-design-12</t>
        </is>
      </c>
      <c r="B32" s="2" t="inlineStr">
        <is>
          <t>qaimg_dc5e1143e3c71a76</t>
        </is>
      </c>
      <c r="C32" s="4" t="inlineStr">
        <is>
          <t>https://cdn.shopify.com/s/files/1/0792/5098/1063/files/76a7585bd4cd30b07b5040b9e886936f39bc38e39d68a0e9ad8c7762fc463cc2.jpg?v=1787239299</t>
        </is>
      </c>
      <c r="D32" s="4" t="inlineStr">
        <is>
          <t>https://cdn.shopify.com/s/files/1/0792/5098/1063/files/76a7585bd4cd30b07b5040b9e886936f39bc38e39d68a0e9ad8c7762fc463cc2.jpg?v=1787239299</t>
        </is>
      </c>
      <c r="E32" s="2" t="inlineStr">
        <is>
          <t>38895268200647</t>
        </is>
      </c>
      <c r="F32" s="2" t="inlineStr">
        <is>
          <t>47934031659207</t>
        </is>
      </c>
      <c r="G32" s="2" t="inlineStr"/>
      <c r="H32" s="2" t="inlineStr">
        <is>
          <t>GALLERY</t>
        </is>
      </c>
      <c r="I32" s="2" t="inlineStr">
        <is>
          <t>DIRECT_ORIGINAL_IMAGE</t>
        </is>
      </c>
      <c r="J32" s="2" t="inlineStr">
        <is>
          <t>2026-09-07T14:36:41.969406+07:00</t>
        </is>
      </c>
      <c r="K32" s="2" t="inlineStr">
        <is>
          <t>Front bedroom mockup of a deep-red Christmas quilt with two snowmen, a red cardinal, a brown cardinal and pine greenery.</t>
        </is>
      </c>
      <c r="L32" s="2" t="inlineStr">
        <is>
          <t>Main bed mockup showing red snowman pair and cardinal Christmas quilt.</t>
        </is>
      </c>
      <c r="M32" s="2" t="inlineStr">
        <is>
          <t>Christmas Bedding Quilt – Soft Microfiber Holiday Bedspread, Lightweight Winter Bedding, Cozy Xmas Quilts for Couch, Bedroom &amp; Seasonal Home Decorations (Christmas Quilt-DS12)</t>
        </is>
      </c>
      <c r="N32" s="2" t="inlineStr">
        <is>
          <t>SET</t>
        </is>
      </c>
      <c r="O32" s="2" t="inlineStr">
        <is>
          <t>gingerbread figure and Cardinal Christmas Quilt Set displayed on a bed</t>
        </is>
      </c>
      <c r="P32" s="2" t="inlineStr">
        <is>
          <t>FULL</t>
        </is>
      </c>
      <c r="Q32" s="2" t="inlineStr">
        <is>
          <t>FULL</t>
        </is>
      </c>
      <c r="R32" s="2" t="inlineStr">
        <is>
          <t>FAIL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["R2-ISS-027-IMG-01"]</t>
        </is>
      </c>
      <c r="Z32" s="2" t="inlineStr">
        <is>
          <t>["seo_runs\\jeminise.com\\20260906_234129\\evidence\\images\\27_christmas-bedding-quilt-soft-microfiber-holiday-bedsprea-design-12\\image_01_47934031659207.jpg; seo_runs\\jeminise.com\\20260906_234129\\evidence\\contact_sheets\\27_christmas-bedding-quilt-soft-microfiber-holiday-bedsprea-design-12.jpg", "https://jeminise.com/products/christmas-bedding-quilt-soft-microfiber-holiday-bedsprea-design-12", "https://cdn.shopify.com/s/files/1/0792/5098/1063/files/76a7585bd4cd30b07b5040b9e886936f39bc38e39d68a0e9ad8c7762fc463cc2.jpg?v=1787239299"]</t>
        </is>
      </c>
    </row>
    <row r="33" ht="66" customHeight="1">
      <c r="A33" s="3" t="inlineStr">
        <is>
          <t>jeminise.com+christmas-bedding-quilt-soft-microfiber-holiday-bedsprea-design-12</t>
        </is>
      </c>
      <c r="B33" s="3" t="inlineStr">
        <is>
          <t>qaimg_33ff6f81bbad5c6e</t>
        </is>
      </c>
      <c r="C33" s="4" t="inlineStr">
        <is>
          <t>https://cdn.shopify.com/s/files/1/0792/5098/1063/files/771b444bc3c1e5abffae2b5c7e4c8a21e7d9116e9df079048baf711d9cdab5de.jpg?v=1787239299</t>
        </is>
      </c>
      <c r="D33" s="4" t="inlineStr">
        <is>
          <t>https://cdn.shopify.com/s/files/1/0792/5098/1063/files/771b444bc3c1e5abffae2b5c7e4c8a21e7d9116e9df079048baf711d9cdab5de.jpg?v=1787239299</t>
        </is>
      </c>
      <c r="E33" s="3" t="inlineStr">
        <is>
          <t>38895268233415</t>
        </is>
      </c>
      <c r="F33" s="3" t="inlineStr">
        <is>
          <t>47934031691975</t>
        </is>
      </c>
      <c r="G33" s="3" t="inlineStr"/>
      <c r="H33" s="3" t="inlineStr">
        <is>
          <t>GALLERY</t>
        </is>
      </c>
      <c r="I33" s="3" t="inlineStr">
        <is>
          <t>DIRECT_ORIGINAL_IMAGE</t>
        </is>
      </c>
      <c r="J33" s="3" t="inlineStr">
        <is>
          <t>2026-09-07T14:36:41.969406+07:00</t>
        </is>
      </c>
      <c r="K33" s="3" t="inlineStr">
        <is>
          <t>Angled bedroom mockup of the same snowman-and-cardinal quilt.</t>
        </is>
      </c>
      <c r="L33" s="3" t="inlineStr">
        <is>
          <t>Angled bedroom mockup showing the red snowman pair and cardinal Christmas quilt quilt and matching shams.</t>
        </is>
      </c>
      <c r="M33" s="3" t="inlineStr">
        <is>
          <t>Christmas Bedding Quilt – Soft Microfiber Holiday Bedspread, Lightweight Winter Bedding, Cozy Xmas Quilts for Couch, Bedroom &amp; Seasonal Home Decorations (Christmas Quilt-DS12)</t>
        </is>
      </c>
      <c r="N33" s="3" t="inlineStr">
        <is>
          <t>SET</t>
        </is>
      </c>
      <c r="O33" s="3" t="inlineStr">
        <is>
          <t>Angled bedroom view of gingerbread figure and Cardinal Christmas Quilt Set</t>
        </is>
      </c>
      <c r="P33" s="3" t="inlineStr">
        <is>
          <t>FULL</t>
        </is>
      </c>
      <c r="Q33" s="3" t="inlineStr">
        <is>
          <t>FULL</t>
        </is>
      </c>
      <c r="R33" s="3" t="inlineStr">
        <is>
          <t>FAIL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["R2-ISS-027-IMG-02"]</t>
        </is>
      </c>
      <c r="Z33" s="3" t="inlineStr">
        <is>
          <t>["seo_runs\\jeminise.com\\20260906_234129\\evidence\\images\\27_christmas-bedding-quilt-soft-microfiber-holiday-bedsprea-design-12\\image_02_47934031691975.jpg; seo_runs\\jeminise.com\\20260906_234129\\evidence\\contact_sheets\\27_christmas-bedding-quilt-soft-microfiber-holiday-bedsprea-design-12.jpg", "https://jeminise.com/products/christmas-bedding-quilt-soft-microfiber-holiday-bedsprea-design-12", "https://cdn.shopify.com/s/files/1/0792/5098/1063/files/771b444bc3c1e5abffae2b5c7e4c8a21e7d9116e9df079048baf711d9cdab5de.jpg?v=1787239299"]</t>
        </is>
      </c>
    </row>
    <row r="34" ht="66" customHeight="1">
      <c r="A34" s="2" t="inlineStr">
        <is>
          <t>jeminise.com+christmas-bedding-quilt-soft-microfiber-holiday-bedsprea-design-12</t>
        </is>
      </c>
      <c r="B34" s="2" t="inlineStr">
        <is>
          <t>qaimg_57acd3f49c071414</t>
        </is>
      </c>
      <c r="C34" s="4" t="inlineStr">
        <is>
          <t>https://cdn.shopify.com/s/files/1/0792/5098/1063/files/1633b2e89fa22831d4dc4a89053d8f3b3c491963e2b6b8e797728b03f280d901.jpg?v=1787239299</t>
        </is>
      </c>
      <c r="D34" s="4" t="inlineStr">
        <is>
          <t>https://cdn.shopify.com/s/files/1/0792/5098/1063/files/1633b2e89fa22831d4dc4a89053d8f3b3c491963e2b6b8e797728b03f280d901.jpg?v=1787239299</t>
        </is>
      </c>
      <c r="E34" s="2" t="inlineStr">
        <is>
          <t>38895268266183</t>
        </is>
      </c>
      <c r="F34" s="2" t="inlineStr">
        <is>
          <t>47934031724743</t>
        </is>
      </c>
      <c r="G34" s="2" t="inlineStr"/>
      <c r="H34" s="2" t="inlineStr">
        <is>
          <t>GALLERY</t>
        </is>
      </c>
      <c r="I34" s="2" t="inlineStr">
        <is>
          <t>DIRECT_ORIGINAL_IMAGE</t>
        </is>
      </c>
      <c r="J34" s="2" t="inlineStr">
        <is>
          <t>2026-09-07T14:36:41.969406+07:00</t>
        </is>
      </c>
      <c r="K34" s="2" t="inlineStr">
        <is>
          <t>Isolated matching pillow sham with the snowman pair and cardinals.</t>
        </is>
      </c>
      <c r="L34" s="2" t="inlineStr">
        <is>
          <t>Matching pillow sham with red snowman pair and cardinal Christmas quilt artwork.</t>
        </is>
      </c>
      <c r="M34" s="2" t="inlineStr">
        <is>
          <t>Christmas Bedding Quilt – Soft Microfiber Holiday Bedspread, Lightweight Winter Bedding, Cozy Xmas Quilts for Couch, Bedroom &amp; Seasonal Home Decorations (Christmas Quilt-DS12)</t>
        </is>
      </c>
      <c r="N34" s="2" t="inlineStr">
        <is>
          <t>SET</t>
        </is>
      </c>
      <c r="O34" s="2" t="inlineStr">
        <is>
          <t>Matching pillow sham for gingerbread figure and Cardinal Christmas Quilt Set</t>
        </is>
      </c>
      <c r="P34" s="2" t="inlineStr">
        <is>
          <t>FULL</t>
        </is>
      </c>
      <c r="Q34" s="2" t="inlineStr">
        <is>
          <t>FULL</t>
        </is>
      </c>
      <c r="R34" s="2" t="inlineStr">
        <is>
          <t>FAIL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["R2-ISS-027-IMG-03"]</t>
        </is>
      </c>
      <c r="Z34" s="2" t="inlineStr">
        <is>
          <t>["seo_runs\\jeminise.com\\20260906_234129\\evidence\\images\\27_christmas-bedding-quilt-soft-microfiber-holiday-bedsprea-design-12\\image_03_47934031724743.jpg; seo_runs\\jeminise.com\\20260906_234129\\evidence\\contact_sheets\\27_christmas-bedding-quilt-soft-microfiber-holiday-bedsprea-design-12.jpg", "https://jeminise.com/products/christmas-bedding-quilt-soft-microfiber-holiday-bedsprea-design-12", "https://cdn.shopify.com/s/files/1/0792/5098/1063/files/1633b2e89fa22831d4dc4a89053d8f3b3c491963e2b6b8e797728b03f280d901.jpg?v=1787239299"]</t>
        </is>
      </c>
    </row>
    <row r="35" ht="66" customHeight="1">
      <c r="A35" s="3" t="inlineStr">
        <is>
          <t>jeminise.com+christmas-bedding-quilt-soft-microfiber-holiday-bedsprea-design-12</t>
        </is>
      </c>
      <c r="B35" s="3" t="inlineStr">
        <is>
          <t>qaimg_bb26ce77178acab9</t>
        </is>
      </c>
      <c r="C35" s="4" t="inlineStr">
        <is>
          <t>https://cdn.shopify.com/s/files/1/0792/5098/1063/files/8f72705c73157de73c90d17e957027dab4c5f6da82cd04f8c0291ff9478cbcb5.jpg?v=1787239299</t>
        </is>
      </c>
      <c r="D35" s="4" t="inlineStr">
        <is>
          <t>https://cdn.shopify.com/s/files/1/0792/5098/1063/files/8f72705c73157de73c90d17e957027dab4c5f6da82cd04f8c0291ff9478cbcb5.jpg?v=1787239299</t>
        </is>
      </c>
      <c r="E35" s="3" t="inlineStr">
        <is>
          <t>38895268298951</t>
        </is>
      </c>
      <c r="F35" s="3" t="inlineStr">
        <is>
          <t>47934031757511</t>
        </is>
      </c>
      <c r="G35" s="3" t="inlineStr"/>
      <c r="H35" s="3" t="inlineStr">
        <is>
          <t>GALLERY</t>
        </is>
      </c>
      <c r="I35" s="3" t="inlineStr">
        <is>
          <t>DIRECT_ORIGINAL_IMAGE</t>
        </is>
      </c>
      <c r="J35" s="3" t="inlineStr">
        <is>
          <t>2026-09-07T14:36:41.969406+07:00</t>
        </is>
      </c>
      <c r="K35" s="3" t="inlineStr">
        <is>
          <t>Close-up of the printed snowman and brown cardinal surface with visible quilting lines.</t>
        </is>
      </c>
      <c r="L35" s="3" t="inlineStr">
        <is>
          <t>Close-up view of the printed/quilted texture and red snowman pair and cardinal Christmas quilt detail.</t>
        </is>
      </c>
      <c r="M35" s="3" t="inlineStr">
        <is>
          <t>Christmas Bedding Quilt – Soft Microfiber Holiday Bedspread, Lightweight Winter Bedding, Cozy Xmas Quilts for Couch, Bedroom &amp; Seasonal Home Decorations (Christmas Quilt-DS12)</t>
        </is>
      </c>
      <c r="N35" s="3" t="inlineStr">
        <is>
          <t>SET</t>
        </is>
      </c>
      <c r="O35" s="3" t="inlineStr">
        <is>
          <t>Close-up of red gingerbread figure pair and cardinal Christmas quilt on the quilt</t>
        </is>
      </c>
      <c r="P35" s="3" t="inlineStr">
        <is>
          <t>FULL</t>
        </is>
      </c>
      <c r="Q35" s="3" t="inlineStr">
        <is>
          <t>FULL</t>
        </is>
      </c>
      <c r="R35" s="3" t="inlineStr">
        <is>
          <t>FAIL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["R2-ISS-027-IMG-04"]</t>
        </is>
      </c>
      <c r="Z35" s="3" t="inlineStr">
        <is>
          <t>["seo_runs\\jeminise.com\\20260906_234129\\evidence\\images\\27_christmas-bedding-quilt-soft-microfiber-holiday-bedsprea-design-12\\image_04_47934031757511.jpg; seo_runs\\jeminise.com\\20260906_234129\\evidence\\contact_sheets\\27_christmas-bedding-quilt-soft-microfiber-holiday-bedsprea-design-12.jpg", "https://jeminise.com/products/christmas-bedding-quilt-soft-microfiber-holiday-bedsprea-design-12", "https://cdn.shopify.com/s/files/1/0792/5098/1063/files/8f72705c73157de73c90d17e957027dab4c5f6da82cd04f8c0291ff9478cbcb5.jpg?v=1787239299"]</t>
        </is>
      </c>
    </row>
    <row r="36" ht="66" customHeight="1">
      <c r="A36" s="2" t="inlineStr">
        <is>
          <t>jeminise.com+christmas-bedding-quilt-soft-microfiber-holiday-bedsprea-design-12</t>
        </is>
      </c>
      <c r="B36" s="2" t="inlineStr">
        <is>
          <t>qaimg_c0935362bc0621c1</t>
        </is>
      </c>
      <c r="C36" s="4" t="inlineStr">
        <is>
          <t>https://cdn.shopify.com/s/files/1/0792/5098/1063/files/581cabcc8f29304036025dfeda00684fc9b10f6fda52339d78d676869aca4f8d.jpg?v=1787239300</t>
        </is>
      </c>
      <c r="D36" s="4" t="inlineStr">
        <is>
          <t>https://cdn.shopify.com/s/files/1/0792/5098/1063/files/581cabcc8f29304036025dfeda00684fc9b10f6fda52339d78d676869aca4f8d.jpg?v=1787239300</t>
        </is>
      </c>
      <c r="E36" s="2" t="inlineStr">
        <is>
          <t>38895268331719</t>
        </is>
      </c>
      <c r="F36" s="2" t="inlineStr">
        <is>
          <t>47934031790279</t>
        </is>
      </c>
      <c r="G36" s="2" t="inlineStr"/>
      <c r="H36" s="2" t="inlineStr">
        <is>
          <t>GALLERY</t>
        </is>
      </c>
      <c r="I36" s="2" t="inlineStr">
        <is>
          <t>DIRECT_ORIGINAL_IMAGE</t>
        </is>
      </c>
      <c r="J36" s="2" t="inlineStr">
        <is>
          <t>2026-09-07T14:36:41.969406+07:00</t>
        </is>
      </c>
      <c r="K36" s="2" t="inlineStr">
        <is>
          <t>Included-components and size graphic: one premium quilt plus two optional standard shams; Throw, Twin, Queen and King dimensions.</t>
        </is>
      </c>
      <c r="L36" s="2" t="inlineStr">
        <is>
          <t>Included-components and size information image for the quilt set.</t>
        </is>
      </c>
      <c r="M36" s="2" t="inlineStr">
        <is>
          <t>Christmas Bedding Quilt – Soft Microfiber Holiday Bedspread, Lightweight Winter Bedding, Cozy Xmas Quilts for Couch, Bedroom &amp; Seasonal Home Decorations (Christmas Quilt-DS12)</t>
        </is>
      </c>
      <c r="N36" s="2" t="inlineStr">
        <is>
          <t>SET</t>
        </is>
      </c>
      <c r="O36" s="2" t="inlineStr">
        <is>
          <t>Size guide for gingerbread figure and Cardinal Christmas Quilt Set</t>
        </is>
      </c>
      <c r="P36" s="2" t="inlineStr">
        <is>
          <t>FULL</t>
        </is>
      </c>
      <c r="Q36" s="2" t="inlineStr">
        <is>
          <t>FULL</t>
        </is>
      </c>
      <c r="R36" s="2" t="inlineStr">
        <is>
          <t>FAIL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["R2-ISS-027-IMG-05"]</t>
        </is>
      </c>
      <c r="Z36" s="2" t="inlineStr">
        <is>
          <t>["seo_runs\\jeminise.com\\20260906_234129\\evidence\\images\\27_christmas-bedding-quilt-soft-microfiber-holiday-bedsprea-design-12\\image_05_47934031790279.jpg; seo_runs\\jeminise.com\\20260906_234129\\evidence\\contact_sheets\\27_christmas-bedding-quilt-soft-microfiber-holiday-bedsprea-design-12.jpg", "https://jeminise.com/products/christmas-bedding-quilt-soft-microfiber-holiday-bedsprea-design-12", "https://cdn.shopify.com/s/files/1/0792/5098/1063/files/581cabcc8f29304036025dfeda00684fc9b10f6fda52339d78d676869aca4f8d.jpg?v=1787239300"]</t>
        </is>
      </c>
    </row>
    <row r="37" ht="66" customHeight="1">
      <c r="A37" s="3" t="inlineStr">
        <is>
          <t>jeminise.com+christmas-bedding-quilt-soft-microfiber-holiday-bedspread</t>
        </is>
      </c>
      <c r="B37" s="3" t="inlineStr">
        <is>
          <t>qaimg_86cce1059f130ece</t>
        </is>
      </c>
      <c r="C37" s="4" t="inlineStr">
        <is>
          <t>https://cdn.shopify.com/s/files/1/0792/5098/1063/files/46766faf8cb22969ec6d9243d29501302e7d75e6617406cd4d523e3d582c385e.jpg?v=1787239287</t>
        </is>
      </c>
      <c r="D37" s="4" t="inlineStr">
        <is>
          <t>https://cdn.shopify.com/s/files/1/0792/5098/1063/files/46766faf8cb22969ec6d9243d29501302e7d75e6617406cd4d523e3d582c385e.jpg?v=1787239287</t>
        </is>
      </c>
      <c r="E37" s="3" t="inlineStr">
        <is>
          <t>38895265480903</t>
        </is>
      </c>
      <c r="F37" s="3" t="inlineStr">
        <is>
          <t>47934029234375</t>
        </is>
      </c>
      <c r="G37" s="3" t="inlineStr"/>
      <c r="H37" s="3" t="inlineStr">
        <is>
          <t>GALLERY</t>
        </is>
      </c>
      <c r="I37" s="3" t="inlineStr">
        <is>
          <t>DIRECT_ORIGINAL_IMAGE</t>
        </is>
      </c>
      <c r="J37" s="3" t="inlineStr">
        <is>
          <t>2026-09-07T14:36:41.969406+07:00</t>
        </is>
      </c>
      <c r="K37" s="3" t="inlineStr">
        <is>
          <t>Front bedroom mockup of a cream vintage-style Christmas-tree quilt with ornaments, wrapped gifts and an ornate border.</t>
        </is>
      </c>
      <c r="L37" s="3" t="inlineStr">
        <is>
          <t>Main bed mockup showing vintage cream Christmas tree quilt with wrapped gifts.</t>
        </is>
      </c>
      <c r="M37" s="3" t="inlineStr">
        <is>
          <t>Christmas Bedding Quilt – Soft Microfiber Holiday Bedspread, Lightweight Winter Bedding, Cozy Xmas Quilts for Couch, Bedroom &amp; Seasonal Home Decorations (Christmas Quilt-DS07)</t>
        </is>
      </c>
      <c r="N37" s="3" t="inlineStr">
        <is>
          <t>SET</t>
        </is>
      </c>
      <c r="O37" s="3" t="inlineStr">
        <is>
          <t>Vintage Christmas Tree Quilt Set displayed on a bed</t>
        </is>
      </c>
      <c r="P37" s="3" t="inlineStr">
        <is>
          <t>FULL</t>
        </is>
      </c>
      <c r="Q37" s="3" t="inlineStr">
        <is>
          <t>FULL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t>
        </is>
      </c>
      <c r="Z37" s="3" t="inlineStr">
        <is>
          <t>["seo_runs\\jeminise.com\\20260906_234129\\evidence\\images\\28_christmas-bedding-quilt-soft-microfiber-holiday-bedspread\\image_01_47934029234375.jpg; seo_runs\\jeminise.com\\20260906_234129\\evidence\\contact_sheets\\28_christmas-bedding-quilt-soft-microfiber-holiday-bedspread.jpg", "https://jeminise.com/products/christmas-bedding-quilt-soft-microfiber-holiday-bedspread", "https://cdn.shopify.com/s/files/1/0792/5098/1063/files/46766faf8cb22969ec6d9243d29501302e7d75e6617406cd4d523e3d582c385e.jpg?v=1787239287"]</t>
        </is>
      </c>
    </row>
    <row r="38" ht="66" customHeight="1">
      <c r="A38" s="2" t="inlineStr">
        <is>
          <t>jeminise.com+christmas-bedding-quilt-soft-microfiber-holiday-bedspread</t>
        </is>
      </c>
      <c r="B38" s="2" t="inlineStr">
        <is>
          <t>qaimg_5583749b5228ff04</t>
        </is>
      </c>
      <c r="C38" s="4" t="inlineStr">
        <is>
          <t>https://cdn.shopify.com/s/files/1/0792/5098/1063/files/aefdb300474b2be72d2922e6647c41bde3bb061800ef5a5d164b41494b81fb19.jpg?v=1787239287</t>
        </is>
      </c>
      <c r="D38" s="4" t="inlineStr">
        <is>
          <t>https://cdn.shopify.com/s/files/1/0792/5098/1063/files/aefdb300474b2be72d2922e6647c41bde3bb061800ef5a5d164b41494b81fb19.jpg?v=1787239287</t>
        </is>
      </c>
      <c r="E38" s="2" t="inlineStr">
        <is>
          <t>38895265513671</t>
        </is>
      </c>
      <c r="F38" s="2" t="inlineStr">
        <is>
          <t>47934029267143</t>
        </is>
      </c>
      <c r="G38" s="2" t="inlineStr"/>
      <c r="H38" s="2" t="inlineStr">
        <is>
          <t>GALLERY</t>
        </is>
      </c>
      <c r="I38" s="2" t="inlineStr">
        <is>
          <t>DIRECT_ORIGINAL_IMAGE</t>
        </is>
      </c>
      <c r="J38" s="2" t="inlineStr">
        <is>
          <t>2026-09-07T14:36:41.969406+07:00</t>
        </is>
      </c>
      <c r="K38" s="2" t="inlineStr">
        <is>
          <t>Angled bedroom mockup of the same cream Christmas-tree quilt.</t>
        </is>
      </c>
      <c r="L38" s="2" t="inlineStr">
        <is>
          <t>Angled bedroom mockup showing the vintage cream Christmas tree quilt with wrapped gifts quilt and matching shams.</t>
        </is>
      </c>
      <c r="M38" s="2" t="inlineStr">
        <is>
          <t>Christmas Bedding Quilt – Soft Microfiber Holiday Bedspread, Lightweight Winter Bedding, Cozy Xmas Quilts for Couch, Bedroom &amp; Seasonal Home Decorations (Christmas Quilt-DS07)</t>
        </is>
      </c>
      <c r="N38" s="2" t="inlineStr">
        <is>
          <t>SET</t>
        </is>
      </c>
      <c r="O38" s="2" t="inlineStr">
        <is>
          <t>Angled bedroom view of Vintage Christmas Tree Quilt Set</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t>
        </is>
      </c>
      <c r="Z38" s="2" t="inlineStr">
        <is>
          <t>["seo_runs\\jeminise.com\\20260906_234129\\evidence\\images\\28_christmas-bedding-quilt-soft-microfiber-holiday-bedspread\\image_02_47934029267143.jpg; seo_runs\\jeminise.com\\20260906_234129\\evidence\\contact_sheets\\28_christmas-bedding-quilt-soft-microfiber-holiday-bedspread.jpg", "https://jeminise.com/products/christmas-bedding-quilt-soft-microfiber-holiday-bedspread", "https://cdn.shopify.com/s/files/1/0792/5098/1063/files/aefdb300474b2be72d2922e6647c41bde3bb061800ef5a5d164b41494b81fb19.jpg?v=1787239287"]</t>
        </is>
      </c>
    </row>
    <row r="39" ht="66" customHeight="1">
      <c r="A39" s="3" t="inlineStr">
        <is>
          <t>jeminise.com+christmas-bedding-quilt-soft-microfiber-holiday-bedspread</t>
        </is>
      </c>
      <c r="B39" s="3" t="inlineStr">
        <is>
          <t>qaimg_c6a90d111fc78977</t>
        </is>
      </c>
      <c r="C39" s="4" t="inlineStr">
        <is>
          <t>https://cdn.shopify.com/s/files/1/0792/5098/1063/files/3a3d71b9e950f5c9823b2552370a6a4a7cba089c4b15f174d2430e5fa07d5a5d.jpg?v=1787239286</t>
        </is>
      </c>
      <c r="D39" s="4" t="inlineStr">
        <is>
          <t>https://cdn.shopify.com/s/files/1/0792/5098/1063/files/3a3d71b9e950f5c9823b2552370a6a4a7cba089c4b15f174d2430e5fa07d5a5d.jpg?v=1787239286</t>
        </is>
      </c>
      <c r="E39" s="3" t="inlineStr">
        <is>
          <t>38895265546439</t>
        </is>
      </c>
      <c r="F39" s="3" t="inlineStr">
        <is>
          <t>47934029299911</t>
        </is>
      </c>
      <c r="G39" s="3" t="inlineStr"/>
      <c r="H39" s="3" t="inlineStr">
        <is>
          <t>GALLERY</t>
        </is>
      </c>
      <c r="I39" s="3" t="inlineStr">
        <is>
          <t>DIRECT_ORIGINAL_IMAGE</t>
        </is>
      </c>
      <c r="J39" s="3" t="inlineStr">
        <is>
          <t>2026-09-07T14:36:41.969406+07:00</t>
        </is>
      </c>
      <c r="K39" s="3" t="inlineStr">
        <is>
          <t>Isolated matching pillow sham with decorated tree and wrapped gifts.</t>
        </is>
      </c>
      <c r="L39" s="3" t="inlineStr">
        <is>
          <t>Matching pillow sham with vintage cream Christmas tree quilt with wrapped gifts artwork.</t>
        </is>
      </c>
      <c r="M39" s="3" t="inlineStr">
        <is>
          <t>Christmas Bedding Quilt – Soft Microfiber Holiday Bedspread, Lightweight Winter Bedding, Cozy Xmas Quilts for Couch, Bedroom &amp; Seasonal Home Decorations (Christmas Quilt-DS07)</t>
        </is>
      </c>
      <c r="N39" s="3" t="inlineStr">
        <is>
          <t>SET</t>
        </is>
      </c>
      <c r="O39" s="3" t="inlineStr">
        <is>
          <t>Matching pillow sham for Vintage Christmas Tree Quilt Set</t>
        </is>
      </c>
      <c r="P39" s="3" t="inlineStr">
        <is>
          <t>FULL</t>
        </is>
      </c>
      <c r="Q39" s="3" t="inlineStr">
        <is>
          <t>FULL</t>
        </is>
      </c>
      <c r="R39" s="3" t="inlineStr">
        <is>
          <t>FULL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t>
        </is>
      </c>
      <c r="Z39" s="3" t="inlineStr">
        <is>
          <t>["seo_runs\\jeminise.com\\20260906_234129\\evidence\\images\\28_christmas-bedding-quilt-soft-microfiber-holiday-bedspread\\image_03_47934029299911.jpg; seo_runs\\jeminise.com\\20260906_234129\\evidence\\contact_sheets\\28_christmas-bedding-quilt-soft-microfiber-holiday-bedspread.jpg", "https://jeminise.com/products/christmas-bedding-quilt-soft-microfiber-holiday-bedspread", "https://cdn.shopify.com/s/files/1/0792/5098/1063/files/3a3d71b9e950f5c9823b2552370a6a4a7cba089c4b15f174d2430e5fa07d5a5d.jpg?v=1787239286"]</t>
        </is>
      </c>
    </row>
    <row r="40" ht="66" customHeight="1">
      <c r="A40" s="2" t="inlineStr">
        <is>
          <t>jeminise.com+christmas-bedding-quilt-soft-microfiber-holiday-bedspread</t>
        </is>
      </c>
      <c r="B40" s="2" t="inlineStr">
        <is>
          <t>qaimg_4a1cc3380473cea6</t>
        </is>
      </c>
      <c r="C40" s="4" t="inlineStr">
        <is>
          <t>https://cdn.shopify.com/s/files/1/0792/5098/1063/files/7066a2433b3f12d4cacd6f4e8cc8c23427cc728f21337e12f0e0996e3b9d0eac.jpg?v=1787239286</t>
        </is>
      </c>
      <c r="D40" s="4" t="inlineStr">
        <is>
          <t>https://cdn.shopify.com/s/files/1/0792/5098/1063/files/7066a2433b3f12d4cacd6f4e8cc8c23427cc728f21337e12f0e0996e3b9d0eac.jpg?v=1787239286</t>
        </is>
      </c>
      <c r="E40" s="2" t="inlineStr">
        <is>
          <t>38895265579207</t>
        </is>
      </c>
      <c r="F40" s="2" t="inlineStr">
        <is>
          <t>47934029332679</t>
        </is>
      </c>
      <c r="G40" s="2" t="inlineStr"/>
      <c r="H40" s="2" t="inlineStr">
        <is>
          <t>GALLERY</t>
        </is>
      </c>
      <c r="I40" s="2" t="inlineStr">
        <is>
          <t>DIRECT_ORIGINAL_IMAGE</t>
        </is>
      </c>
      <c r="J40" s="2" t="inlineStr">
        <is>
          <t>2026-09-07T14:36:41.969406+07:00</t>
        </is>
      </c>
      <c r="K40" s="2" t="inlineStr">
        <is>
          <t>Close-up of the printed ornaments and tree branches with visible quilting lines.</t>
        </is>
      </c>
      <c r="L40" s="2" t="inlineStr">
        <is>
          <t>Close-up view of the printed/quilted texture and vintage cream Christmas tree quilt with wrapped gifts detail.</t>
        </is>
      </c>
      <c r="M40" s="2" t="inlineStr">
        <is>
          <t>Christmas Bedding Quilt – Soft Microfiber Holiday Bedspread, Lightweight Winter Bedding, Cozy Xmas Quilts for Couch, Bedroom &amp; Seasonal Home Decorations (Christmas Quilt-DS07)</t>
        </is>
      </c>
      <c r="N40" s="2" t="inlineStr">
        <is>
          <t>SET</t>
        </is>
      </c>
      <c r="O40" s="2" t="inlineStr">
        <is>
          <t>Close-up of vintage cream Christmas tree quilt with wrapped gifts on the quilt</t>
        </is>
      </c>
      <c r="P40" s="2" t="inlineStr">
        <is>
          <t>FULL</t>
        </is>
      </c>
      <c r="Q40" s="2" t="inlineStr">
        <is>
          <t>FULL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t>
        </is>
      </c>
      <c r="Z40" s="2" t="inlineStr">
        <is>
          <t>["seo_runs\\jeminise.com\\20260906_234129\\evidence\\images\\28_christmas-bedding-quilt-soft-microfiber-holiday-bedspread\\image_04_47934029332679.jpg; seo_runs\\jeminise.com\\20260906_234129\\evidence\\contact_sheets\\28_christmas-bedding-quilt-soft-microfiber-holiday-bedspread.jpg", "https://jeminise.com/products/christmas-bedding-quilt-soft-microfiber-holiday-bedspread", "https://cdn.shopify.com/s/files/1/0792/5098/1063/files/7066a2433b3f12d4cacd6f4e8cc8c23427cc728f21337e12f0e0996e3b9d0eac.jpg?v=1787239286"]</t>
        </is>
      </c>
    </row>
    <row r="41" ht="66" customHeight="1">
      <c r="A41" s="3" t="inlineStr">
        <is>
          <t>jeminise.com+christmas-bedding-quilt-soft-microfiber-holiday-bedspread</t>
        </is>
      </c>
      <c r="B41" s="3" t="inlineStr">
        <is>
          <t>qaimg_a92619e150b3e30d</t>
        </is>
      </c>
      <c r="C41" s="4" t="inlineStr">
        <is>
          <t>https://cdn.shopify.com/s/files/1/0792/5098/1063/files/7b383fdda314586dd2b1631d354d11f6044cf860e78d60b0da30f368498ad48f.jpg?v=1787239286</t>
        </is>
      </c>
      <c r="D41" s="4" t="inlineStr">
        <is>
          <t>https://cdn.shopify.com/s/files/1/0792/5098/1063/files/7b383fdda314586dd2b1631d354d11f6044cf860e78d60b0da30f368498ad48f.jpg?v=1787239286</t>
        </is>
      </c>
      <c r="E41" s="3" t="inlineStr">
        <is>
          <t>38895265611975</t>
        </is>
      </c>
      <c r="F41" s="3" t="inlineStr">
        <is>
          <t>47934029365447</t>
        </is>
      </c>
      <c r="G41" s="3" t="inlineStr"/>
      <c r="H41" s="3" t="inlineStr">
        <is>
          <t>GALLERY</t>
        </is>
      </c>
      <c r="I41" s="3" t="inlineStr">
        <is>
          <t>DIRECT_ORIGINAL_IMAGE</t>
        </is>
      </c>
      <c r="J41" s="3" t="inlineStr">
        <is>
          <t>2026-09-07T14:36:41.969406+07:00</t>
        </is>
      </c>
      <c r="K41" s="3" t="inlineStr">
        <is>
          <t>Included-components and size graphic: one premium quilt plus two optional standard shams; Throw, Twin, Queen and King dimensions.</t>
        </is>
      </c>
      <c r="L41" s="3" t="inlineStr">
        <is>
          <t>Included-components and size information image for the quilt set.</t>
        </is>
      </c>
      <c r="M41" s="3" t="inlineStr">
        <is>
          <t>Christmas Bedding Quilt – Soft Microfiber Holiday Bedspread, Lightweight Winter Bedding, Cozy Xmas Quilts for Couch, Bedroom &amp; Seasonal Home Decorations (Christmas Quilt-DS07)</t>
        </is>
      </c>
      <c r="N41" s="3" t="inlineStr">
        <is>
          <t>SET</t>
        </is>
      </c>
      <c r="O41" s="3" t="inlineStr">
        <is>
          <t>Size guide for Vintage Christmas Tree Quilt Set</t>
        </is>
      </c>
      <c r="P41" s="3" t="inlineStr">
        <is>
          <t>FULL</t>
        </is>
      </c>
      <c r="Q41" s="3" t="inlineStr">
        <is>
          <t>FULL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t>
        </is>
      </c>
      <c r="Z41" s="3" t="inlineStr">
        <is>
          <t>["seo_runs\\jeminise.com\\20260906_234129\\evidence\\images\\28_christmas-bedding-quilt-soft-microfiber-holiday-bedspread\\image_05_47934029365447.jpg; seo_runs\\jeminise.com\\20260906_234129\\evidence\\contact_sheets\\28_christmas-bedding-quilt-soft-microfiber-holiday-bedspread.jpg", "https://jeminise.com/products/christmas-bedding-quilt-soft-microfiber-holiday-bedspread", "https://cdn.shopify.com/s/files/1/0792/5098/1063/files/7b383fdda314586dd2b1631d354d11f6044cf860e78d60b0da30f368498ad48f.jpg?v=1787239286"]</t>
        </is>
      </c>
    </row>
    <row r="42" ht="66" customHeight="1">
      <c r="A42" s="2" t="inlineStr">
        <is>
          <t>jeminise.com+christmas-cardinal-on-branch-within-patchwork-winter-quilt-892d70543a-892d70543a</t>
        </is>
      </c>
      <c r="B42" s="2" t="inlineStr">
        <is>
          <t>qaimg_caed76b5267d9c06</t>
        </is>
      </c>
      <c r="C42" s="4" t="inlineStr">
        <is>
          <t>https://cdn.shopify.com/s/files/1/0792/5098/1063/files/bf28c41377cdb7a1ead58c1b8bf6522ea073b8840f5304f63418bda5d7a7b388.jpg?v=1785098877</t>
        </is>
      </c>
      <c r="D42" s="4" t="inlineStr">
        <is>
          <t>https://cdn.shopify.com/s/files/1/0792/5098/1063/files/bf28c41377cdb7a1ead58c1b8bf6522ea073b8840f5304f63418bda5d7a7b388.jpg?v=1785098877</t>
        </is>
      </c>
      <c r="E42" s="2" t="inlineStr">
        <is>
          <t>38506540302535</t>
        </is>
      </c>
      <c r="F42" s="2" t="inlineStr">
        <is>
          <t>47539978830023</t>
        </is>
      </c>
      <c r="G42" s="2" t="inlineStr"/>
      <c r="H42" s="2" t="inlineStr">
        <is>
          <t>GALLERY</t>
        </is>
      </c>
      <c r="I42" s="2" t="inlineStr">
        <is>
          <t>DIRECT_ORIGINAL_IMAGE</t>
        </is>
      </c>
      <c r="J42" s="2" t="inlineStr">
        <is>
          <t>2026-09-07T14:36:41.969406+07:00</t>
        </is>
      </c>
      <c r="K42" s="2" t="inlineStr">
        <is>
          <t>Front bedroom mockup of a red-and-white patchwork Christmas quilt with a cardinal and the words I am Always With You.</t>
        </is>
      </c>
      <c r="L42" s="2" t="inlineStr">
        <is>
          <t>Main bed mockup showing Christmas cardinal memorial quilt with I am Always With You text.</t>
        </is>
      </c>
      <c r="M42" s="2" t="inlineStr">
        <is>
          <t>Christmas Cardinal on Branch Within Patchwork Winter Quilt</t>
        </is>
      </c>
      <c r="N42" s="2" t="inlineStr">
        <is>
          <t>SET</t>
        </is>
      </c>
      <c r="O42" s="2" t="inlineStr">
        <is>
          <t>Christmas Cardinal Memorial Patchwork Quilt displayed on a bed</t>
        </is>
      </c>
      <c r="P42" s="2" t="inlineStr">
        <is>
          <t>FULL</t>
        </is>
      </c>
      <c r="Q42" s="2" t="inlineStr">
        <is>
          <t>FULL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t>
        </is>
      </c>
      <c r="Z42" s="2"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 "https://jeminise.com/products/christmas-cardinal-on-branch-within-patchwork-winter-quilt-892d70543a-892d70543a", "https://cdn.shopify.com/s/files/1/0792/5098/1063/files/bf28c41377cdb7a1ead58c1b8bf6522ea073b8840f5304f63418bda5d7a7b388.jpg?v=1785098877"]</t>
        </is>
      </c>
    </row>
    <row r="43" ht="66" customHeight="1">
      <c r="A43" s="3" t="inlineStr">
        <is>
          <t>jeminise.com+christmas-cardinal-on-branch-within-patchwork-winter-quilt-892d70543a-892d70543a</t>
        </is>
      </c>
      <c r="B43" s="3" t="inlineStr">
        <is>
          <t>qaimg_6f8e4b452f03bb9d</t>
        </is>
      </c>
      <c r="C43" s="4" t="inlineStr">
        <is>
          <t>https://cdn.shopify.com/s/files/1/0792/5098/1063/files/81f3805955113fdaf94272a97be66d4eb8728684496654f5010e77aa4ab8e87b.jpg?v=1785098877</t>
        </is>
      </c>
      <c r="D43" s="4" t="inlineStr">
        <is>
          <t>https://cdn.shopify.com/s/files/1/0792/5098/1063/files/81f3805955113fdaf94272a97be66d4eb8728684496654f5010e77aa4ab8e87b.jpg?v=1785098877</t>
        </is>
      </c>
      <c r="E43" s="3" t="inlineStr">
        <is>
          <t>38506540335303</t>
        </is>
      </c>
      <c r="F43" s="3" t="inlineStr">
        <is>
          <t>47539978862791</t>
        </is>
      </c>
      <c r="G43" s="3" t="inlineStr"/>
      <c r="H43" s="3" t="inlineStr">
        <is>
          <t>GALLERY</t>
        </is>
      </c>
      <c r="I43" s="3" t="inlineStr">
        <is>
          <t>DIRECT_ORIGINAL_IMAGE</t>
        </is>
      </c>
      <c r="J43" s="3" t="inlineStr">
        <is>
          <t>2026-09-07T14:36:41.969406+07:00</t>
        </is>
      </c>
      <c r="K43" s="3" t="inlineStr">
        <is>
          <t>Close-up of the cardinal and the visible words I am Always With You.</t>
        </is>
      </c>
      <c r="L43" s="3" t="inlineStr">
        <is>
          <t>Angled bedroom mockup showing the Christmas cardinal memorial quilt with I am Always With You text quilt and matching shams.</t>
        </is>
      </c>
      <c r="M43" s="3" t="inlineStr">
        <is>
          <t>Christmas Cardinal on Branch Within Patchwork Winter Quilt</t>
        </is>
      </c>
      <c r="N43" s="3" t="inlineStr">
        <is>
          <t>SET</t>
        </is>
      </c>
      <c r="O43" s="3" t="inlineStr">
        <is>
          <t>Angled bedroom view of Christmas Cardinal Memorial Patchwork Quilt</t>
        </is>
      </c>
      <c r="P43" s="3" t="inlineStr">
        <is>
          <t>FULL</t>
        </is>
      </c>
      <c r="Q43" s="3" t="inlineStr">
        <is>
          <t>FAIL</t>
        </is>
      </c>
      <c r="R43" s="3" t="inlineStr">
        <is>
          <t>FAIL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["R2-ISS-029-IMG-02"]</t>
        </is>
      </c>
      <c r="Z43" s="3"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 "https://jeminise.com/products/christmas-cardinal-on-branch-within-patchwork-winter-quilt-892d70543a-892d70543a", "https://cdn.shopify.com/s/files/1/0792/5098/1063/files/81f3805955113fdaf94272a97be66d4eb8728684496654f5010e77aa4ab8e87b.jpg?v=1785098877"]</t>
        </is>
      </c>
    </row>
    <row r="44" ht="66" customHeight="1">
      <c r="A44" s="2" t="inlineStr">
        <is>
          <t>jeminise.com+christmas-cardinal-on-branch-within-patchwork-winter-quilt-892d70543a-892d70543a</t>
        </is>
      </c>
      <c r="B44" s="2" t="inlineStr">
        <is>
          <t>qaimg_d53c032f00be7ac8</t>
        </is>
      </c>
      <c r="C44" s="4" t="inlineStr">
        <is>
          <t>https://cdn.shopify.com/s/files/1/0792/5098/1063/files/71627aa23557dde06f36d989c7eea33ac95d6403196bf70fbc4eefcf56b6e70f.jpg?v=1785098877</t>
        </is>
      </c>
      <c r="D44" s="4" t="inlineStr">
        <is>
          <t>https://cdn.shopify.com/s/files/1/0792/5098/1063/files/71627aa23557dde06f36d989c7eea33ac95d6403196bf70fbc4eefcf56b6e70f.jpg?v=1785098877</t>
        </is>
      </c>
      <c r="E44" s="2" t="inlineStr">
        <is>
          <t>38506540368071</t>
        </is>
      </c>
      <c r="F44" s="2" t="inlineStr">
        <is>
          <t>47539978895559</t>
        </is>
      </c>
      <c r="G44" s="2" t="inlineStr"/>
      <c r="H44" s="2" t="inlineStr">
        <is>
          <t>GALLERY</t>
        </is>
      </c>
      <c r="I44" s="2" t="inlineStr">
        <is>
          <t>DIRECT_ORIGINAL_IMAGE</t>
        </is>
      </c>
      <c r="J44" s="2" t="inlineStr">
        <is>
          <t>2026-09-07T14:36:41.969406+07:00</t>
        </is>
      </c>
      <c r="K44" s="2" t="inlineStr">
        <is>
          <t>Isolated matching pillow sham with cardinal, poinsettias, roses, bells, hearts and berries.</t>
        </is>
      </c>
      <c r="L44" s="2" t="inlineStr">
        <is>
          <t>Matching pillow sham with Christmas cardinal memorial quilt with I am Always With You text artwork.</t>
        </is>
      </c>
      <c r="M44" s="2" t="inlineStr">
        <is>
          <t>Christmas Cardinal on Branch Within Patchwork Winter Quilt</t>
        </is>
      </c>
      <c r="N44" s="2" t="inlineStr">
        <is>
          <t>SET</t>
        </is>
      </c>
      <c r="O44" s="2" t="inlineStr">
        <is>
          <t>Matching pillow sham for Christmas Cardinal Memorial Patchwork Quilt</t>
        </is>
      </c>
      <c r="P44" s="2" t="inlineStr">
        <is>
          <t>FULL</t>
        </is>
      </c>
      <c r="Q44" s="2" t="inlineStr">
        <is>
          <t>FULL</t>
        </is>
      </c>
      <c r="R44" s="2" t="inlineStr">
        <is>
          <t>FULL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t>
        </is>
      </c>
      <c r="Z44" s="2"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 "https://jeminise.com/products/christmas-cardinal-on-branch-within-patchwork-winter-quilt-892d70543a-892d70543a", "https://cdn.shopify.com/s/files/1/0792/5098/1063/files/71627aa23557dde06f36d989c7eea33ac95d6403196bf70fbc4eefcf56b6e70f.jpg?v=1785098877"]</t>
        </is>
      </c>
    </row>
    <row r="45" ht="66" customHeight="1">
      <c r="A45" s="3" t="inlineStr">
        <is>
          <t>jeminise.com+christmas-cardinal-on-branch-within-patchwork-winter-quilt-892d70543a-892d70543a</t>
        </is>
      </c>
      <c r="B45" s="3" t="inlineStr">
        <is>
          <t>qaimg_e2228d6d5c073799</t>
        </is>
      </c>
      <c r="C45" s="4" t="inlineStr">
        <is>
          <t>https://cdn.shopify.com/s/files/1/0792/5098/1063/files/b845f1cebf41c07e8603d709af5f48108735e52a2b08909404bc927ce2f2fba6.jpg?v=1785098877</t>
        </is>
      </c>
      <c r="D45" s="4" t="inlineStr">
        <is>
          <t>https://cdn.shopify.com/s/files/1/0792/5098/1063/files/b845f1cebf41c07e8603d709af5f48108735e52a2b08909404bc927ce2f2fba6.jpg?v=1785098877</t>
        </is>
      </c>
      <c r="E45" s="3" t="inlineStr">
        <is>
          <t>38506540400839</t>
        </is>
      </c>
      <c r="F45" s="3" t="inlineStr">
        <is>
          <t>47539978928327</t>
        </is>
      </c>
      <c r="G45" s="3" t="inlineStr"/>
      <c r="H45" s="3" t="inlineStr">
        <is>
          <t>GALLERY</t>
        </is>
      </c>
      <c r="I45" s="3" t="inlineStr">
        <is>
          <t>DIRECT_ORIGINAL_IMAGE</t>
        </is>
      </c>
      <c r="J45" s="3" t="inlineStr">
        <is>
          <t>2026-09-07T14:36:41.969406+07:00</t>
        </is>
      </c>
      <c r="K45" s="3" t="inlineStr">
        <is>
          <t>Angled bedroom mockup of the same cardinal memorial-style Christmas quilt.</t>
        </is>
      </c>
      <c r="L45" s="3" t="inlineStr">
        <is>
          <t>Close-up view of the printed/quilted texture and Christmas cardinal memorial quilt with I am Always With You text detail.</t>
        </is>
      </c>
      <c r="M45" s="3" t="inlineStr">
        <is>
          <t>Christmas Cardinal on Branch Within Patchwork Winter Quilt</t>
        </is>
      </c>
      <c r="N45" s="3" t="inlineStr">
        <is>
          <t>SET</t>
        </is>
      </c>
      <c r="O45" s="3" t="inlineStr">
        <is>
          <t>Close-up of Christmas cardinal memorial quilt with I am Always With You text on the quilt</t>
        </is>
      </c>
      <c r="P45" s="3" t="inlineStr">
        <is>
          <t>FULL</t>
        </is>
      </c>
      <c r="Q45" s="3" t="inlineStr">
        <is>
          <t>FAIL</t>
        </is>
      </c>
      <c r="R45" s="3" t="inlineStr">
        <is>
          <t>FAIL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["R2-ISS-029-IMG-04"]</t>
        </is>
      </c>
      <c r="Z45" s="3"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 "https://jeminise.com/products/christmas-cardinal-on-branch-within-patchwork-winter-quilt-892d70543a-892d70543a", "https://cdn.shopify.com/s/files/1/0792/5098/1063/files/b845f1cebf41c07e8603d709af5f48108735e52a2b08909404bc927ce2f2fba6.jpg?v=1785098877"]</t>
        </is>
      </c>
    </row>
    <row r="46" ht="66" customHeight="1">
      <c r="A46" s="2" t="inlineStr">
        <is>
          <t>jeminise.com+christmas-cardinal-on-branch-within-patchwork-winter-quilt-892d70543a-892d70543a</t>
        </is>
      </c>
      <c r="B46" s="2" t="inlineStr">
        <is>
          <t>qaimg_890443a584183493</t>
        </is>
      </c>
      <c r="C46" s="4" t="inlineStr">
        <is>
          <t>https://cdn.shopify.com/s/files/1/0792/5098/1063/files/1fac1cce8b7ccababe2eb09442d3c916aba2c52da0db73e8cf64b748a51cde9b.jpg?v=1785098877</t>
        </is>
      </c>
      <c r="D46" s="4" t="inlineStr">
        <is>
          <t>https://cdn.shopify.com/s/files/1/0792/5098/1063/files/1fac1cce8b7ccababe2eb09442d3c916aba2c52da0db73e8cf64b748a51cde9b.jpg?v=1785098877</t>
        </is>
      </c>
      <c r="E46" s="2" t="inlineStr">
        <is>
          <t>38506540433607</t>
        </is>
      </c>
      <c r="F46" s="2" t="inlineStr">
        <is>
          <t>47539978961095</t>
        </is>
      </c>
      <c r="G46" s="2" t="inlineStr"/>
      <c r="H46" s="2" t="inlineStr">
        <is>
          <t>GALLERY</t>
        </is>
      </c>
      <c r="I46" s="2" t="inlineStr">
        <is>
          <t>DIRECT_ORIGINAL_IMAGE</t>
        </is>
      </c>
      <c r="J46" s="2" t="inlineStr">
        <is>
          <t>2026-09-07T14:36:41.969406+07:00</t>
        </is>
      </c>
      <c r="K46" s="2" t="inlineStr">
        <is>
          <t>Included-components and size graphic: one premium quilt plus two or four optional standard shams; Throw, Twin, Queen and King dimensions.</t>
        </is>
      </c>
      <c r="L46" s="2" t="inlineStr">
        <is>
          <t>Included-components and size information image for the quilt set.</t>
        </is>
      </c>
      <c r="M46" s="2" t="inlineStr">
        <is>
          <t>Christmas Cardinal on Branch Within Patchwork Winter Quilt</t>
        </is>
      </c>
      <c r="N46" s="2" t="inlineStr">
        <is>
          <t>SET</t>
        </is>
      </c>
      <c r="O46" s="2" t="inlineStr">
        <is>
          <t>Size guide for Christmas Cardinal Memorial Patchwork Quilt</t>
        </is>
      </c>
      <c r="P46" s="2" t="inlineStr">
        <is>
          <t>FULL</t>
        </is>
      </c>
      <c r="Q46" s="2" t="inlineStr">
        <is>
          <t>FULL</t>
        </is>
      </c>
      <c r="R46" s="2" t="inlineStr">
        <is>
          <t>FULL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t>
        </is>
      </c>
      <c r="Z46" s="2"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 "https://jeminise.com/products/christmas-cardinal-on-branch-within-patchwork-winter-quilt-892d70543a-892d70543a", "https://cdn.shopify.com/s/files/1/0792/5098/1063/files/1fac1cce8b7ccababe2eb09442d3c916aba2c52da0db73e8cf64b748a51cde9b.jpg?v=1785098877"]</t>
        </is>
      </c>
    </row>
    <row r="47" ht="66" customHeight="1">
      <c r="A47" s="3" t="inlineStr">
        <is>
          <t>jeminise.com+christmas-cardinal-perched-on-branch-within-wreath-patchwork-winter-quilt-9e7c0b5896-9e7c0b5896</t>
        </is>
      </c>
      <c r="B47" s="3" t="inlineStr">
        <is>
          <t>qaimg_86e799885b3d195c</t>
        </is>
      </c>
      <c r="C47" s="4" t="inlineStr">
        <is>
          <t>https://cdn.shopify.com/s/files/1/0792/5098/1063/files/7f0f7c972b51dc5c33f101a4d3a2b691df2bbeddf273a1476dd88ac51d509beb.jpg?v=1785099457</t>
        </is>
      </c>
      <c r="D47" s="4" t="inlineStr">
        <is>
          <t>https://cdn.shopify.com/s/files/1/0792/5098/1063/files/7f0f7c972b51dc5c33f101a4d3a2b691df2bbeddf273a1476dd88ac51d509beb.jpg?v=1785099457</t>
        </is>
      </c>
      <c r="E47" s="3" t="inlineStr">
        <is>
          <t>38506601447623</t>
        </is>
      </c>
      <c r="F47" s="3" t="inlineStr">
        <is>
          <t>47540040990919</t>
        </is>
      </c>
      <c r="G47" s="3" t="inlineStr"/>
      <c r="H47" s="3" t="inlineStr">
        <is>
          <t>GALLERY</t>
        </is>
      </c>
      <c r="I47" s="3" t="inlineStr">
        <is>
          <t>DIRECT_ORIGINAL_IMAGE</t>
        </is>
      </c>
      <c r="J47" s="3" t="inlineStr">
        <is>
          <t>2026-09-07T14:36:41.969406+07:00</t>
        </is>
      </c>
      <c r="K47" s="3" t="inlineStr">
        <is>
          <t>Front bedroom mockup of a cardinal-in-wreath Christmas quilt printed with the sample name Sophia.</t>
        </is>
      </c>
      <c r="L47" s="3" t="inlineStr">
        <is>
          <t>Main bed mockup showing personalized Christmas cardinal quilt with the name Sophia.</t>
        </is>
      </c>
      <c r="M47" s="3" t="inlineStr">
        <is>
          <t>Christmas Cardinal Perched on Branch Within Wreath Patchwork Winter Quilt</t>
        </is>
      </c>
      <c r="N47" s="3" t="inlineStr">
        <is>
          <t>SET</t>
        </is>
      </c>
      <c r="O47" s="3" t="inlineStr">
        <is>
          <t>Cardinal Christmas Quilt Set displayed on a bed</t>
        </is>
      </c>
      <c r="P47" s="3" t="inlineStr">
        <is>
          <t>FULL</t>
        </is>
      </c>
      <c r="Q47" s="3" t="inlineStr">
        <is>
          <t>FULL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t>
        </is>
      </c>
      <c r="Z47" s="3"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 "https://jeminise.com/products/christmas-cardinal-perched-on-branch-within-wreath-patchwork-winter-quilt-9e7c0b5896-9e7c0b5896", "https://cdn.shopify.com/s/files/1/0792/5098/1063/files/7f0f7c972b51dc5c33f101a4d3a2b691df2bbeddf273a1476dd88ac51d509beb.jpg?v=1785099457"]</t>
        </is>
      </c>
    </row>
    <row r="48" ht="66" customHeight="1">
      <c r="A48" s="2" t="inlineStr">
        <is>
          <t>jeminise.com+christmas-cardinal-perched-on-branch-within-wreath-patchwork-winter-quilt-9e7c0b5896-9e7c0b5896</t>
        </is>
      </c>
      <c r="B48" s="2" t="inlineStr">
        <is>
          <t>qaimg_12ed9125ff4ce7a8</t>
        </is>
      </c>
      <c r="C48" s="4" t="inlineStr">
        <is>
          <t>https://cdn.shopify.com/s/files/1/0792/5098/1063/files/5e721c7639a6dabb93bc6beaa75f1f177b995a54e6852aab0e8a13d284356650.jpg?v=1785099457</t>
        </is>
      </c>
      <c r="D48" s="4" t="inlineStr">
        <is>
          <t>https://cdn.shopify.com/s/files/1/0792/5098/1063/files/5e721c7639a6dabb93bc6beaa75f1f177b995a54e6852aab0e8a13d284356650.jpg?v=1785099457</t>
        </is>
      </c>
      <c r="E48" s="2" t="inlineStr">
        <is>
          <t>38506601480391</t>
        </is>
      </c>
      <c r="F48" s="2" t="inlineStr">
        <is>
          <t>47540041023687</t>
        </is>
      </c>
      <c r="G48" s="2" t="inlineStr"/>
      <c r="H48" s="2" t="inlineStr">
        <is>
          <t>GALLERY</t>
        </is>
      </c>
      <c r="I48" s="2" t="inlineStr">
        <is>
          <t>DIRECT_ORIGINAL_IMAGE</t>
        </is>
      </c>
      <c r="J48" s="2" t="inlineStr">
        <is>
          <t>2026-09-07T14:36:41.969406+07:00</t>
        </is>
      </c>
      <c r="K48" s="2" t="inlineStr">
        <is>
          <t>Close-up of the cardinal, pine, holly berries and pinecones with visible quilting lines.</t>
        </is>
      </c>
      <c r="L48" s="2" t="inlineStr">
        <is>
          <t>Angled bedroom mockup showing the personalized Christmas cardinal quilt with the name Sophia quilt and matching shams.</t>
        </is>
      </c>
      <c r="M48" s="2" t="inlineStr">
        <is>
          <t>Christmas Cardinal Perched on Branch Within Wreath Patchwork Winter Quilt</t>
        </is>
      </c>
      <c r="N48" s="2" t="inlineStr">
        <is>
          <t>SET</t>
        </is>
      </c>
      <c r="O48" s="2" t="inlineStr">
        <is>
          <t>Angled bedroom view of Cardinal Christmas Quilt Set</t>
        </is>
      </c>
      <c r="P48" s="2" t="inlineStr">
        <is>
          <t>FULL</t>
        </is>
      </c>
      <c r="Q48" s="2" t="inlineStr">
        <is>
          <t>FAIL</t>
        </is>
      </c>
      <c r="R48" s="2" t="inlineStr">
        <is>
          <t>FAIL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["R2-ISS-030-IMG-02"]</t>
        </is>
      </c>
      <c r="Z48" s="2"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 "https://jeminise.com/products/christmas-cardinal-perched-on-branch-within-wreath-patchwork-winter-quilt-9e7c0b5896-9e7c0b5896", "https://cdn.shopify.com/s/files/1/0792/5098/1063/files/5e721c7639a6dabb93bc6beaa75f1f177b995a54e6852aab0e8a13d284356650.jpg?v=1785099457"]</t>
        </is>
      </c>
    </row>
    <row r="49" ht="66" customHeight="1">
      <c r="A49" s="3" t="inlineStr">
        <is>
          <t>jeminise.com+christmas-cardinal-perched-on-branch-within-wreath-patchwork-winter-quilt-9e7c0b5896-9e7c0b5896</t>
        </is>
      </c>
      <c r="B49" s="3" t="inlineStr">
        <is>
          <t>qaimg_0866c6e8df0a369e</t>
        </is>
      </c>
      <c r="C49" s="4" t="inlineStr">
        <is>
          <t>https://cdn.shopify.com/s/files/1/0792/5098/1063/files/d9efdd2323a7b245add351d35c70df2b8916ba50b2c07232a28ce2618017c7ca.jpg?v=1785099457</t>
        </is>
      </c>
      <c r="D49" s="4" t="inlineStr">
        <is>
          <t>https://cdn.shopify.com/s/files/1/0792/5098/1063/files/d9efdd2323a7b245add351d35c70df2b8916ba50b2c07232a28ce2618017c7ca.jpg?v=1785099457</t>
        </is>
      </c>
      <c r="E49" s="3" t="inlineStr">
        <is>
          <t>38506601513159</t>
        </is>
      </c>
      <c r="F49" s="3" t="inlineStr">
        <is>
          <t>47540041056455</t>
        </is>
      </c>
      <c r="G49" s="3" t="inlineStr"/>
      <c r="H49" s="3" t="inlineStr">
        <is>
          <t>GALLERY</t>
        </is>
      </c>
      <c r="I49" s="3" t="inlineStr">
        <is>
          <t>DIRECT_ORIGINAL_IMAGE</t>
        </is>
      </c>
      <c r="J49" s="3" t="inlineStr">
        <is>
          <t>2026-09-07T14:36:41.969406+07:00</t>
        </is>
      </c>
      <c r="K49" s="3" t="inlineStr">
        <is>
          <t>Isolated matching pillow sham printed with the sample name Sophia.</t>
        </is>
      </c>
      <c r="L49" s="3" t="inlineStr">
        <is>
          <t>Matching pillow sham with personalized Christmas cardinal quilt with the name Sophia artwork.</t>
        </is>
      </c>
      <c r="M49" s="3" t="inlineStr">
        <is>
          <t>Christmas Cardinal Perched on Branch Within Wreath Patchwork Winter Quilt</t>
        </is>
      </c>
      <c r="N49" s="3" t="inlineStr">
        <is>
          <t>SET</t>
        </is>
      </c>
      <c r="O49" s="3" t="inlineStr">
        <is>
          <t>Matching pillow sham for Cardinal Christmas Quilt Set</t>
        </is>
      </c>
      <c r="P49" s="3" t="inlineStr">
        <is>
          <t>FULL</t>
        </is>
      </c>
      <c r="Q49" s="3" t="inlineStr">
        <is>
          <t>FULL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t>
        </is>
      </c>
      <c r="Z49" s="3"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 "https://jeminise.com/products/christmas-cardinal-perched-on-branch-within-wreath-patchwork-winter-quilt-9e7c0b5896-9e7c0b5896", "https://cdn.shopify.com/s/files/1/0792/5098/1063/files/d9efdd2323a7b245add351d35c70df2b8916ba50b2c07232a28ce2618017c7ca.jpg?v=1785099457"]</t>
        </is>
      </c>
    </row>
    <row r="50" ht="66" customHeight="1">
      <c r="A50" s="2" t="inlineStr">
        <is>
          <t>jeminise.com+christmas-cardinal-perched-on-branch-within-wreath-patchwork-winter-quilt-9e7c0b5896-9e7c0b5896</t>
        </is>
      </c>
      <c r="B50" s="2" t="inlineStr">
        <is>
          <t>qaimg_8f99a0c24b4a3fb1</t>
        </is>
      </c>
      <c r="C50" s="4" t="inlineStr">
        <is>
          <t>https://cdn.shopify.com/s/files/1/0792/5098/1063/files/b311d7393465380998bca8b3a9210a013c229b61d664f3dce0691513d873c82e.jpg?v=1785099457</t>
        </is>
      </c>
      <c r="D50" s="4" t="inlineStr">
        <is>
          <t>https://cdn.shopify.com/s/files/1/0792/5098/1063/files/b311d7393465380998bca8b3a9210a013c229b61d664f3dce0691513d873c82e.jpg?v=1785099457</t>
        </is>
      </c>
      <c r="E50" s="2" t="inlineStr">
        <is>
          <t>38506601545927</t>
        </is>
      </c>
      <c r="F50" s="2" t="inlineStr">
        <is>
          <t>47540041089223</t>
        </is>
      </c>
      <c r="G50" s="2" t="inlineStr"/>
      <c r="H50" s="2" t="inlineStr">
        <is>
          <t>GALLERY</t>
        </is>
      </c>
      <c r="I50" s="2" t="inlineStr">
        <is>
          <t>DIRECT_ORIGINAL_IMAGE</t>
        </is>
      </c>
      <c r="J50" s="2" t="inlineStr">
        <is>
          <t>2026-09-07T14:36:41.969406+07:00</t>
        </is>
      </c>
      <c r="K50" s="2" t="inlineStr">
        <is>
          <t>Angled bedroom mockup of the same cardinal-in-wreath quilt printed with Sophia.</t>
        </is>
      </c>
      <c r="L50" s="2" t="inlineStr">
        <is>
          <t>Close-up view of the printed/quilted texture and personalized Christmas cardinal quilt with the name Sophia detail.</t>
        </is>
      </c>
      <c r="M50" s="2" t="inlineStr">
        <is>
          <t>Christmas Cardinal Perched on Branch Within Wreath Patchwork Winter Quilt</t>
        </is>
      </c>
      <c r="N50" s="2" t="inlineStr">
        <is>
          <t>SET</t>
        </is>
      </c>
      <c r="O50" s="2" t="inlineStr">
        <is>
          <t>Close-up of Christmas cardinal quilt with the name Sophia on the quilt</t>
        </is>
      </c>
      <c r="P50" s="2" t="inlineStr">
        <is>
          <t>FULL</t>
        </is>
      </c>
      <c r="Q50" s="2" t="inlineStr">
        <is>
          <t>FAIL</t>
        </is>
      </c>
      <c r="R50" s="2" t="inlineStr">
        <is>
          <t>FAIL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["R2-ISS-030-IMG-04"]</t>
        </is>
      </c>
      <c r="Z50" s="2"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 "https://jeminise.com/products/christmas-cardinal-perched-on-branch-within-wreath-patchwork-winter-quilt-9e7c0b5896-9e7c0b5896", "https://cdn.shopify.com/s/files/1/0792/5098/1063/files/b311d7393465380998bca8b3a9210a013c229b61d664f3dce0691513d873c82e.jpg?v=1785099457"]</t>
        </is>
      </c>
    </row>
    <row r="51" ht="66" customHeight="1">
      <c r="A51" s="3" t="inlineStr">
        <is>
          <t>jeminise.com+christmas-cardinal-perched-on-branch-within-wreath-patchwork-winter-quilt-9e7c0b5896-9e7c0b5896</t>
        </is>
      </c>
      <c r="B51" s="3" t="inlineStr">
        <is>
          <t>qaimg_9a84bd44cfba746c</t>
        </is>
      </c>
      <c r="C51" s="4" t="inlineStr">
        <is>
          <t>https://cdn.shopify.com/s/files/1/0792/5098/1063/files/b3f4b380fddc0b4717e5a8960ebd73a239442861c5a0cc84575c35c7339c41e1.jpg?v=1785099457</t>
        </is>
      </c>
      <c r="D51" s="4" t="inlineStr">
        <is>
          <t>https://cdn.shopify.com/s/files/1/0792/5098/1063/files/b3f4b380fddc0b4717e5a8960ebd73a239442861c5a0cc84575c35c7339c41e1.jpg?v=1785099457</t>
        </is>
      </c>
      <c r="E51" s="3" t="inlineStr">
        <is>
          <t>38506601578695</t>
        </is>
      </c>
      <c r="F51" s="3" t="inlineStr">
        <is>
          <t>47540041121991</t>
        </is>
      </c>
      <c r="G51" s="3" t="inlineStr"/>
      <c r="H51" s="3" t="inlineStr">
        <is>
          <t>GALLERY</t>
        </is>
      </c>
      <c r="I51" s="3" t="inlineStr">
        <is>
          <t>DIRECT_ORIGINAL_IMAGE</t>
        </is>
      </c>
      <c r="J51" s="3" t="inlineStr">
        <is>
          <t>2026-09-07T14:36:41.969406+07:00</t>
        </is>
      </c>
      <c r="K51" s="3" t="inlineStr">
        <is>
          <t>Included-components and size graphic: one premium quilt plus two optional standard shams; Throw, Twin, Queen and King dimensions.</t>
        </is>
      </c>
      <c r="L51" s="3" t="inlineStr">
        <is>
          <t>Included-components and size information image for the quilt set.</t>
        </is>
      </c>
      <c r="M51" s="3" t="inlineStr">
        <is>
          <t>Christmas Cardinal Perched on Branch Within Wreath Patchwork Winter Quilt</t>
        </is>
      </c>
      <c r="N51" s="3" t="inlineStr">
        <is>
          <t>SET</t>
        </is>
      </c>
      <c r="O51" s="3" t="inlineStr">
        <is>
          <t>Size guide for Cardinal Christmas Quilt Set</t>
        </is>
      </c>
      <c r="P51" s="3" t="inlineStr">
        <is>
          <t>FULL</t>
        </is>
      </c>
      <c r="Q51" s="3" t="inlineStr">
        <is>
          <t>FULL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t>
        </is>
      </c>
      <c r="Z51" s="3"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 "https://jeminise.com/products/christmas-cardinal-perched-on-branch-within-wreath-patchwork-winter-quilt-9e7c0b5896-9e7c0b5896", "https://cdn.shopify.com/s/files/1/0792/5098/1063/files/b3f4b380fddc0b4717e5a8960ebd73a239442861c5a0cc84575c35c7339c41e1.jpg?v=1785099457"]</t>
        </is>
      </c>
    </row>
  </sheetData>
  <autoFilter ref="A1:Z5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49"/>
  <sheetViews>
    <sheetView showGridLines="0" workbookViewId="0">
      <pane ySplit="1" topLeftCell="A2" activePane="bottomLeft" state="frozen"/>
      <selection pane="bottomLeft" activeCell="A1" sqref="A1"/>
    </sheetView>
  </sheetViews>
  <sheetFormatPr baseColWidth="8" defaultRowHeight="15"/>
  <cols>
    <col width="21"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R2-ISS-021-IMG-03</t>
        </is>
      </c>
      <c r="B2" s="2" t="inlineStr">
        <is>
          <t>jeminise.com+christmas-bedding-quilt-soft-microfiber-holiday-bedsprea-design-05</t>
        </is>
      </c>
      <c r="C2" s="2" t="inlineStr">
        <is>
          <t>qaimg_a89e6c5c17ce820f</t>
        </is>
      </c>
      <c r="D2" s="2" t="inlineStr">
        <is>
          <t>MAJOR</t>
        </is>
      </c>
      <c r="E2" s="2" t="inlineStr">
        <is>
          <t>image_observation/alt_effective</t>
        </is>
      </c>
      <c r="F2" s="2" t="inlineStr">
        <is>
          <t>Matching pillow sham with cream gingerbread man and candy cane Christmas quilt artwork. | Matching pillow sham for Gingerbread Candy Cane Christmas Quilt Set</t>
        </is>
      </c>
      <c r="G2" s="2" t="inlineStr">
        <is>
          <t>Close-up of the printed gingerbread bow and candy-cane surface with visible quilting lines.</t>
        </is>
      </c>
      <c r="H2" s="2" t="inlineStr">
        <is>
          <t>R2 vẫn đảo loại ảnh sau khi revision summary báo đã sửa.</t>
        </is>
      </c>
      <c r="I2" s="2" t="inlineStr">
        <is>
          <t>Close-up of gingerbread and candy cane Christmas quilt print</t>
        </is>
      </c>
      <c r="J2" s="2" t="inlineStr">
        <is>
          <t>seo_runs\jeminise.com\20260906_234129\evidence\images\21_christmas-bedding-quilt-soft-microfiber-holiday-bedsprea-design-05\image_03_47934032380103.jpg; seo_runs\jeminise.com\20260906_234129\evidence\contact_sheets\21_christmas-bedding-quilt-soft-microfiber-holiday-bedsprea-design-05.jpg; https://jeminise.com/products/christmas-bedding-quilt-soft-microfiber-holiday-bedsprea-design-05; https://cdn.shopify.com/s/files/1/0792/5098/1063/files/323ea5e3469590e61df70a45da30caeee15b2197d409a07ec242f1425c067466.jpg?v=1787239304</t>
        </is>
      </c>
      <c r="K2" s="2" t="inlineStr">
        <is>
          <t>Mở lại ảnh gốc và xác nhận observation/alt mới mô tả đúng ảnh.</t>
        </is>
      </c>
    </row>
    <row r="3" ht="84" customHeight="1">
      <c r="A3" s="3" t="inlineStr">
        <is>
          <t>R2-ISS-021-IMG-04</t>
        </is>
      </c>
      <c r="B3" s="3" t="inlineStr">
        <is>
          <t>jeminise.com+christmas-bedding-quilt-soft-microfiber-holiday-bedsprea-design-05</t>
        </is>
      </c>
      <c r="C3" s="3" t="inlineStr">
        <is>
          <t>qaimg_7d7c7bc9d4c25ee7</t>
        </is>
      </c>
      <c r="D3" s="3" t="inlineStr">
        <is>
          <t>MAJOR</t>
        </is>
      </c>
      <c r="E3" s="3" t="inlineStr">
        <is>
          <t>image_observation/alt_effective</t>
        </is>
      </c>
      <c r="F3" s="3" t="inlineStr">
        <is>
          <t>Close-up view of the printed/quilted texture and cream gingerbread man and candy cane Christmas quilt detail. | Close-up of cream gingerbread man and candy cane Christmas quilt on the quilt</t>
        </is>
      </c>
      <c r="G3" s="3" t="inlineStr">
        <is>
          <t>Isolated matching pillow sham with gingerbread man and candy cane artwork.</t>
        </is>
      </c>
      <c r="H3" s="3" t="inlineStr">
        <is>
          <t>R2 vẫn đảo loại ảnh sau khi revision summary báo đã sửa.</t>
        </is>
      </c>
      <c r="I3" s="3" t="inlineStr">
        <is>
          <t>Matching gingerbread and candy cane Christmas quilt pillow sham</t>
        </is>
      </c>
      <c r="J3" s="3" t="inlineStr">
        <is>
          <t>seo_runs\jeminise.com\20260906_234129\evidence\images\21_christmas-bedding-quilt-soft-microfiber-holiday-bedsprea-design-05\image_04_47934032412871.jpg; seo_runs\jeminise.com\20260906_234129\evidence\contact_sheets\21_christmas-bedding-quilt-soft-microfiber-holiday-bedsprea-design-05.jpg; https://jeminise.com/products/christmas-bedding-quilt-soft-microfiber-holiday-bedsprea-design-05; https://cdn.shopify.com/s/files/1/0792/5098/1063/files/a9d73f05a5624e29d69e9f45c9035fc8ce6d17dce0280be079f2697dfabb6a95.jpg?v=1787239304</t>
        </is>
      </c>
      <c r="K3" s="3" t="inlineStr">
        <is>
          <t>Mở lại ảnh gốc và xác nhận observation/alt mới mô tả đúng ảnh.</t>
        </is>
      </c>
    </row>
    <row r="4" ht="84" customHeight="1">
      <c r="A4" s="2" t="inlineStr">
        <is>
          <t>R2-ISS-025-IMG-01</t>
        </is>
      </c>
      <c r="B4" s="2" t="inlineStr">
        <is>
          <t>jeminise.com+christmas-bedding-quilt-soft-microfiber-holiday-bedsprea-design-10</t>
        </is>
      </c>
      <c r="C4" s="2" t="inlineStr">
        <is>
          <t>qaimg_bec15977767a6049</t>
        </is>
      </c>
      <c r="D4" s="2" t="inlineStr">
        <is>
          <t>MAJOR</t>
        </is>
      </c>
      <c r="E4" s="2" t="inlineStr">
        <is>
          <t>image_observation/alt_effective</t>
        </is>
      </c>
      <c r="F4" s="2" t="inlineStr">
        <is>
          <t>Main bed mockup showing red snowman quilt with cardinal birds and pine trees. | Red gingerbread figure and Cardinal Christmas Quilt displayed on a bed</t>
        </is>
      </c>
      <c r="G4" s="2" t="inlineStr">
        <is>
          <t>Front bedroom mockup of a red Christmas quilt with a snowman, cardinal birds, pine trees and holly.</t>
        </is>
      </c>
      <c r="H4" s="2" t="inlineStr">
        <is>
          <t>Alt r2 gọi snowman nhìn thấy trong ảnh là gingerbread, làm sai motif.</t>
        </is>
      </c>
      <c r="I4" s="2" t="inlineStr">
        <is>
          <t>Snowman and cardinals Christmas quilt in a front bedroom view</t>
        </is>
      </c>
      <c r="J4" s="2" t="inlineStr">
        <is>
          <t>seo_runs\jeminise.com\20260906_234129\evidence\images\25_christmas-bedding-quilt-soft-microfiber-holiday-bedsprea-design-10\image_01_47934030708935.jpg; seo_runs\jeminise.com\20260906_234129\evidence\contact_sheets\25_christmas-bedding-quilt-soft-microfiber-holiday-bedsprea-design-10.jpg; https://jeminise.com/products/christmas-bedding-quilt-soft-microfiber-holiday-bedsprea-design-10; https://cdn.shopify.com/s/files/1/0792/5098/1063/files/c9012211f4a80fc29b04e6c36a6d06286d3bcd99481ba14bb0f48bbd8dc22628.jpg?v=1787239292</t>
        </is>
      </c>
      <c r="K4" s="2" t="inlineStr">
        <is>
          <t>Mở lại ảnh gốc và xác nhận observation/alt mới mô tả đúng ảnh.</t>
        </is>
      </c>
    </row>
    <row r="5" ht="84" customHeight="1">
      <c r="A5" s="3" t="inlineStr">
        <is>
          <t>R2-ISS-025-IMG-02</t>
        </is>
      </c>
      <c r="B5" s="3" t="inlineStr">
        <is>
          <t>jeminise.com+christmas-bedding-quilt-soft-microfiber-holiday-bedsprea-design-10</t>
        </is>
      </c>
      <c r="C5" s="3" t="inlineStr">
        <is>
          <t>qaimg_580175efb542e8fe</t>
        </is>
      </c>
      <c r="D5" s="3" t="inlineStr">
        <is>
          <t>MAJOR</t>
        </is>
      </c>
      <c r="E5" s="3" t="inlineStr">
        <is>
          <t>image_observation/alt_effective</t>
        </is>
      </c>
      <c r="F5" s="3" t="inlineStr">
        <is>
          <t>Angled bedroom mockup showing the red snowman quilt with cardinal birds and pine trees quilt and matching shams. | Angled bedroom view of Red gingerbread figure and Cardinal Christmas Quilt</t>
        </is>
      </c>
      <c r="G5" s="3" t="inlineStr">
        <is>
          <t>Angled bedroom mockup of the same red snowman-and-cardinal quilt.</t>
        </is>
      </c>
      <c r="H5" s="3" t="inlineStr">
        <is>
          <t>Alt r2 gọi snowman nhìn thấy trong ảnh là gingerbread, làm sai motif.</t>
        </is>
      </c>
      <c r="I5" s="3" t="inlineStr">
        <is>
          <t>Snowman and cardinals Christmas quilt in an angled bedroom view</t>
        </is>
      </c>
      <c r="J5" s="3" t="inlineStr">
        <is>
          <t>seo_runs\jeminise.com\20260906_234129\evidence\images\25_christmas-bedding-quilt-soft-microfiber-holiday-bedsprea-design-10\image_02_47934030741703.jpg; seo_runs\jeminise.com\20260906_234129\evidence\contact_sheets\25_christmas-bedding-quilt-soft-microfiber-holiday-bedsprea-design-10.jpg; https://jeminise.com/products/christmas-bedding-quilt-soft-microfiber-holiday-bedsprea-design-10; https://cdn.shopify.com/s/files/1/0792/5098/1063/files/839d3838d97a9792a8c1011e15becc2872cb904640fdb176e9d34c9ec4a1382f.jpg?v=1787239292</t>
        </is>
      </c>
      <c r="K5" s="3" t="inlineStr">
        <is>
          <t>Mở lại ảnh gốc và xác nhận observation/alt mới mô tả đúng ảnh.</t>
        </is>
      </c>
    </row>
    <row r="6" ht="84" customHeight="1">
      <c r="A6" s="2" t="inlineStr">
        <is>
          <t>R2-ISS-025-IMG-03</t>
        </is>
      </c>
      <c r="B6" s="2" t="inlineStr">
        <is>
          <t>jeminise.com+christmas-bedding-quilt-soft-microfiber-holiday-bedsprea-design-10</t>
        </is>
      </c>
      <c r="C6" s="2" t="inlineStr">
        <is>
          <t>qaimg_475d612843981ab6</t>
        </is>
      </c>
      <c r="D6" s="2" t="inlineStr">
        <is>
          <t>MAJOR</t>
        </is>
      </c>
      <c r="E6" s="2" t="inlineStr">
        <is>
          <t>image_observation/alt_effective</t>
        </is>
      </c>
      <c r="F6" s="2" t="inlineStr">
        <is>
          <t>Matching pillow sham with red snowman quilt with cardinal birds and pine trees artwork. | Matching pillow sham for Red gingerbread figure and Cardinal Christmas Quilt</t>
        </is>
      </c>
      <c r="G6" s="2" t="inlineStr">
        <is>
          <t>Isolated matching pillow sham with snowman and cardinals.</t>
        </is>
      </c>
      <c r="H6" s="2" t="inlineStr">
        <is>
          <t>Alt r2 gọi snowman nhìn thấy trong ảnh là gingerbread, làm sai motif.</t>
        </is>
      </c>
      <c r="I6" s="2" t="inlineStr">
        <is>
          <t>Snowman and cardinals Christmas quilt on a matching pillow sham</t>
        </is>
      </c>
      <c r="J6" s="2" t="inlineStr">
        <is>
          <t>seo_runs\jeminise.com\20260906_234129\evidence\images\25_christmas-bedding-quilt-soft-microfiber-holiday-bedsprea-design-10\image_03_47934030774471.jpg; seo_runs\jeminise.com\20260906_234129\evidence\contact_sheets\25_christmas-bedding-quilt-soft-microfiber-holiday-bedsprea-design-10.jpg; https://jeminise.com/products/christmas-bedding-quilt-soft-microfiber-holiday-bedsprea-design-10; https://cdn.shopify.com/s/files/1/0792/5098/1063/files/029f59325955756dff3beb424bb93f337eade1161d1694ef1f392a84a004e0d4.jpg?v=1787239292</t>
        </is>
      </c>
      <c r="K6" s="2" t="inlineStr">
        <is>
          <t>Mở lại ảnh gốc và xác nhận observation/alt mới mô tả đúng ảnh.</t>
        </is>
      </c>
    </row>
    <row r="7" ht="84" customHeight="1">
      <c r="A7" s="3" t="inlineStr">
        <is>
          <t>R2-ISS-025-IMG-04</t>
        </is>
      </c>
      <c r="B7" s="3" t="inlineStr">
        <is>
          <t>jeminise.com+christmas-bedding-quilt-soft-microfiber-holiday-bedsprea-design-10</t>
        </is>
      </c>
      <c r="C7" s="3" t="inlineStr">
        <is>
          <t>qaimg_27839bbd7a011485</t>
        </is>
      </c>
      <c r="D7" s="3" t="inlineStr">
        <is>
          <t>MAJOR</t>
        </is>
      </c>
      <c r="E7" s="3" t="inlineStr">
        <is>
          <t>image_observation/alt_effective</t>
        </is>
      </c>
      <c r="F7" s="3" t="inlineStr">
        <is>
          <t>Close-up view of the printed/quilted texture and red snowman quilt with cardinal birds and pine trees detail. | Close-up of red gingerbread figure quilt with cardinal birds and pine trees on the quilt</t>
        </is>
      </c>
      <c r="G7" s="3" t="inlineStr">
        <is>
          <t>Close-up of the printed snowman scarf and cardinal surface with visible quilting lines.</t>
        </is>
      </c>
      <c r="H7" s="3" t="inlineStr">
        <is>
          <t>Alt r2 gọi snowman nhìn thấy trong ảnh là gingerbread, làm sai motif.</t>
        </is>
      </c>
      <c r="I7" s="3" t="inlineStr">
        <is>
          <t>Snowman and cardinals Christmas quilt in a close-up view</t>
        </is>
      </c>
      <c r="J7" s="3" t="inlineStr">
        <is>
          <t>seo_runs\jeminise.com\20260906_234129\evidence\images\25_christmas-bedding-quilt-soft-microfiber-holiday-bedsprea-design-10\image_04_47934030807239.jpg; seo_runs\jeminise.com\20260906_234129\evidence\contact_sheets\25_christmas-bedding-quilt-soft-microfiber-holiday-bedsprea-design-10.jpg; https://jeminise.com/products/christmas-bedding-quilt-soft-microfiber-holiday-bedsprea-design-10; https://cdn.shopify.com/s/files/1/0792/5098/1063/files/b12a3b8244039f69fe8236f2263a3bb2f6cef1a9d48030f14c267fcc7b0cf9e0.jpg?v=1787239292</t>
        </is>
      </c>
      <c r="K7" s="3" t="inlineStr">
        <is>
          <t>Mở lại ảnh gốc và xác nhận observation/alt mới mô tả đúng ảnh.</t>
        </is>
      </c>
    </row>
    <row r="8" ht="84" customHeight="1">
      <c r="A8" s="2" t="inlineStr">
        <is>
          <t>R2-ISS-025-IMG-05</t>
        </is>
      </c>
      <c r="B8" s="2" t="inlineStr">
        <is>
          <t>jeminise.com+christmas-bedding-quilt-soft-microfiber-holiday-bedsprea-design-10</t>
        </is>
      </c>
      <c r="C8" s="2" t="inlineStr">
        <is>
          <t>qaimg_c0475919dd64391b</t>
        </is>
      </c>
      <c r="D8" s="2" t="inlineStr">
        <is>
          <t>MAJOR</t>
        </is>
      </c>
      <c r="E8" s="2" t="inlineStr">
        <is>
          <t>image_observation/alt_effective</t>
        </is>
      </c>
      <c r="F8" s="2" t="inlineStr">
        <is>
          <t>Included-components and size information image for the quilt set. | Size guide for Red gingerbread figure and Cardinal Christmas Quilt</t>
        </is>
      </c>
      <c r="G8" s="2" t="inlineStr">
        <is>
          <t>Included-components and size graphic: one premium quilt plus two optional standard shams; Throw, Twin, Queen and King dimensions.</t>
        </is>
      </c>
      <c r="H8" s="2" t="inlineStr">
        <is>
          <t>Alt r2 gọi snowman nhìn thấy trong ảnh là gingerbread, làm sai motif.</t>
        </is>
      </c>
      <c r="I8" s="2" t="inlineStr">
        <is>
          <t>Snowman and cardinals Christmas quilt with the quilt size and components guide</t>
        </is>
      </c>
      <c r="J8" s="2" t="inlineStr">
        <is>
          <t>seo_runs\jeminise.com\20260906_234129\evidence\images\25_christmas-bedding-quilt-soft-microfiber-holiday-bedsprea-design-10\image_05_47934030840007.jpg; seo_runs\jeminise.com\20260906_234129\evidence\contact_sheets\25_christmas-bedding-quilt-soft-microfiber-holiday-bedsprea-design-10.jpg; https://jeminise.com/products/christmas-bedding-quilt-soft-microfiber-holiday-bedsprea-design-10; https://cdn.shopify.com/s/files/1/0792/5098/1063/files/db17975966105e572ee398b3501c29ac2c8a38f61dae4eb1e3d795982c917bc2.jpg?v=1787239292</t>
        </is>
      </c>
      <c r="K8" s="2" t="inlineStr">
        <is>
          <t>Mở lại ảnh gốc và xác nhận observation/alt mới mô tả đúng ảnh.</t>
        </is>
      </c>
    </row>
    <row r="9" ht="84" customHeight="1">
      <c r="A9" s="3" t="inlineStr">
        <is>
          <t>R2-ISS-027-IMG-01</t>
        </is>
      </c>
      <c r="B9" s="3" t="inlineStr">
        <is>
          <t>jeminise.com+christmas-bedding-quilt-soft-microfiber-holiday-bedsprea-design-12</t>
        </is>
      </c>
      <c r="C9" s="3" t="inlineStr">
        <is>
          <t>qaimg_dc5e1143e3c71a76</t>
        </is>
      </c>
      <c r="D9" s="3" t="inlineStr">
        <is>
          <t>MAJOR</t>
        </is>
      </c>
      <c r="E9" s="3" t="inlineStr">
        <is>
          <t>image_observation/alt_effective</t>
        </is>
      </c>
      <c r="F9" s="3" t="inlineStr">
        <is>
          <t>Main bed mockup showing red snowman pair and cardinal Christmas quilt. | gingerbread figure and Cardinal Christmas Quilt Set displayed on a bed</t>
        </is>
      </c>
      <c r="G9" s="3" t="inlineStr">
        <is>
          <t>Front bedroom mockup of a deep-red Christmas quilt with two snowmen, a red cardinal, a brown cardinal and pine greenery.</t>
        </is>
      </c>
      <c r="H9" s="3" t="inlineStr">
        <is>
          <t>Alt r2 gọi snowman nhìn thấy trong ảnh là gingerbread, làm sai motif.</t>
        </is>
      </c>
      <c r="I9" s="3" t="inlineStr">
        <is>
          <t>Two snowmen and cardinals Christmas quilt in a front bedroom view</t>
        </is>
      </c>
      <c r="J9" s="3" t="inlineStr">
        <is>
          <t>seo_runs\jeminise.com\20260906_234129\evidence\images\27_christmas-bedding-quilt-soft-microfiber-holiday-bedsprea-design-12\image_01_47934031659207.jpg; seo_runs\jeminise.com\20260906_234129\evidence\contact_sheets\27_christmas-bedding-quilt-soft-microfiber-holiday-bedsprea-design-12.jpg; https://jeminise.com/products/christmas-bedding-quilt-soft-microfiber-holiday-bedsprea-design-12; https://cdn.shopify.com/s/files/1/0792/5098/1063/files/76a7585bd4cd30b07b5040b9e886936f39bc38e39d68a0e9ad8c7762fc463cc2.jpg?v=1787239299</t>
        </is>
      </c>
      <c r="K9" s="3" t="inlineStr">
        <is>
          <t>Mở lại ảnh gốc và xác nhận observation/alt mới mô tả đúng ảnh.</t>
        </is>
      </c>
    </row>
    <row r="10" ht="84" customHeight="1">
      <c r="A10" s="2" t="inlineStr">
        <is>
          <t>R2-ISS-027-IMG-02</t>
        </is>
      </c>
      <c r="B10" s="2" t="inlineStr">
        <is>
          <t>jeminise.com+christmas-bedding-quilt-soft-microfiber-holiday-bedsprea-design-12</t>
        </is>
      </c>
      <c r="C10" s="2" t="inlineStr">
        <is>
          <t>qaimg_33ff6f81bbad5c6e</t>
        </is>
      </c>
      <c r="D10" s="2" t="inlineStr">
        <is>
          <t>MAJOR</t>
        </is>
      </c>
      <c r="E10" s="2" t="inlineStr">
        <is>
          <t>image_observation/alt_effective</t>
        </is>
      </c>
      <c r="F10" s="2" t="inlineStr">
        <is>
          <t>Angled bedroom mockup showing the red snowman pair and cardinal Christmas quilt quilt and matching shams. | Angled bedroom view of gingerbread figure and Cardinal Christmas Quilt Set</t>
        </is>
      </c>
      <c r="G10" s="2" t="inlineStr">
        <is>
          <t>Angled bedroom mockup of the same snowman-and-cardinal quilt.</t>
        </is>
      </c>
      <c r="H10" s="2" t="inlineStr">
        <is>
          <t>Alt r2 gọi snowman nhìn thấy trong ảnh là gingerbread, làm sai motif.</t>
        </is>
      </c>
      <c r="I10" s="2" t="inlineStr">
        <is>
          <t>Two snowmen and cardinals Christmas quilt in an angled bedroom view</t>
        </is>
      </c>
      <c r="J10" s="2" t="inlineStr">
        <is>
          <t>seo_runs\jeminise.com\20260906_234129\evidence\images\27_christmas-bedding-quilt-soft-microfiber-holiday-bedsprea-design-12\image_02_47934031691975.jpg; seo_runs\jeminise.com\20260906_234129\evidence\contact_sheets\27_christmas-bedding-quilt-soft-microfiber-holiday-bedsprea-design-12.jpg; https://jeminise.com/products/christmas-bedding-quilt-soft-microfiber-holiday-bedsprea-design-12; https://cdn.shopify.com/s/files/1/0792/5098/1063/files/771b444bc3c1e5abffae2b5c7e4c8a21e7d9116e9df079048baf711d9cdab5de.jpg?v=1787239299</t>
        </is>
      </c>
      <c r="K10" s="2" t="inlineStr">
        <is>
          <t>Mở lại ảnh gốc và xác nhận observation/alt mới mô tả đúng ảnh.</t>
        </is>
      </c>
    </row>
    <row r="11" ht="84" customHeight="1">
      <c r="A11" s="3" t="inlineStr">
        <is>
          <t>R2-ISS-027-IMG-03</t>
        </is>
      </c>
      <c r="B11" s="3" t="inlineStr">
        <is>
          <t>jeminise.com+christmas-bedding-quilt-soft-microfiber-holiday-bedsprea-design-12</t>
        </is>
      </c>
      <c r="C11" s="3" t="inlineStr">
        <is>
          <t>qaimg_57acd3f49c071414</t>
        </is>
      </c>
      <c r="D11" s="3" t="inlineStr">
        <is>
          <t>MAJOR</t>
        </is>
      </c>
      <c r="E11" s="3" t="inlineStr">
        <is>
          <t>image_observation/alt_effective</t>
        </is>
      </c>
      <c r="F11" s="3" t="inlineStr">
        <is>
          <t>Matching pillow sham with red snowman pair and cardinal Christmas quilt artwork. | Matching pillow sham for gingerbread figure and Cardinal Christmas Quilt Set</t>
        </is>
      </c>
      <c r="G11" s="3" t="inlineStr">
        <is>
          <t>Isolated matching pillow sham with the snowman pair and cardinals.</t>
        </is>
      </c>
      <c r="H11" s="3" t="inlineStr">
        <is>
          <t>Alt r2 gọi snowman nhìn thấy trong ảnh là gingerbread, làm sai motif.</t>
        </is>
      </c>
      <c r="I11" s="3" t="inlineStr">
        <is>
          <t>Two snowmen and cardinals Christmas quilt on a matching pillow sham</t>
        </is>
      </c>
      <c r="J11" s="3" t="inlineStr">
        <is>
          <t>seo_runs\jeminise.com\20260906_234129\evidence\images\27_christmas-bedding-quilt-soft-microfiber-holiday-bedsprea-design-12\image_03_47934031724743.jpg; seo_runs\jeminise.com\20260906_234129\evidence\contact_sheets\27_christmas-bedding-quilt-soft-microfiber-holiday-bedsprea-design-12.jpg; https://jeminise.com/products/christmas-bedding-quilt-soft-microfiber-holiday-bedsprea-design-12; https://cdn.shopify.com/s/files/1/0792/5098/1063/files/1633b2e89fa22831d4dc4a89053d8f3b3c491963e2b6b8e797728b03f280d901.jpg?v=1787239299</t>
        </is>
      </c>
      <c r="K11" s="3" t="inlineStr">
        <is>
          <t>Mở lại ảnh gốc và xác nhận observation/alt mới mô tả đúng ảnh.</t>
        </is>
      </c>
    </row>
    <row r="12" ht="84" customHeight="1">
      <c r="A12" s="2" t="inlineStr">
        <is>
          <t>R2-ISS-027-IMG-04</t>
        </is>
      </c>
      <c r="B12" s="2" t="inlineStr">
        <is>
          <t>jeminise.com+christmas-bedding-quilt-soft-microfiber-holiday-bedsprea-design-12</t>
        </is>
      </c>
      <c r="C12" s="2" t="inlineStr">
        <is>
          <t>qaimg_bb26ce77178acab9</t>
        </is>
      </c>
      <c r="D12" s="2" t="inlineStr">
        <is>
          <t>MAJOR</t>
        </is>
      </c>
      <c r="E12" s="2" t="inlineStr">
        <is>
          <t>image_observation/alt_effective</t>
        </is>
      </c>
      <c r="F12" s="2" t="inlineStr">
        <is>
          <t>Close-up view of the printed/quilted texture and red snowman pair and cardinal Christmas quilt detail. | Close-up of red gingerbread figure pair and cardinal Christmas quilt on the quilt</t>
        </is>
      </c>
      <c r="G12" s="2" t="inlineStr">
        <is>
          <t>Close-up of the printed snowman and brown cardinal surface with visible quilting lines.</t>
        </is>
      </c>
      <c r="H12" s="2" t="inlineStr">
        <is>
          <t>Alt r2 gọi snowman nhìn thấy trong ảnh là gingerbread, làm sai motif.</t>
        </is>
      </c>
      <c r="I12" s="2" t="inlineStr">
        <is>
          <t>Two snowmen and cardinals Christmas quilt in a close-up view</t>
        </is>
      </c>
      <c r="J12" s="2" t="inlineStr">
        <is>
          <t>seo_runs\jeminise.com\20260906_234129\evidence\images\27_christmas-bedding-quilt-soft-microfiber-holiday-bedsprea-design-12\image_04_47934031757511.jpg; seo_runs\jeminise.com\20260906_234129\evidence\contact_sheets\27_christmas-bedding-quilt-soft-microfiber-holiday-bedsprea-design-12.jpg; https://jeminise.com/products/christmas-bedding-quilt-soft-microfiber-holiday-bedsprea-design-12; https://cdn.shopify.com/s/files/1/0792/5098/1063/files/8f72705c73157de73c90d17e957027dab4c5f6da82cd04f8c0291ff9478cbcb5.jpg?v=1787239299</t>
        </is>
      </c>
      <c r="K12" s="2" t="inlineStr">
        <is>
          <t>Mở lại ảnh gốc và xác nhận observation/alt mới mô tả đúng ảnh.</t>
        </is>
      </c>
    </row>
    <row r="13" ht="84" customHeight="1">
      <c r="A13" s="3" t="inlineStr">
        <is>
          <t>R2-ISS-027-IMG-05</t>
        </is>
      </c>
      <c r="B13" s="3" t="inlineStr">
        <is>
          <t>jeminise.com+christmas-bedding-quilt-soft-microfiber-holiday-bedsprea-design-12</t>
        </is>
      </c>
      <c r="C13" s="3" t="inlineStr">
        <is>
          <t>qaimg_c0935362bc0621c1</t>
        </is>
      </c>
      <c r="D13" s="3" t="inlineStr">
        <is>
          <t>MAJOR</t>
        </is>
      </c>
      <c r="E13" s="3" t="inlineStr">
        <is>
          <t>image_observation/alt_effective</t>
        </is>
      </c>
      <c r="F13" s="3" t="inlineStr">
        <is>
          <t>Included-components and size information image for the quilt set. | Size guide for gingerbread figure and Cardinal Christmas Quilt Set</t>
        </is>
      </c>
      <c r="G13" s="3" t="inlineStr">
        <is>
          <t>Included-components and size graphic: one premium quilt plus two optional standard shams; Throw, Twin, Queen and King dimensions.</t>
        </is>
      </c>
      <c r="H13" s="3" t="inlineStr">
        <is>
          <t>Alt r2 gọi snowman nhìn thấy trong ảnh là gingerbread, làm sai motif.</t>
        </is>
      </c>
      <c r="I13" s="3" t="inlineStr">
        <is>
          <t>Two snowmen and cardinals Christmas quilt with the quilt size and components guide</t>
        </is>
      </c>
      <c r="J13" s="3" t="inlineStr">
        <is>
          <t>seo_runs\jeminise.com\20260906_234129\evidence\images\27_christmas-bedding-quilt-soft-microfiber-holiday-bedsprea-design-12\image_05_47934031790279.jpg; seo_runs\jeminise.com\20260906_234129\evidence\contact_sheets\27_christmas-bedding-quilt-soft-microfiber-holiday-bedsprea-design-12.jpg; https://jeminise.com/products/christmas-bedding-quilt-soft-microfiber-holiday-bedsprea-design-12; https://cdn.shopify.com/s/files/1/0792/5098/1063/files/581cabcc8f29304036025dfeda00684fc9b10f6fda52339d78d676869aca4f8d.jpg?v=1787239300</t>
        </is>
      </c>
      <c r="K13" s="3" t="inlineStr">
        <is>
          <t>Mở lại ảnh gốc và xác nhận observation/alt mới mô tả đúng ảnh.</t>
        </is>
      </c>
    </row>
    <row r="14" ht="84" customHeight="1">
      <c r="A14" s="2" t="inlineStr">
        <is>
          <t>R2-ISS-029-IMG-02</t>
        </is>
      </c>
      <c r="B14" s="2" t="inlineStr">
        <is>
          <t>jeminise.com+christmas-cardinal-on-branch-within-patchwork-winter-quilt-892d70543a-892d70543a</t>
        </is>
      </c>
      <c r="C14" s="2" t="inlineStr">
        <is>
          <t>qaimg_6f8e4b452f03bb9d</t>
        </is>
      </c>
      <c r="D14" s="2" t="inlineStr">
        <is>
          <t>MAJOR</t>
        </is>
      </c>
      <c r="E14" s="2" t="inlineStr">
        <is>
          <t>image_observation/alt_effective</t>
        </is>
      </c>
      <c r="F14" s="2" t="inlineStr">
        <is>
          <t>Angled bedroom mockup showing the Christmas cardinal memorial quilt with I am Always With You text quilt and matching shams. | Angled bedroom view of Christmas Cardinal Memorial Patchwork Quilt</t>
        </is>
      </c>
      <c r="G14" s="2" t="inlineStr">
        <is>
          <t>Close-up of the cardinal and the visible words I am Always With You.</t>
        </is>
      </c>
      <c r="H14" s="2" t="inlineStr">
        <is>
          <t>R2 vẫn đảo loại ảnh sau khi revision summary báo đã sửa.</t>
        </is>
      </c>
      <c r="I14" s="2" t="inlineStr">
        <is>
          <t>Close-up of cardinal quilt with I am Always With You text</t>
        </is>
      </c>
      <c r="J14" s="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 https://jeminise.com/products/christmas-cardinal-on-branch-within-patchwork-winter-quilt-892d70543a-892d70543a; https://cdn.shopify.com/s/files/1/0792/5098/1063/files/81f3805955113fdaf94272a97be66d4eb8728684496654f5010e77aa4ab8e87b.jpg?v=1785098877</t>
        </is>
      </c>
      <c r="K14" s="2" t="inlineStr">
        <is>
          <t>Mở lại ảnh gốc và xác nhận observation/alt mới mô tả đúng ảnh.</t>
        </is>
      </c>
    </row>
    <row r="15" ht="84" customHeight="1">
      <c r="A15" s="3" t="inlineStr">
        <is>
          <t>R2-ISS-029-IMG-04</t>
        </is>
      </c>
      <c r="B15" s="3" t="inlineStr">
        <is>
          <t>jeminise.com+christmas-cardinal-on-branch-within-patchwork-winter-quilt-892d70543a-892d70543a</t>
        </is>
      </c>
      <c r="C15" s="3" t="inlineStr">
        <is>
          <t>qaimg_e2228d6d5c073799</t>
        </is>
      </c>
      <c r="D15" s="3" t="inlineStr">
        <is>
          <t>MAJOR</t>
        </is>
      </c>
      <c r="E15" s="3" t="inlineStr">
        <is>
          <t>image_observation/alt_effective</t>
        </is>
      </c>
      <c r="F15" s="3" t="inlineStr">
        <is>
          <t>Close-up view of the printed/quilted texture and Christmas cardinal memorial quilt with I am Always With You text detail. | Close-up of Christmas cardinal memorial quilt with I am Always With You text on the quilt</t>
        </is>
      </c>
      <c r="G15" s="3" t="inlineStr">
        <is>
          <t>Angled bedroom mockup of the same cardinal memorial-style Christmas quilt.</t>
        </is>
      </c>
      <c r="H15" s="3" t="inlineStr">
        <is>
          <t>R2 vẫn đảo loại ảnh sau khi revision summary báo đã sửa.</t>
        </is>
      </c>
      <c r="I15" s="3" t="inlineStr">
        <is>
          <t>Cardinal memorial Christmas quilt in an angled bedroom view</t>
        </is>
      </c>
      <c r="J15" s="3"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 https://jeminise.com/products/christmas-cardinal-on-branch-within-patchwork-winter-quilt-892d70543a-892d70543a; https://cdn.shopify.com/s/files/1/0792/5098/1063/files/b845f1cebf41c07e8603d709af5f48108735e52a2b08909404bc927ce2f2fba6.jpg?v=1785098877</t>
        </is>
      </c>
      <c r="K15" s="3" t="inlineStr">
        <is>
          <t>Mở lại ảnh gốc và xác nhận observation/alt mới mô tả đúng ảnh.</t>
        </is>
      </c>
    </row>
    <row r="16" ht="84" customHeight="1">
      <c r="A16" s="2" t="inlineStr">
        <is>
          <t>R2-ISS-030-IMG-02</t>
        </is>
      </c>
      <c r="B16" s="2" t="inlineStr">
        <is>
          <t>jeminise.com+christmas-cardinal-perched-on-branch-within-wreath-patchwork-winter-quilt-9e7c0b5896-9e7c0b5896</t>
        </is>
      </c>
      <c r="C16" s="2" t="inlineStr">
        <is>
          <t>qaimg_12ed9125ff4ce7a8</t>
        </is>
      </c>
      <c r="D16" s="2" t="inlineStr">
        <is>
          <t>MAJOR</t>
        </is>
      </c>
      <c r="E16" s="2" t="inlineStr">
        <is>
          <t>image_observation/alt_effective</t>
        </is>
      </c>
      <c r="F16" s="2" t="inlineStr">
        <is>
          <t>Angled bedroom mockup showing the personalized Christmas cardinal quilt with the name Sophia quilt and matching shams. | Angled bedroom view of Cardinal Christmas Quilt Set</t>
        </is>
      </c>
      <c r="G16" s="2" t="inlineStr">
        <is>
          <t>Close-up of the cardinal, pine, holly berries and pinecones with visible quilting lines.</t>
        </is>
      </c>
      <c r="H16" s="2" t="inlineStr">
        <is>
          <t>R2 vẫn đảo loại ảnh sau khi revision summary báo đã sửa.</t>
        </is>
      </c>
      <c r="I16" s="2" t="inlineStr">
        <is>
          <t>Close-up of cardinal, pine, holly berries and pinecones on the quilt</t>
        </is>
      </c>
      <c r="J16" s="2"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 https://jeminise.com/products/christmas-cardinal-perched-on-branch-within-wreath-patchwork-winter-quilt-9e7c0b5896-9e7c0b5896; https://cdn.shopify.com/s/files/1/0792/5098/1063/files/5e721c7639a6dabb93bc6beaa75f1f177b995a54e6852aab0e8a13d284356650.jpg?v=1785099457</t>
        </is>
      </c>
      <c r="K16" s="2" t="inlineStr">
        <is>
          <t>Mở lại ảnh gốc và xác nhận observation/alt mới mô tả đúng ảnh.</t>
        </is>
      </c>
    </row>
    <row r="17" ht="84" customHeight="1">
      <c r="A17" s="3" t="inlineStr">
        <is>
          <t>R2-ISS-030-IMG-04</t>
        </is>
      </c>
      <c r="B17" s="3" t="inlineStr">
        <is>
          <t>jeminise.com+christmas-cardinal-perched-on-branch-within-wreath-patchwork-winter-quilt-9e7c0b5896-9e7c0b5896</t>
        </is>
      </c>
      <c r="C17" s="3" t="inlineStr">
        <is>
          <t>qaimg_8f99a0c24b4a3fb1</t>
        </is>
      </c>
      <c r="D17" s="3" t="inlineStr">
        <is>
          <t>MAJOR</t>
        </is>
      </c>
      <c r="E17" s="3" t="inlineStr">
        <is>
          <t>image_observation/alt_effective</t>
        </is>
      </c>
      <c r="F17" s="3" t="inlineStr">
        <is>
          <t>Close-up view of the printed/quilted texture and personalized Christmas cardinal quilt with the name Sophia detail. | Close-up of Christmas cardinal quilt with the name Sophia on the quilt</t>
        </is>
      </c>
      <c r="G17" s="3" t="inlineStr">
        <is>
          <t>Angled bedroom mockup of the same cardinal-in-wreath quilt printed with Sophia.</t>
        </is>
      </c>
      <c r="H17" s="3" t="inlineStr">
        <is>
          <t>R2 vẫn đảo loại ảnh sau khi revision summary báo đã sửa.</t>
        </is>
      </c>
      <c r="I17" s="3" t="inlineStr">
        <is>
          <t>Cardinal Christmas quilt with sample name Sophia in an angled bedroom view</t>
        </is>
      </c>
      <c r="J17" s="3"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 https://jeminise.com/products/christmas-cardinal-perched-on-branch-within-wreath-patchwork-winter-quilt-9e7c0b5896-9e7c0b5896; https://cdn.shopify.com/s/files/1/0792/5098/1063/files/b311d7393465380998bca8b3a9210a013c229b61d664f3dce0691513d873c82e.jpg?v=1785099457</t>
        </is>
      </c>
      <c r="K17" s="3" t="inlineStr">
        <is>
          <t>Mở lại ảnh gốc và xác nhận observation/alt mới mô tả đúng ảnh.</t>
        </is>
      </c>
    </row>
    <row r="18" ht="84" customHeight="1">
      <c r="A18" s="2" t="inlineStr">
        <is>
          <t>R2-ISS-021-DESC</t>
        </is>
      </c>
      <c r="B18" s="2" t="inlineStr">
        <is>
          <t>jeminise.com+christmas-bedding-quilt-soft-microfiber-holiday-bedsprea-design-05</t>
        </is>
      </c>
      <c r="C18" s="2" t="inlineStr"/>
      <c r="D18" s="2" t="inlineStr">
        <is>
          <t>MAJOR</t>
        </is>
      </c>
      <c r="E18" s="2" t="inlineStr">
        <is>
          <t>description_proposed_html</t>
        </is>
      </c>
      <c r="F18" s="2" t="inlineStr">
        <is>
          <t>&lt;p&gt;Add themed style to the bedroom with this Jeminise quilt set featuring Cream Christmas quilt with a gingerbread man, striped candy cane, green bow and decorative red-green border. The artwork is shown across the main bedding mockup and coordinated pillow or sham images where included.&lt;/p&gt;&lt;h3&gt;Design Details&lt;/h3&gt;&lt;ul&gt;&lt;li&gt;Artwork focus: Cream Christmas quilt with a gingerbread man, striped candy cane, green bow and decorative red-green border.&lt;/li&gt;&lt;li&gt;Gallery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18" s="2" t="inlineStr">
        <is>
          <t>R2 đã bỏ câu nội bộ nhưng nội dung vẫn là template chung và bỏ qua nhiều dữ kiện mua hàng đã xác minh.</t>
        </is>
      </c>
      <c r="H18" s="2" t="inlineStr">
        <is>
          <t>Description chưa đủ cụ thể để xuất bản và không giải thích đầy đủ cấu hình quilt/sham hoặc personalization khi có.</t>
        </is>
      </c>
      <c r="I18" s="2" t="inlineStr">
        <is>
          <t>Rewrite as product-specific English HTML using verified design, dimensions, included/optional shams and the actual Customizer behavior.</t>
        </is>
      </c>
      <c r="J18" s="2" t="inlineStr">
        <is>
          <t>evidence_batch_003_021; https://jeminise.com/products/christmas-bedding-quilt-soft-microfiber-holiday-bedsprea-design-05</t>
        </is>
      </c>
      <c r="K18" s="2" t="inlineStr">
        <is>
          <t>Render the full HTML and verify every claim against live/gallery evidence.</t>
        </is>
      </c>
    </row>
    <row r="19" ht="84" customHeight="1">
      <c r="A19" s="3" t="inlineStr">
        <is>
          <t>ISS-021-ENC</t>
        </is>
      </c>
      <c r="B19" s="3" t="inlineStr">
        <is>
          <t>jeminise.com+christmas-bedding-quilt-soft-microfiber-holiday-bedsprea-design-05</t>
        </is>
      </c>
      <c r="C19" s="3" t="inlineStr"/>
      <c r="D19" s="3" t="inlineStr">
        <is>
          <t>MINOR</t>
        </is>
      </c>
      <c r="E19" s="3" t="inlineStr">
        <is>
          <t>title_current/H1_current</t>
        </is>
      </c>
      <c r="F19" s="3" t="inlineStr">
        <is>
          <t>Christmas Bedding Quilt – Soft Microfiber Holiday Bedsprea - Design 05</t>
        </is>
      </c>
      <c r="G19" s="3" t="inlineStr">
        <is>
          <t>Christmas Bedding Quilt – Soft Microfiber Holiday Bedsprea - Design 05</t>
        </is>
      </c>
      <c r="H19" s="3" t="inlineStr">
        <is>
          <t>Title/H1 live chứa ký tự thay thế U+FFFD và từ Bedsprea bị cắt.</t>
        </is>
      </c>
      <c r="I19" s="3" t="inlineStr">
        <is>
          <t>Gingerbread Candy Cane Christmas Quilt Set</t>
        </is>
      </c>
      <c r="J19" s="3" t="inlineStr">
        <is>
          <t>https://jeminise.com/products/christmas-bedding-quilt-soft-microfiber-holiday-bedsprea-design-05</t>
        </is>
      </c>
      <c r="K19" s="3" t="inlineStr">
        <is>
          <t>Rendered title and H1 no longer contain U+FFFD or truncated words.</t>
        </is>
      </c>
    </row>
    <row r="20" ht="84" customHeight="1">
      <c r="A20" s="2" t="inlineStr">
        <is>
          <t>R2-ISS-022-DESC</t>
        </is>
      </c>
      <c r="B20" s="2" t="inlineStr">
        <is>
          <t>jeminise.com+christmas-bedding-quilt-soft-microfiber-holiday-bedsprea-design-06</t>
        </is>
      </c>
      <c r="C20" s="2" t="inlineStr"/>
      <c r="D20" s="2" t="inlineStr">
        <is>
          <t>MAJOR</t>
        </is>
      </c>
      <c r="E20" s="2" t="inlineStr">
        <is>
          <t>description_proposed_html</t>
        </is>
      </c>
      <c r="F20" s="2" t="inlineStr">
        <is>
          <t>&lt;p&gt;Add themed style to the bedroom with this Jeminise quilt set featuring Dark holiday quilt with a decorated Christmas tree, ornaments, wrapped gifts and matching sham artwork. The artwork is shown across the main bedding mockup and coordinated pillow or sham images where included.&lt;/p&gt;&lt;h3&gt;Design Details&lt;/h3&gt;&lt;ul&gt;&lt;li&gt;Artwork focus: Dark holiday quilt with a decorated Christmas tree, ornaments, wrapped gifts and matching sham artwork.&lt;/li&gt;&lt;li&gt;Gallery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20" s="2" t="inlineStr">
        <is>
          <t>R2 đã bỏ câu nội bộ nhưng nội dung vẫn là template chung và bỏ qua nhiều dữ kiện mua hàng đã xác minh.</t>
        </is>
      </c>
      <c r="H20" s="2" t="inlineStr">
        <is>
          <t>Description chưa đủ cụ thể để xuất bản và không giải thích đầy đủ cấu hình quilt/sham hoặc personalization khi có.</t>
        </is>
      </c>
      <c r="I20" s="2" t="inlineStr">
        <is>
          <t>Rewrite as product-specific English HTML using verified design, dimensions, included/optional shams and the actual Customizer behavior.</t>
        </is>
      </c>
      <c r="J20" s="2" t="inlineStr">
        <is>
          <t>evidence_batch_003_022; https://jeminise.com/products/christmas-bedding-quilt-soft-microfiber-holiday-bedsprea-design-06</t>
        </is>
      </c>
      <c r="K20" s="2" t="inlineStr">
        <is>
          <t>Render the full HTML and verify every claim against live/gallery evidence.</t>
        </is>
      </c>
    </row>
    <row r="21" ht="84" customHeight="1">
      <c r="A21" s="3" t="inlineStr">
        <is>
          <t>ISS-022-ENC</t>
        </is>
      </c>
      <c r="B21" s="3" t="inlineStr">
        <is>
          <t>jeminise.com+christmas-bedding-quilt-soft-microfiber-holiday-bedsprea-design-06</t>
        </is>
      </c>
      <c r="C21" s="3" t="inlineStr"/>
      <c r="D21" s="3" t="inlineStr">
        <is>
          <t>MINOR</t>
        </is>
      </c>
      <c r="E21" s="3" t="inlineStr">
        <is>
          <t>title_current/H1_current</t>
        </is>
      </c>
      <c r="F21" s="3" t="inlineStr">
        <is>
          <t>Christmas Bedding Quilt – Soft Microfiber Holiday Bedsprea - Design 06</t>
        </is>
      </c>
      <c r="G21" s="3" t="inlineStr">
        <is>
          <t>Christmas Bedding Quilt – Soft Microfiber Holiday Bedsprea - Design 06</t>
        </is>
      </c>
      <c r="H21" s="3" t="inlineStr">
        <is>
          <t>Title/H1 live chứa ký tự thay thế U+FFFD và từ Bedsprea bị cắt.</t>
        </is>
      </c>
      <c r="I21" s="3" t="inlineStr">
        <is>
          <t>Black Christmas Tree Quilt Set</t>
        </is>
      </c>
      <c r="J21" s="3" t="inlineStr">
        <is>
          <t>https://jeminise.com/products/christmas-bedding-quilt-soft-microfiber-holiday-bedsprea-design-06</t>
        </is>
      </c>
      <c r="K21" s="3" t="inlineStr">
        <is>
          <t>Rendered title and H1 no longer contain U+FFFD or truncated words.</t>
        </is>
      </c>
    </row>
    <row r="22" ht="84" customHeight="1">
      <c r="A22" s="2" t="inlineStr">
        <is>
          <t>R2-ISS-023-DESC</t>
        </is>
      </c>
      <c r="B22" s="2" t="inlineStr">
        <is>
          <t>jeminise.com+christmas-bedding-quilt-soft-microfiber-holiday-bedsprea-design-08</t>
        </is>
      </c>
      <c r="C22" s="2" t="inlineStr"/>
      <c r="D22" s="2" t="inlineStr">
        <is>
          <t>MAJOR</t>
        </is>
      </c>
      <c r="E22" s="2" t="inlineStr">
        <is>
          <t>description_proposed_html</t>
        </is>
      </c>
      <c r="F22" s="2" t="inlineStr">
        <is>
          <t>&lt;p&gt;Add themed style to the bedroom with this Jeminise quilt set featuring Soft winter quilt design with red cardinals, a snowy birdhouse, wreath detail and matching pillow sham artwork. The artwork is shown across the main bedding mockup and coordinated pillow or sham images where included.&lt;/p&gt;&lt;h3&gt;Design Details&lt;/h3&gt;&lt;ul&gt;&lt;li&gt;Artwork focus: Soft winter quilt design with red cardinals, a snowy birdhouse, wreath detail and matching pillow sham artwork.&lt;/li&gt;&lt;li&gt;Gallery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22" s="2" t="inlineStr">
        <is>
          <t>R2 đã bỏ câu nội bộ nhưng nội dung vẫn là template chung và bỏ qua nhiều dữ kiện mua hàng đã xác minh.</t>
        </is>
      </c>
      <c r="H22" s="2" t="inlineStr">
        <is>
          <t>Description chưa đủ cụ thể để xuất bản và không giải thích đầy đủ cấu hình quilt/sham hoặc personalization khi có.</t>
        </is>
      </c>
      <c r="I22" s="2" t="inlineStr">
        <is>
          <t>Rewrite as product-specific English HTML using verified design, dimensions, included/optional shams and the actual Customizer behavior.</t>
        </is>
      </c>
      <c r="J22" s="2" t="inlineStr">
        <is>
          <t>evidence_batch_003_023; https://jeminise.com/products/christmas-bedding-quilt-soft-microfiber-holiday-bedsprea-design-08</t>
        </is>
      </c>
      <c r="K22" s="2" t="inlineStr">
        <is>
          <t>Render the full HTML and verify every claim against live/gallery evidence.</t>
        </is>
      </c>
    </row>
    <row r="23" ht="84" customHeight="1">
      <c r="A23" s="3" t="inlineStr">
        <is>
          <t>ISS-023-ENC</t>
        </is>
      </c>
      <c r="B23" s="3" t="inlineStr">
        <is>
          <t>jeminise.com+christmas-bedding-quilt-soft-microfiber-holiday-bedsprea-design-08</t>
        </is>
      </c>
      <c r="C23" s="3" t="inlineStr"/>
      <c r="D23" s="3" t="inlineStr">
        <is>
          <t>MINOR</t>
        </is>
      </c>
      <c r="E23" s="3" t="inlineStr">
        <is>
          <t>title_current/H1_current</t>
        </is>
      </c>
      <c r="F23" s="3" t="inlineStr">
        <is>
          <t>Christmas Bedding Quilt – Soft Microfiber Holiday Bedsprea - Design 08</t>
        </is>
      </c>
      <c r="G23" s="3" t="inlineStr">
        <is>
          <t>Christmas Bedding Quilt – Soft Microfiber Holiday Bedsprea - Design 08</t>
        </is>
      </c>
      <c r="H23" s="3" t="inlineStr">
        <is>
          <t>Title/H1 live chứa ký tự thay thế U+FFFD và từ Bedsprea bị cắt.</t>
        </is>
      </c>
      <c r="I23" s="3" t="inlineStr">
        <is>
          <t>Winter Cardinal Birdhouse Quilt Set</t>
        </is>
      </c>
      <c r="J23" s="3" t="inlineStr">
        <is>
          <t>https://jeminise.com/products/christmas-bedding-quilt-soft-microfiber-holiday-bedsprea-design-08</t>
        </is>
      </c>
      <c r="K23" s="3" t="inlineStr">
        <is>
          <t>Rendered title and H1 no longer contain U+FFFD or truncated words.</t>
        </is>
      </c>
    </row>
    <row r="24" ht="84" customHeight="1">
      <c r="A24" s="2" t="inlineStr">
        <is>
          <t>R2-ISS-024-DESC</t>
        </is>
      </c>
      <c r="B24" s="2" t="inlineStr">
        <is>
          <t>jeminise.com+christmas-bedding-quilt-soft-microfiber-holiday-bedsprea-design-09</t>
        </is>
      </c>
      <c r="C24" s="2" t="inlineStr"/>
      <c r="D24" s="2" t="inlineStr">
        <is>
          <t>MAJOR</t>
        </is>
      </c>
      <c r="E24" s="2" t="inlineStr">
        <is>
          <t>description_proposed_html</t>
        </is>
      </c>
      <c r="F24" s="2" t="inlineStr">
        <is>
          <t>&lt;p&gt;Add themed style to the bedroom with this Jeminise quilt set featuring Colorful Christmas quilt with a large gingerbread figure, wrapped gifts, snowy village background and cookie detail. The artwork is shown across the main bedding mockup and coordinated pillow or sham images where included.&lt;/p&gt;&lt;h3&gt;Design Details&lt;/h3&gt;&lt;ul&gt;&lt;li&gt;Artwork focus: Colorful Christmas quilt with a large gingerbread figure, wrapped gifts, snowy village background and cookie detail.&lt;/li&gt;&lt;li&gt;Gallery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24" s="2" t="inlineStr">
        <is>
          <t>R2 đã bỏ câu nội bộ nhưng nội dung vẫn là template chung và bỏ qua nhiều dữ kiện mua hàng đã xác minh.</t>
        </is>
      </c>
      <c r="H24" s="2" t="inlineStr">
        <is>
          <t>Description chưa đủ cụ thể để xuất bản và không giải thích đầy đủ cấu hình quilt/sham hoặc personalization khi có.</t>
        </is>
      </c>
      <c r="I24" s="2" t="inlineStr">
        <is>
          <t>Rewrite as product-specific English HTML using verified design, dimensions, included/optional shams and the actual Customizer behavior.</t>
        </is>
      </c>
      <c r="J24" s="2" t="inlineStr">
        <is>
          <t>evidence_batch_003_024; https://jeminise.com/products/christmas-bedding-quilt-soft-microfiber-holiday-bedsprea-design-09</t>
        </is>
      </c>
      <c r="K24" s="2" t="inlineStr">
        <is>
          <t>Render the full HTML and verify every claim against live/gallery evidence.</t>
        </is>
      </c>
    </row>
    <row r="25" ht="84" customHeight="1">
      <c r="A25" s="3" t="inlineStr">
        <is>
          <t>ISS-024-ENC</t>
        </is>
      </c>
      <c r="B25" s="3" t="inlineStr">
        <is>
          <t>jeminise.com+christmas-bedding-quilt-soft-microfiber-holiday-bedsprea-design-09</t>
        </is>
      </c>
      <c r="C25" s="3" t="inlineStr"/>
      <c r="D25" s="3" t="inlineStr">
        <is>
          <t>MINOR</t>
        </is>
      </c>
      <c r="E25" s="3" t="inlineStr">
        <is>
          <t>title_current/H1_current</t>
        </is>
      </c>
      <c r="F25" s="3" t="inlineStr">
        <is>
          <t>Christmas Bedding Quilt – Soft Microfiber Holiday Bedsprea - Design 09</t>
        </is>
      </c>
      <c r="G25" s="3" t="inlineStr">
        <is>
          <t>Christmas Bedding Quilt – Soft Microfiber Holiday Bedsprea - Design 09</t>
        </is>
      </c>
      <c r="H25" s="3" t="inlineStr">
        <is>
          <t>Title/H1 live chứa ký tự thay thế U+FFFD và từ Bedsprea bị cắt.</t>
        </is>
      </c>
      <c r="I25" s="3" t="inlineStr">
        <is>
          <t>Gingerbread Christmas Village Quilt Set</t>
        </is>
      </c>
      <c r="J25" s="3" t="inlineStr">
        <is>
          <t>https://jeminise.com/products/christmas-bedding-quilt-soft-microfiber-holiday-bedsprea-design-09</t>
        </is>
      </c>
      <c r="K25" s="3" t="inlineStr">
        <is>
          <t>Rendered title and H1 no longer contain U+FFFD or truncated words.</t>
        </is>
      </c>
    </row>
    <row r="26" ht="84" customHeight="1">
      <c r="A26" s="2" t="inlineStr">
        <is>
          <t>R2-ISS-025-DESC</t>
        </is>
      </c>
      <c r="B26" s="2" t="inlineStr">
        <is>
          <t>jeminise.com+christmas-bedding-quilt-soft-microfiber-holiday-bedsprea-design-10</t>
        </is>
      </c>
      <c r="C26" s="2" t="inlineStr"/>
      <c r="D26" s="2" t="inlineStr">
        <is>
          <t>MAJOR</t>
        </is>
      </c>
      <c r="E26" s="2" t="inlineStr">
        <is>
          <t>description_proposed_html</t>
        </is>
      </c>
      <c r="F26" s="2" t="inlineStr">
        <is>
          <t>&lt;p&gt;Add themed style to the bedroom with this Jeminise quilt set featuring Red-toned Christmas quilt featuring a gingerbread figure in a top hat and scarf, cardinal birds, pine trees and holly accents. The artwork is shown across the main bedding mockup and coordinated pillow or sham images where included.&lt;/p&gt;&lt;h3&gt;Design Details&lt;/h3&gt;&lt;ul&gt;&lt;li&gt;Artwork focus: Red-toned Christmas quilt featuring a gingerbread figure in a top hat and scarf, cardinal birds, pine trees and holly accents.&lt;/li&gt;&lt;li&gt;Gallery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26" s="2" t="inlineStr">
        <is>
          <t>R2 đã bỏ câu nội bộ nhưng nội dung vẫn là template chung và bỏ qua nhiều dữ kiện mua hàng đã xác minh.</t>
        </is>
      </c>
      <c r="H26" s="2" t="inlineStr">
        <is>
          <t>Description chưa đủ cụ thể để xuất bản và không giải thích đầy đủ cấu hình quilt/sham hoặc personalization khi có.</t>
        </is>
      </c>
      <c r="I26" s="2" t="inlineStr">
        <is>
          <t>Rewrite as product-specific English HTML using verified design, dimensions, included/optional shams and the actual Customizer behavior.</t>
        </is>
      </c>
      <c r="J26" s="2" t="inlineStr">
        <is>
          <t>evidence_batch_003_025; https://jeminise.com/products/christmas-bedding-quilt-soft-microfiber-holiday-bedsprea-design-10</t>
        </is>
      </c>
      <c r="K26" s="2" t="inlineStr">
        <is>
          <t>Render the full HTML and verify every claim against live/gallery evidence.</t>
        </is>
      </c>
    </row>
    <row r="27" ht="84" customHeight="1">
      <c r="A27" s="3" t="inlineStr">
        <is>
          <t>ISS-025-ENC</t>
        </is>
      </c>
      <c r="B27" s="3" t="inlineStr">
        <is>
          <t>jeminise.com+christmas-bedding-quilt-soft-microfiber-holiday-bedsprea-design-10</t>
        </is>
      </c>
      <c r="C27" s="3" t="inlineStr"/>
      <c r="D27" s="3" t="inlineStr">
        <is>
          <t>MINOR</t>
        </is>
      </c>
      <c r="E27" s="3" t="inlineStr">
        <is>
          <t>title_current/H1_current</t>
        </is>
      </c>
      <c r="F27" s="3" t="inlineStr">
        <is>
          <t>Christmas Bedding Quilt – Soft Microfiber Holiday Bedsprea - Design 10</t>
        </is>
      </c>
      <c r="G27" s="3" t="inlineStr">
        <is>
          <t>Christmas Bedding Quilt – Soft Microfiber Holiday Bedsprea - Design 10</t>
        </is>
      </c>
      <c r="H27" s="3" t="inlineStr">
        <is>
          <t>Title/H1 live chứa ký tự thay thế U+FFFD và từ Bedsprea bị cắt.</t>
        </is>
      </c>
      <c r="I27" s="3" t="inlineStr">
        <is>
          <t>Red gingerbread figure and Cardinal Christmas Quilt</t>
        </is>
      </c>
      <c r="J27" s="3" t="inlineStr">
        <is>
          <t>https://jeminise.com/products/christmas-bedding-quilt-soft-microfiber-holiday-bedsprea-design-10</t>
        </is>
      </c>
      <c r="K27" s="3" t="inlineStr">
        <is>
          <t>Rendered title and H1 no longer contain U+FFFD or truncated words.</t>
        </is>
      </c>
    </row>
    <row r="28" ht="84" customHeight="1">
      <c r="A28" s="2" t="inlineStr">
        <is>
          <t>R2-ISS-026-DESC</t>
        </is>
      </c>
      <c r="B28" s="2" t="inlineStr">
        <is>
          <t>jeminise.com+christmas-bedding-quilt-soft-microfiber-holiday-bedsprea-design-11</t>
        </is>
      </c>
      <c r="C28" s="2" t="inlineStr"/>
      <c r="D28" s="2" t="inlineStr">
        <is>
          <t>MAJOR</t>
        </is>
      </c>
      <c r="E28" s="2" t="inlineStr">
        <is>
          <t>description_proposed_html</t>
        </is>
      </c>
      <c r="F28" s="2" t="inlineStr">
        <is>
          <t>&lt;p&gt;Add themed style to the bedroom with this Jeminise quilt set featuring Light Christmas quilt with a black and gray tree, red and gold star ornaments and black-white check border. The artwork is shown across the main bedding mockup and coordinated pillow or sham images where included.&lt;/p&gt;&lt;h3&gt;Design Details&lt;/h3&gt;&lt;ul&gt;&lt;li&gt;Artwork focus: Light Christmas quilt with a black and gray tree, red and gold star ornaments and black-white check border.&lt;/li&gt;&lt;li&gt;Gallery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28" s="2" t="inlineStr">
        <is>
          <t>R2 đã bỏ câu nội bộ nhưng nội dung vẫn là template chung và bỏ qua nhiều dữ kiện mua hàng đã xác minh.</t>
        </is>
      </c>
      <c r="H28" s="2" t="inlineStr">
        <is>
          <t>Description chưa đủ cụ thể để xuất bản và không giải thích đầy đủ cấu hình quilt/sham hoặc personalization khi có.</t>
        </is>
      </c>
      <c r="I28" s="2" t="inlineStr">
        <is>
          <t>Rewrite as product-specific English HTML using verified design, dimensions, included/optional shams and the actual Customizer behavior.</t>
        </is>
      </c>
      <c r="J28" s="2" t="inlineStr">
        <is>
          <t>evidence_batch_003_026; https://jeminise.com/products/christmas-bedding-quilt-soft-microfiber-holiday-bedsprea-design-11</t>
        </is>
      </c>
      <c r="K28" s="2" t="inlineStr">
        <is>
          <t>Render the full HTML and verify every claim against live/gallery evidence.</t>
        </is>
      </c>
    </row>
    <row r="29" ht="84" customHeight="1">
      <c r="A29" s="3" t="inlineStr">
        <is>
          <t>ISS-026-ENC</t>
        </is>
      </c>
      <c r="B29" s="3" t="inlineStr">
        <is>
          <t>jeminise.com+christmas-bedding-quilt-soft-microfiber-holiday-bedsprea-design-11</t>
        </is>
      </c>
      <c r="C29" s="3" t="inlineStr"/>
      <c r="D29" s="3" t="inlineStr">
        <is>
          <t>MINOR</t>
        </is>
      </c>
      <c r="E29" s="3" t="inlineStr">
        <is>
          <t>title_current/H1_current</t>
        </is>
      </c>
      <c r="F29" s="3" t="inlineStr">
        <is>
          <t>Christmas Bedding Quilt – Soft Microfiber Holiday Bedsprea - Design 11</t>
        </is>
      </c>
      <c r="G29" s="3" t="inlineStr">
        <is>
          <t>Christmas Bedding Quilt – Soft Microfiber Holiday Bedsprea - Design 11</t>
        </is>
      </c>
      <c r="H29" s="3" t="inlineStr">
        <is>
          <t>Title/H1 live chứa ký tự thay thế U+FFFD và từ Bedsprea bị cắt.</t>
        </is>
      </c>
      <c r="I29" s="3" t="inlineStr">
        <is>
          <t>White Christmas Tree Quilt Set</t>
        </is>
      </c>
      <c r="J29" s="3" t="inlineStr">
        <is>
          <t>https://jeminise.com/products/christmas-bedding-quilt-soft-microfiber-holiday-bedsprea-design-11</t>
        </is>
      </c>
      <c r="K29" s="3" t="inlineStr">
        <is>
          <t>Rendered title and H1 no longer contain U+FFFD or truncated words.</t>
        </is>
      </c>
    </row>
    <row r="30" ht="84" customHeight="1">
      <c r="A30" s="2" t="inlineStr">
        <is>
          <t>R2-ISS-027-DESC</t>
        </is>
      </c>
      <c r="B30" s="2" t="inlineStr">
        <is>
          <t>jeminise.com+christmas-bedding-quilt-soft-microfiber-holiday-bedsprea-design-12</t>
        </is>
      </c>
      <c r="C30" s="2" t="inlineStr"/>
      <c r="D30" s="2" t="inlineStr">
        <is>
          <t>MAJOR</t>
        </is>
      </c>
      <c r="E30" s="2" t="inlineStr">
        <is>
          <t>description_proposed_html</t>
        </is>
      </c>
      <c r="F30" s="2" t="inlineStr">
        <is>
          <t>&lt;p&gt;Add themed style to the bedroom with this Jeminise quilt set featuring Deep red Christmas quilt with two snowmen in a round frame, red and brown cardinals, pine greenery and matching sham. The artwork is shown across the main bedding mockup and coordinated pillow or sham images where included.&lt;/p&gt;&lt;h3&gt;Design Details&lt;/h3&gt;&lt;ul&gt;&lt;li&gt;Artwork focus: Deep red Christmas quilt with two snowmen in a round frame, red and brown cardinals, pine greenery and matching sham.&lt;/li&gt;&lt;li&gt;Gallery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0" s="2" t="inlineStr">
        <is>
          <t>R2 đã bỏ câu nội bộ nhưng nội dung vẫn là template chung và bỏ qua nhiều dữ kiện mua hàng đã xác minh.</t>
        </is>
      </c>
      <c r="H30" s="2" t="inlineStr">
        <is>
          <t>Description chưa đủ cụ thể để xuất bản và không giải thích đầy đủ cấu hình quilt/sham hoặc personalization khi có.</t>
        </is>
      </c>
      <c r="I30" s="2" t="inlineStr">
        <is>
          <t>Rewrite as product-specific English HTML using verified design, dimensions, included/optional shams and the actual Customizer behavior.</t>
        </is>
      </c>
      <c r="J30" s="2" t="inlineStr">
        <is>
          <t>evidence_batch_003_027; https://jeminise.com/products/christmas-bedding-quilt-soft-microfiber-holiday-bedsprea-design-12</t>
        </is>
      </c>
      <c r="K30" s="2" t="inlineStr">
        <is>
          <t>Render the full HTML and verify every claim against live/gallery evidence.</t>
        </is>
      </c>
    </row>
    <row r="31" ht="84" customHeight="1">
      <c r="A31" s="3" t="inlineStr">
        <is>
          <t>ISS-027-ENC</t>
        </is>
      </c>
      <c r="B31" s="3" t="inlineStr">
        <is>
          <t>jeminise.com+christmas-bedding-quilt-soft-microfiber-holiday-bedsprea-design-12</t>
        </is>
      </c>
      <c r="C31" s="3" t="inlineStr"/>
      <c r="D31" s="3" t="inlineStr">
        <is>
          <t>MINOR</t>
        </is>
      </c>
      <c r="E31" s="3" t="inlineStr">
        <is>
          <t>title_current/H1_current</t>
        </is>
      </c>
      <c r="F31" s="3" t="inlineStr">
        <is>
          <t>Christmas Bedding Quilt – Soft Microfiber Holiday Bedsprea - Design 12</t>
        </is>
      </c>
      <c r="G31" s="3" t="inlineStr">
        <is>
          <t>Christmas Bedding Quilt – Soft Microfiber Holiday Bedsprea - Design 12</t>
        </is>
      </c>
      <c r="H31" s="3" t="inlineStr">
        <is>
          <t>Title/H1 live chứa ký tự thay thế U+FFFD và từ Bedsprea bị cắt.</t>
        </is>
      </c>
      <c r="I31" s="3" t="inlineStr">
        <is>
          <t>gingerbread figure and Cardinal Christmas Quilt Set</t>
        </is>
      </c>
      <c r="J31" s="3" t="inlineStr">
        <is>
          <t>https://jeminise.com/products/christmas-bedding-quilt-soft-microfiber-holiday-bedsprea-design-12</t>
        </is>
      </c>
      <c r="K31" s="3" t="inlineStr">
        <is>
          <t>Rendered title and H1 no longer contain U+FFFD or truncated words.</t>
        </is>
      </c>
    </row>
    <row r="32" ht="84" customHeight="1">
      <c r="A32" s="2" t="inlineStr">
        <is>
          <t>R2-ISS-028-DESC</t>
        </is>
      </c>
      <c r="B32" s="2" t="inlineStr">
        <is>
          <t>jeminise.com+christmas-bedding-quilt-soft-microfiber-holiday-bedspread</t>
        </is>
      </c>
      <c r="C32" s="2" t="inlineStr"/>
      <c r="D32" s="2" t="inlineStr">
        <is>
          <t>MAJOR</t>
        </is>
      </c>
      <c r="E32" s="2" t="inlineStr">
        <is>
          <t>description_proposed_html</t>
        </is>
      </c>
      <c r="F32" s="2" t="inlineStr">
        <is>
          <t>&lt;p&gt;Add themed style to the bedroom with this Jeminise quilt set featuring Cream vintage-style Christmas quilt with a decorated tree, wrapped gifts, ornate border and matching pillow sham. The artwork is shown across the main bedding mockup and coordinated pillow or sham images where included.&lt;/p&gt;&lt;h3&gt;Design Details&lt;/h3&gt;&lt;ul&gt;&lt;li&gt;Artwork focus: Cream vintage-style Christmas quilt with a decorated tree, wrapped gifts, ornate border and matching pillow sham.&lt;/li&gt;&lt;li&gt;Gallery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2" s="2" t="inlineStr">
        <is>
          <t>R2 đã bỏ câu nội bộ nhưng nội dung vẫn là template chung và bỏ qua nhiều dữ kiện mua hàng đã xác minh.</t>
        </is>
      </c>
      <c r="H32" s="2" t="inlineStr">
        <is>
          <t>Description chưa đủ cụ thể để xuất bản và không giải thích đầy đủ cấu hình quilt/sham hoặc personalization khi có.</t>
        </is>
      </c>
      <c r="I32" s="2" t="inlineStr">
        <is>
          <t>Rewrite as product-specific English HTML using verified design, dimensions, included/optional shams and the actual Customizer behavior.</t>
        </is>
      </c>
      <c r="J32" s="2" t="inlineStr">
        <is>
          <t>evidence_batch_003_028; https://jeminise.com/products/christmas-bedding-quilt-soft-microfiber-holiday-bedspread</t>
        </is>
      </c>
      <c r="K32" s="2" t="inlineStr">
        <is>
          <t>Render the full HTML and verify every claim against live/gallery evidence.</t>
        </is>
      </c>
    </row>
    <row r="33" ht="84" customHeight="1">
      <c r="A33" s="3" t="inlineStr">
        <is>
          <t>ISS-028-ENC</t>
        </is>
      </c>
      <c r="B33" s="3" t="inlineStr">
        <is>
          <t>jeminise.com+christmas-bedding-quilt-soft-microfiber-holiday-bedspread</t>
        </is>
      </c>
      <c r="C33" s="3" t="inlineStr"/>
      <c r="D33" s="3" t="inlineStr">
        <is>
          <t>MINOR</t>
        </is>
      </c>
      <c r="E33" s="3" t="inlineStr">
        <is>
          <t>title_current/H1_current</t>
        </is>
      </c>
      <c r="F33" s="3" t="inlineStr">
        <is>
          <t>Christmas Bedding Quilt – Soft Microfiber Holiday Bedspread</t>
        </is>
      </c>
      <c r="G33" s="3" t="inlineStr">
        <is>
          <t>Christmas Bedding Quilt – Soft Microfiber Holiday Bedspread</t>
        </is>
      </c>
      <c r="H33" s="3" t="inlineStr">
        <is>
          <t>Title/H1 live chứa ký tự thay thế U+FFFD và từ Bedsprea bị cắt.</t>
        </is>
      </c>
      <c r="I33" s="3" t="inlineStr">
        <is>
          <t>Vintage Christmas Tree Quilt Set</t>
        </is>
      </c>
      <c r="J33" s="3" t="inlineStr">
        <is>
          <t>https://jeminise.com/products/christmas-bedding-quilt-soft-microfiber-holiday-bedspread</t>
        </is>
      </c>
      <c r="K33" s="3" t="inlineStr">
        <is>
          <t>Rendered title and H1 no longer contain U+FFFD or truncated words.</t>
        </is>
      </c>
    </row>
    <row r="34" ht="84" customHeight="1">
      <c r="A34" s="2" t="inlineStr">
        <is>
          <t>R2-ISS-029-DESC</t>
        </is>
      </c>
      <c r="B34" s="2" t="inlineStr">
        <is>
          <t>jeminise.com+christmas-cardinal-on-branch-within-patchwork-winter-quilt-892d70543a-892d70543a</t>
        </is>
      </c>
      <c r="C34" s="2" t="inlineStr"/>
      <c r="D34" s="2" t="inlineStr">
        <is>
          <t>MAJOR</t>
        </is>
      </c>
      <c r="E34" s="2" t="inlineStr">
        <is>
          <t>description_proposed_html</t>
        </is>
      </c>
      <c r="F34" s="2" t="inlineStr">
        <is>
          <t>&lt;p&gt;Add themed style to the bedroom with this Jeminise quilt set featuring Christmas patchwork quilt with a red cardinal, I am Always With You text, red flowers, bells, hearts and berries. The artwork is shown across the main bedding mockup and coordinated pillow or sham images where included.&lt;/p&gt;&lt;h3&gt;Design Details&lt;/h3&gt;&lt;ul&gt;&lt;li&gt;Artwork focus: Christmas patchwork quilt with a red cardinal, I am Always With You text, red flowers, bells, hearts and berries.&lt;/li&gt;&lt;li&gt;Gallery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4" s="2" t="inlineStr">
        <is>
          <t>R2 đã bỏ câu nội bộ nhưng nội dung vẫn là template chung và bỏ qua nhiều dữ kiện mua hàng đã xác minh.</t>
        </is>
      </c>
      <c r="H34" s="2" t="inlineStr">
        <is>
          <t>Description chưa đủ cụ thể để xuất bản và không giải thích đầy đủ cấu hình quilt/sham hoặc personalization khi có.</t>
        </is>
      </c>
      <c r="I34" s="2" t="inlineStr">
        <is>
          <t>Rewrite as product-specific English HTML using verified design, dimensions, included/optional shams and the actual Customizer behavior.</t>
        </is>
      </c>
      <c r="J34" s="2" t="inlineStr">
        <is>
          <t>evidence_batch_003_029; https://jeminise.com/products/christmas-cardinal-on-branch-within-patchwork-winter-quilt-892d70543a-892d70543a</t>
        </is>
      </c>
      <c r="K34" s="2" t="inlineStr">
        <is>
          <t>Render the full HTML and verify every claim against live/gallery evidence.</t>
        </is>
      </c>
    </row>
    <row r="35" ht="84" customHeight="1">
      <c r="A35" s="3" t="inlineStr">
        <is>
          <t>R2-ISS-030-DESC</t>
        </is>
      </c>
      <c r="B35" s="3" t="inlineStr">
        <is>
          <t>jeminise.com+christmas-cardinal-perched-on-branch-within-wreath-patchwork-winter-quilt-9e7c0b5896-9e7c0b5896</t>
        </is>
      </c>
      <c r="C35" s="3" t="inlineStr"/>
      <c r="D35" s="3" t="inlineStr">
        <is>
          <t>MAJOR</t>
        </is>
      </c>
      <c r="E35" s="3" t="inlineStr">
        <is>
          <t>description_proposed_html</t>
        </is>
      </c>
      <c r="F35" s="3" t="inlineStr">
        <is>
          <t>&lt;p&gt;Add themed style to the bedroom with this Jeminise quilt set featuring Christmas quilt with the name Sophia, red cardinal, pine branches, berries, pinecones and matching sham. The artwork is shown across the main bedding mockup and coordinated pillow or sham images where included.&lt;/p&gt;&lt;h3&gt;Design Details&lt;/h3&gt;&lt;ul&gt;&lt;li&gt;Artwork focus: Christmas quilt with the name Sophia, red cardinal, pine branches, berries, pinecones and matching sham.&lt;/li&gt;&lt;li&gt;Gallery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5" s="3" t="inlineStr">
        <is>
          <t>R2 đã bỏ câu nội bộ nhưng nội dung vẫn là template chung và bỏ qua nhiều dữ kiện mua hàng đã xác minh.</t>
        </is>
      </c>
      <c r="H35" s="3" t="inlineStr">
        <is>
          <t>Description chưa đủ cụ thể để xuất bản và không giải thích đầy đủ cấu hình quilt/sham hoặc personalization khi có.</t>
        </is>
      </c>
      <c r="I35" s="3" t="inlineStr">
        <is>
          <t>Rewrite as product-specific English HTML using verified design, dimensions, included/optional shams and the actual Customizer behavior.</t>
        </is>
      </c>
      <c r="J35" s="3" t="inlineStr">
        <is>
          <t>evidence_batch_003_030; https://jeminise.com/products/christmas-cardinal-perched-on-branch-within-wreath-patchwork-winter-quilt-9e7c0b5896-9e7c0b5896</t>
        </is>
      </c>
      <c r="K35" s="3" t="inlineStr">
        <is>
          <t>Render the full HTML and verify every claim against live/gallery evidence.</t>
        </is>
      </c>
    </row>
    <row r="36" ht="84" customHeight="1">
      <c r="A36" s="2" t="inlineStr">
        <is>
          <t>R2-ISS-021-PERS</t>
        </is>
      </c>
      <c r="B36" s="2" t="inlineStr">
        <is>
          <t>jeminise.com+christmas-bedding-quilt-soft-microfiber-holiday-bedsprea-design-05</t>
        </is>
      </c>
      <c r="C36" s="2" t="inlineStr"/>
      <c r="D36" s="2" t="inlineStr">
        <is>
          <t>MAJOR</t>
        </is>
      </c>
      <c r="E36" s="2" t="inlineStr">
        <is>
          <t>personalization/Customizer mapping</t>
        </is>
      </c>
      <c r="F36" s="2" t="inlineStr">
        <is>
          <t>Personalization omitted from SEO copy</t>
        </is>
      </c>
      <c r="G36" s="2" t="inlineStr">
        <is>
          <t>Live Customizer exposes optional `Custom Your Name` text, 1–200 characters.</t>
        </is>
      </c>
      <c r="H36" s="2" t="inlineStr">
        <is>
          <t>R2 omits a verified purchase option and gives no condition for leaving the field blank.</t>
        </is>
      </c>
      <c r="I36" s="2" t="inlineStr">
        <is>
          <t>Add concise English copy explaining that a custom name is optional and verify fulfillment mapping before approval.</t>
        </is>
      </c>
      <c r="J36" s="2" t="inlineStr">
        <is>
          <t>https://jeminise.com/products/christmas-bedding-quilt-soft-microfiber-holiday-bedsprea-design-05; customizer_audit.json</t>
        </is>
      </c>
      <c r="K36" s="2" t="inlineStr">
        <is>
          <t>Customizer input and revised wording agree on label, optional status and limits.</t>
        </is>
      </c>
    </row>
    <row r="37" ht="84" customHeight="1">
      <c r="A37" s="3" t="inlineStr">
        <is>
          <t>R2-ISS-022-PERS</t>
        </is>
      </c>
      <c r="B37" s="3" t="inlineStr">
        <is>
          <t>jeminise.com+christmas-bedding-quilt-soft-microfiber-holiday-bedsprea-design-06</t>
        </is>
      </c>
      <c r="C37" s="3" t="inlineStr"/>
      <c r="D37" s="3" t="inlineStr">
        <is>
          <t>MAJOR</t>
        </is>
      </c>
      <c r="E37" s="3" t="inlineStr">
        <is>
          <t>personalization/Customizer mapping</t>
        </is>
      </c>
      <c r="F37" s="3" t="inlineStr">
        <is>
          <t>Personalization omitted from SEO copy</t>
        </is>
      </c>
      <c r="G37" s="3" t="inlineStr">
        <is>
          <t>Live Customizer exposes optional `Custom Your Name` text, 1–200 characters.</t>
        </is>
      </c>
      <c r="H37" s="3" t="inlineStr">
        <is>
          <t>R2 omits a verified purchase option and gives no condition for leaving the field blank.</t>
        </is>
      </c>
      <c r="I37" s="3" t="inlineStr">
        <is>
          <t>Add concise English copy explaining that a custom name is optional and verify fulfillment mapping before approval.</t>
        </is>
      </c>
      <c r="J37" s="3" t="inlineStr">
        <is>
          <t>https://jeminise.com/products/christmas-bedding-quilt-soft-microfiber-holiday-bedsprea-design-06; customizer_audit.json</t>
        </is>
      </c>
      <c r="K37" s="3" t="inlineStr">
        <is>
          <t>Customizer input and revised wording agree on label, optional status and limits.</t>
        </is>
      </c>
    </row>
    <row r="38" ht="84" customHeight="1">
      <c r="A38" s="2" t="inlineStr">
        <is>
          <t>R2-ISS-023-PERS</t>
        </is>
      </c>
      <c r="B38" s="2" t="inlineStr">
        <is>
          <t>jeminise.com+christmas-bedding-quilt-soft-microfiber-holiday-bedsprea-design-08</t>
        </is>
      </c>
      <c r="C38" s="2" t="inlineStr"/>
      <c r="D38" s="2" t="inlineStr">
        <is>
          <t>MAJOR</t>
        </is>
      </c>
      <c r="E38" s="2" t="inlineStr">
        <is>
          <t>personalization/Customizer mapping</t>
        </is>
      </c>
      <c r="F38" s="2" t="inlineStr">
        <is>
          <t>Personalization omitted from SEO copy</t>
        </is>
      </c>
      <c r="G38" s="2" t="inlineStr">
        <is>
          <t>Live Customizer exposes optional `Custom Your Name` text, 1–200 characters.</t>
        </is>
      </c>
      <c r="H38" s="2" t="inlineStr">
        <is>
          <t>R2 omits a verified purchase option and gives no condition for leaving the field blank.</t>
        </is>
      </c>
      <c r="I38" s="2" t="inlineStr">
        <is>
          <t>Add concise English copy explaining that a custom name is optional and verify fulfillment mapping before approval.</t>
        </is>
      </c>
      <c r="J38" s="2" t="inlineStr">
        <is>
          <t>https://jeminise.com/products/christmas-bedding-quilt-soft-microfiber-holiday-bedsprea-design-08; customizer_audit.json</t>
        </is>
      </c>
      <c r="K38" s="2" t="inlineStr">
        <is>
          <t>Customizer input and revised wording agree on label, optional status and limits.</t>
        </is>
      </c>
    </row>
    <row r="39" ht="84" customHeight="1">
      <c r="A39" s="3" t="inlineStr">
        <is>
          <t>R2-ISS-024-PERS</t>
        </is>
      </c>
      <c r="B39" s="3" t="inlineStr">
        <is>
          <t>jeminise.com+christmas-bedding-quilt-soft-microfiber-holiday-bedsprea-design-09</t>
        </is>
      </c>
      <c r="C39" s="3" t="inlineStr"/>
      <c r="D39" s="3" t="inlineStr">
        <is>
          <t>MAJOR</t>
        </is>
      </c>
      <c r="E39" s="3" t="inlineStr">
        <is>
          <t>personalization/Customizer mapping</t>
        </is>
      </c>
      <c r="F39" s="3" t="inlineStr">
        <is>
          <t>Personalization omitted from SEO copy</t>
        </is>
      </c>
      <c r="G39" s="3" t="inlineStr">
        <is>
          <t>Live Customizer exposes optional `Custom Your Name` text, 1–200 characters.</t>
        </is>
      </c>
      <c r="H39" s="3" t="inlineStr">
        <is>
          <t>R2 omits a verified purchase option and gives no condition for leaving the field blank.</t>
        </is>
      </c>
      <c r="I39" s="3" t="inlineStr">
        <is>
          <t>Add concise English copy explaining that a custom name is optional and verify fulfillment mapping before approval.</t>
        </is>
      </c>
      <c r="J39" s="3" t="inlineStr">
        <is>
          <t>https://jeminise.com/products/christmas-bedding-quilt-soft-microfiber-holiday-bedsprea-design-09; customizer_audit.json</t>
        </is>
      </c>
      <c r="K39" s="3" t="inlineStr">
        <is>
          <t>Customizer input and revised wording agree on label, optional status and limits.</t>
        </is>
      </c>
    </row>
    <row r="40" ht="84" customHeight="1">
      <c r="A40" s="2" t="inlineStr">
        <is>
          <t>R2-ISS-025-PERS</t>
        </is>
      </c>
      <c r="B40" s="2" t="inlineStr">
        <is>
          <t>jeminise.com+christmas-bedding-quilt-soft-microfiber-holiday-bedsprea-design-10</t>
        </is>
      </c>
      <c r="C40" s="2" t="inlineStr"/>
      <c r="D40" s="2" t="inlineStr">
        <is>
          <t>MAJOR</t>
        </is>
      </c>
      <c r="E40" s="2" t="inlineStr">
        <is>
          <t>personalization/Customizer mapping</t>
        </is>
      </c>
      <c r="F40" s="2" t="inlineStr">
        <is>
          <t>Personalization omitted from SEO copy</t>
        </is>
      </c>
      <c r="G40" s="2" t="inlineStr">
        <is>
          <t>Live Customizer exposes optional `Custom Your Name` text, 1–200 characters.</t>
        </is>
      </c>
      <c r="H40" s="2" t="inlineStr">
        <is>
          <t>R2 omits a verified purchase option and gives no condition for leaving the field blank.</t>
        </is>
      </c>
      <c r="I40" s="2" t="inlineStr">
        <is>
          <t>Add concise English copy explaining that a custom name is optional and verify fulfillment mapping before approval.</t>
        </is>
      </c>
      <c r="J40" s="2" t="inlineStr">
        <is>
          <t>https://jeminise.com/products/christmas-bedding-quilt-soft-microfiber-holiday-bedsprea-design-10; customizer_audit.json</t>
        </is>
      </c>
      <c r="K40" s="2" t="inlineStr">
        <is>
          <t>Customizer input and revised wording agree on label, optional status and limits.</t>
        </is>
      </c>
    </row>
    <row r="41" ht="84" customHeight="1">
      <c r="A41" s="3" t="inlineStr">
        <is>
          <t>R2-ISS-026-PERS</t>
        </is>
      </c>
      <c r="B41" s="3" t="inlineStr">
        <is>
          <t>jeminise.com+christmas-bedding-quilt-soft-microfiber-holiday-bedsprea-design-11</t>
        </is>
      </c>
      <c r="C41" s="3" t="inlineStr"/>
      <c r="D41" s="3" t="inlineStr">
        <is>
          <t>MAJOR</t>
        </is>
      </c>
      <c r="E41" s="3" t="inlineStr">
        <is>
          <t>personalization/Customizer mapping</t>
        </is>
      </c>
      <c r="F41" s="3" t="inlineStr">
        <is>
          <t>Personalization omitted from SEO copy</t>
        </is>
      </c>
      <c r="G41" s="3" t="inlineStr">
        <is>
          <t>Live Customizer exposes optional `Custom Your Name` text, 1–200 characters.</t>
        </is>
      </c>
      <c r="H41" s="3" t="inlineStr">
        <is>
          <t>R2 omits a verified purchase option and gives no condition for leaving the field blank.</t>
        </is>
      </c>
      <c r="I41" s="3" t="inlineStr">
        <is>
          <t>Add concise English copy explaining that a custom name is optional and verify fulfillment mapping before approval.</t>
        </is>
      </c>
      <c r="J41" s="3" t="inlineStr">
        <is>
          <t>https://jeminise.com/products/christmas-bedding-quilt-soft-microfiber-holiday-bedsprea-design-11; customizer_audit.json</t>
        </is>
      </c>
      <c r="K41" s="3" t="inlineStr">
        <is>
          <t>Customizer input and revised wording agree on label, optional status and limits.</t>
        </is>
      </c>
    </row>
    <row r="42" ht="84" customHeight="1">
      <c r="A42" s="2" t="inlineStr">
        <is>
          <t>R2-ISS-027-PERS</t>
        </is>
      </c>
      <c r="B42" s="2" t="inlineStr">
        <is>
          <t>jeminise.com+christmas-bedding-quilt-soft-microfiber-holiday-bedsprea-design-12</t>
        </is>
      </c>
      <c r="C42" s="2" t="inlineStr"/>
      <c r="D42" s="2" t="inlineStr">
        <is>
          <t>MAJOR</t>
        </is>
      </c>
      <c r="E42" s="2" t="inlineStr">
        <is>
          <t>personalization/Customizer mapping</t>
        </is>
      </c>
      <c r="F42" s="2" t="inlineStr">
        <is>
          <t>Personalization omitted from SEO copy</t>
        </is>
      </c>
      <c r="G42" s="2" t="inlineStr">
        <is>
          <t>Live Customizer exposes optional `Custom Your Name` text, 1–200 characters.</t>
        </is>
      </c>
      <c r="H42" s="2" t="inlineStr">
        <is>
          <t>R2 omits a verified purchase option and gives no condition for leaving the field blank.</t>
        </is>
      </c>
      <c r="I42" s="2" t="inlineStr">
        <is>
          <t>Add concise English copy explaining that a custom name is optional and verify fulfillment mapping before approval.</t>
        </is>
      </c>
      <c r="J42" s="2" t="inlineStr">
        <is>
          <t>https://jeminise.com/products/christmas-bedding-quilt-soft-microfiber-holiday-bedsprea-design-12; customizer_audit.json</t>
        </is>
      </c>
      <c r="K42" s="2" t="inlineStr">
        <is>
          <t>Customizer input and revised wording agree on label, optional status and limits.</t>
        </is>
      </c>
    </row>
    <row r="43" ht="84" customHeight="1">
      <c r="A43" s="3" t="inlineStr">
        <is>
          <t>R2-ISS-028-PERS</t>
        </is>
      </c>
      <c r="B43" s="3" t="inlineStr">
        <is>
          <t>jeminise.com+christmas-bedding-quilt-soft-microfiber-holiday-bedspread</t>
        </is>
      </c>
      <c r="C43" s="3" t="inlineStr"/>
      <c r="D43" s="3" t="inlineStr">
        <is>
          <t>MAJOR</t>
        </is>
      </c>
      <c r="E43" s="3" t="inlineStr">
        <is>
          <t>personalization/Customizer mapping</t>
        </is>
      </c>
      <c r="F43" s="3" t="inlineStr">
        <is>
          <t>Personalization omitted from SEO copy</t>
        </is>
      </c>
      <c r="G43" s="3" t="inlineStr">
        <is>
          <t>Live Customizer exposes optional `Custom Your Name` text, 1–200 characters.</t>
        </is>
      </c>
      <c r="H43" s="3" t="inlineStr">
        <is>
          <t>R2 omits a verified purchase option and gives no condition for leaving the field blank.</t>
        </is>
      </c>
      <c r="I43" s="3" t="inlineStr">
        <is>
          <t>Add concise English copy explaining that a custom name is optional and verify fulfillment mapping before approval.</t>
        </is>
      </c>
      <c r="J43" s="3" t="inlineStr">
        <is>
          <t>https://jeminise.com/products/christmas-bedding-quilt-soft-microfiber-holiday-bedspread; customizer_audit.json</t>
        </is>
      </c>
      <c r="K43" s="3" t="inlineStr">
        <is>
          <t>Customizer input and revised wording agree on label, optional status and limits.</t>
        </is>
      </c>
    </row>
    <row r="44" ht="84" customHeight="1">
      <c r="A44" s="2" t="inlineStr">
        <is>
          <t>R2-ISS-030-PERS</t>
        </is>
      </c>
      <c r="B44" s="2" t="inlineStr">
        <is>
          <t>jeminise.com+christmas-cardinal-perched-on-branch-within-wreath-patchwork-winter-quilt-9e7c0b5896-9e7c0b5896</t>
        </is>
      </c>
      <c r="C44" s="2" t="inlineStr"/>
      <c r="D44" s="2" t="inlineStr">
        <is>
          <t>MAJOR</t>
        </is>
      </c>
      <c r="E44" s="2" t="inlineStr">
        <is>
          <t>description/image personalization wording</t>
        </is>
      </c>
      <c r="F44" s="2" t="inlineStr">
        <is>
          <t>Christmas quilt with the name Sophia</t>
        </is>
      </c>
      <c r="G44" s="2" t="inlineStr">
        <is>
          <t>Gallery shows sample text Sophia, but live Customizer contains no personalization node.</t>
        </is>
      </c>
      <c r="H44" s="2" t="inlineStr">
        <is>
          <t>Copy may imply a configurable name although the live purchase flow does not accept one.</t>
        </is>
      </c>
      <c r="I44" s="2" t="inlineStr">
        <is>
          <t>Describe Sophia explicitly as sample artwork or restore and prove a working name input before using personalized/custom wording.</t>
        </is>
      </c>
      <c r="J44" s="2" t="inlineStr">
        <is>
          <t>https://jeminise.com/products/christmas-cardinal-perched-on-branch-within-wreath-patchwork-winter-quilt-9e7c0b5896-9e7c0b5896; customizer_audit.json; direct images</t>
        </is>
      </c>
      <c r="K44" s="2" t="inlineStr">
        <is>
          <t>Live purchase flow and all SEO/image wording agree on whether the name is editable.</t>
        </is>
      </c>
    </row>
    <row r="45" ht="84" customHeight="1">
      <c r="A45" s="3" t="inlineStr">
        <is>
          <t>R2-ISS-025-DESIGN</t>
        </is>
      </c>
      <c r="B45" s="3" t="inlineStr">
        <is>
          <t>jeminise.com+christmas-bedding-quilt-soft-microfiber-holiday-bedsprea-design-10</t>
        </is>
      </c>
      <c r="C45" s="3" t="inlineStr"/>
      <c r="D45" s="3" t="inlineStr">
        <is>
          <t>CRITICAL</t>
        </is>
      </c>
      <c r="E45" s="3" t="inlineStr">
        <is>
          <t>primary_keyword/title/meta/alt</t>
        </is>
      </c>
      <c r="F45" s="3" t="inlineStr">
        <is>
          <t>red gingerbread Christmas quilt | Red gingerbread figure and Cardinal Christmas Quilt</t>
        </is>
      </c>
      <c r="G45" s="3" t="inlineStr">
        <is>
          <t>Front bedroom mockup of a red Christmas quilt with a snowman, cardinal birds, pine trees and holly.</t>
        </is>
      </c>
      <c r="H45" s="3" t="inlineStr">
        <is>
          <t>R2 identifies visible snowmen as gingerbread figures, changing the motif and search intent.</t>
        </is>
      </c>
      <c r="I45" s="3" t="inlineStr">
        <is>
          <t>Rewrite the primary keyword, SEO title, H1 and affected alt text around snowman/cardinal Christmas quilt intent.</t>
        </is>
      </c>
      <c r="J45" s="3" t="inlineStr">
        <is>
          <t>https://jeminise.com/products/christmas-bedding-quilt-soft-microfiber-holiday-bedsprea-design-10; direct images 1-5</t>
        </is>
      </c>
      <c r="K45" s="3" t="inlineStr">
        <is>
          <t>Every dependent field identifies the visible snowman design consistently.</t>
        </is>
      </c>
    </row>
    <row r="46" ht="84" customHeight="1">
      <c r="A46" s="2" t="inlineStr">
        <is>
          <t>R2-ISS-027-DESIGN</t>
        </is>
      </c>
      <c r="B46" s="2" t="inlineStr">
        <is>
          <t>jeminise.com+christmas-bedding-quilt-soft-microfiber-holiday-bedsprea-design-12</t>
        </is>
      </c>
      <c r="C46" s="2" t="inlineStr"/>
      <c r="D46" s="2" t="inlineStr">
        <is>
          <t>CRITICAL</t>
        </is>
      </c>
      <c r="E46" s="2" t="inlineStr">
        <is>
          <t>primary_keyword/title/meta/alt</t>
        </is>
      </c>
      <c r="F46" s="2" t="inlineStr">
        <is>
          <t>gingerbread figure cardinal Christmas quilt | gingerbread figure and Cardinal Christmas Quilt Set</t>
        </is>
      </c>
      <c r="G46" s="2" t="inlineStr">
        <is>
          <t>Front bedroom mockup of a deep-red Christmas quilt with two snowmen, a red cardinal, a brown cardinal and pine greenery.</t>
        </is>
      </c>
      <c r="H46" s="2" t="inlineStr">
        <is>
          <t>R2 identifies visible snowmen as gingerbread figures, changing the motif and search intent.</t>
        </is>
      </c>
      <c r="I46" s="2" t="inlineStr">
        <is>
          <t>Rewrite the primary keyword, SEO title, H1 and affected alt text around snowman/cardinal Christmas quilt intent.</t>
        </is>
      </c>
      <c r="J46" s="2" t="inlineStr">
        <is>
          <t>https://jeminise.com/products/christmas-bedding-quilt-soft-microfiber-holiday-bedsprea-design-12; direct images 1-5</t>
        </is>
      </c>
      <c r="K46" s="2" t="inlineStr">
        <is>
          <t>Every dependent field identifies the visible snowman design consistently.</t>
        </is>
      </c>
    </row>
    <row r="47" ht="84" customHeight="1">
      <c r="A47" s="3" t="inlineStr">
        <is>
          <t>R2-ISS-021-SERP</t>
        </is>
      </c>
      <c r="B47" s="3" t="inlineStr">
        <is>
          <t>jeminise.com+christmas-bedding-quilt-soft-microfiber-holiday-bedsprea-design-05</t>
        </is>
      </c>
      <c r="C47" s="3" t="inlineStr"/>
      <c r="D47" s="3" t="inlineStr">
        <is>
          <t>MAJOR</t>
        </is>
      </c>
      <c r="E47" s="3" t="inlineStr">
        <is>
          <t>keyword/SERP evidence</t>
        </is>
      </c>
      <c r="F47" s="3" t="inlineStr">
        <is>
          <t>gingerbread candy cane quilt set</t>
        </is>
      </c>
      <c r="G47" s="3" t="inlineStr">
        <is>
          <t>Primary results skew toward downloadable patterns/kits; the closest finished bedding result validates candy-cane quilt intent but not the full exact phrase.</t>
        </is>
      </c>
      <c r="H47" s="3" t="inlineStr">
        <is>
          <t>SERP supports the motif only partially and does not cleanly validate the selected finished-product phrase.</t>
        </is>
      </c>
      <c r="I47" s="3" t="inlineStr">
        <is>
          <t>Use current US finished-bedding product SERPs or retain SERP_ONLY with narrower claims and explicit limitation.</t>
        </is>
      </c>
      <c r="J47" s="3" t="inlineStr">
        <is>
          <t>[["gingerbread candy cane quilt set", ["https://www.target.com/p/-/A-94992227"]], ["gingerbread Christmas quilt set", ["https://www.potterybarnkids.com/products/gingerbread-quilt/"]]]</t>
        </is>
      </c>
      <c r="K47" s="3" t="inlineStr">
        <is>
          <t>Two current product SERPs support the exact motif and quilt-set intent.</t>
        </is>
      </c>
    </row>
    <row r="48" ht="84" customHeight="1">
      <c r="A48" s="2" t="inlineStr">
        <is>
          <t>R2-ISS-023-SERP</t>
        </is>
      </c>
      <c r="B48" s="2" t="inlineStr">
        <is>
          <t>jeminise.com+christmas-bedding-quilt-soft-microfiber-holiday-bedsprea-design-08</t>
        </is>
      </c>
      <c r="C48" s="2" t="inlineStr"/>
      <c r="D48" s="2" t="inlineStr">
        <is>
          <t>MAJOR</t>
        </is>
      </c>
      <c r="E48" s="2" t="inlineStr">
        <is>
          <t>keyword/SERP evidence</t>
        </is>
      </c>
      <c r="F48" s="2" t="inlineStr">
        <is>
          <t>winter cardinal quilt set</t>
        </is>
      </c>
      <c r="G48" s="2" t="inlineStr">
        <is>
          <t>Primary results mix quilt kits/digital designs with finished bedding; birdhouse specificity is visually accurate but commercial product-type evidence is incomplete.</t>
        </is>
      </c>
      <c r="H48" s="2" t="inlineStr">
        <is>
          <t>SERP supports the motif only partially and does not cleanly validate the selected finished-product phrase.</t>
        </is>
      </c>
      <c r="I48" s="2" t="inlineStr">
        <is>
          <t>Use current US finished-bedding product SERPs or retain SERP_ONLY with narrower claims and explicit limitation.</t>
        </is>
      </c>
      <c r="J48" s="2" t="inlineStr">
        <is>
          <t>[["winter cardinal birdhouse quilt set", ["https://www.walmart.com/ip/405776273"]], ["cardinal winter bedding quilt", ["https://www.wayfair.com/bed-bath/pdp/james-home-holiday-cardinal-reversible-bedding-quilt-set-w100620099.html"]]]</t>
        </is>
      </c>
      <c r="K48" s="2" t="inlineStr">
        <is>
          <t>Two current product SERPs support the exact motif and quilt-set intent.</t>
        </is>
      </c>
    </row>
    <row r="49" ht="84" customHeight="1">
      <c r="A49" s="3" t="inlineStr">
        <is>
          <t>R2-ISS-GLOBAL-ADMIN</t>
        </is>
      </c>
      <c r="B49" s="3" t="inlineStr"/>
      <c r="C49" s="3" t="inlineStr"/>
      <c r="D49" s="3" t="inlineStr">
        <is>
          <t>LIMITATION</t>
        </is>
      </c>
      <c r="E49" s="3" t="inlineStr">
        <is>
          <t>current admin SEO fields/current admin alt</t>
        </is>
      </c>
      <c r="F49" s="3" t="inlineStr">
        <is>
          <t>Not supplied</t>
        </is>
      </c>
      <c r="G49" s="3" t="inlineStr">
        <is>
          <t>Storefront metadata and product.js media alt were readable, but no Shopify admin export was provided.</t>
        </is>
      </c>
      <c r="H49" s="3" t="inlineStr">
        <is>
          <t>Storefront values cannot prove current admin fields or future import mapping.</t>
        </is>
      </c>
      <c r="I49" s="3" t="inlineStr">
        <is>
          <t>Provide a frozen Shopify admin/export snapshot before approval or import mapping.</t>
        </is>
      </c>
      <c r="J49" s="3" t="inlineStr">
        <is>
          <t>D:\Shopify_Workspace\jeminise_seo\resutls\jeminise.com\20260906_234129\revisions\qa_batch_003_r2\SEO_Product_Optimization_qa_batch_003_r2.xlsx</t>
        </is>
      </c>
      <c r="K49" s="3" t="inlineStr">
        <is>
          <t>Admin export revision and hash are frozen and compared to storefront/workbook.</t>
        </is>
      </c>
    </row>
  </sheetData>
  <autoFilter ref="A1:K49"/>
  <conditionalFormatting sqref="D2:D49">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2026-09-07T07:36:50Z</dcterms:created>
  <dcterms:modified xmlns:dcterms="http://purl.org/dc/terms/" xmlns:xsi="http://www.w3.org/2001/XMLSchema-instance" xsi:type="dcterms:W3CDTF">2026-09-07T07:36:50Z</dcterms:modified>
</cp:coreProperties>
</file>