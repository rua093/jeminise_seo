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'QA_Images'!$A$1:$X$58</definedName>
    <definedName name="_xlnm.Print_Titles" localSheetId="3">'QA_Images'!$1:$1</definedName>
    <definedName name="_xlnm._FilterDatabase" localSheetId="4" hidden="1">'QA_Issues'!$A$1:$K$11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fantasy-fire-dragon-comforter-set-with-glowing-lava-and-bedroom-setting-c7ca9ae893-c7ca9ae893" TargetMode="External" Id="rId1"/><Relationship Type="http://schemas.openxmlformats.org/officeDocument/2006/relationships/hyperlink" Target="https://jeminise.com/products/fantasy-mythical-dragon-comforter-set-with-winged-dragon-and-bedroom-setting-bcfc28e9d3-bcfc28e9d3" TargetMode="External" Id="rId2"/><Relationship Type="http://schemas.openxmlformats.org/officeDocument/2006/relationships/hyperlink" Target="https://jeminise.com/products/fantasy-nature-tree-of-life-quilt-set-with-entwined-golden-roots-and-bedroom-setting-9ad124a9ad-9ad124a9ad" TargetMode="External" Id="rId3"/><Relationship Type="http://schemas.openxmlformats.org/officeDocument/2006/relationships/hyperlink" Target="https://jeminise.com/products/fantasy-nature-tree-of-life-quilt-set-with-twisted-tree-trunk-and-bedroom-4dbc5a5b98-4dbc5a5b98" TargetMode="External" Id="rId4"/><Relationship Type="http://schemas.openxmlformats.org/officeDocument/2006/relationships/hyperlink" Target="https://jeminise.com/products/fantasy-comforter-set-with-dragon-and-bedroom-and-fire-and-spikes-9008eacaf3-9008eacaf3" TargetMode="External" Id="rId5"/><Relationship Type="http://schemas.openxmlformats.org/officeDocument/2006/relationships/hyperlink" Target="https://jeminise.com/products/fantasy-winged-dragon-comforter-set-with-starry-nebula-pattern-and-bedroom-setting-d228ce3712-d228ce3712" TargetMode="External" Id="rId6"/><Relationship Type="http://schemas.openxmlformats.org/officeDocument/2006/relationships/hyperlink" Target="https://jeminise.com/products/fantasy-winged-dragon-comforter-set-with-volcanic-eruption-and-bedroom-258009c125-258009c125" TargetMode="External" Id="rId7"/><Relationship Type="http://schemas.openxmlformats.org/officeDocument/2006/relationships/hyperlink" Target="https://jeminise.com/products/floral-nature-cardinal-within-ornate-oval-frame-patchwork-winter-quilt-88ef309589-88ef309589" TargetMode="External" Id="rId8"/><Relationship Type="http://schemas.openxmlformats.org/officeDocument/2006/relationships/hyperlink" Target="https://jeminise.com/products/folklore-tree-of-life-in-celtic-knot-quilt-40ab1f6113-40ab1f6113" TargetMode="External" Id="rId9"/><Relationship Type="http://schemas.openxmlformats.org/officeDocument/2006/relationships/hyperlink" Target="https://jeminise.com/products/fox-patchwork-pattern-quilt-set-animal-quilt-set-patchwork-style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c4d0fd722455bba238bd299b941b3a17d42c91a26bd18c6f1208c8a0c855db71.jpg?v=1785046575" TargetMode="External" Id="rId1"/><Relationship Type="http://schemas.openxmlformats.org/officeDocument/2006/relationships/hyperlink" Target="https://cdn.shopify.com/s/files/1/0792/5098/1063/files/c4d0fd722455bba238bd299b941b3a17d42c91a26bd18c6f1208c8a0c855db71.jpg?v=1785046575" TargetMode="External" Id="rId2"/><Relationship Type="http://schemas.openxmlformats.org/officeDocument/2006/relationships/hyperlink" Target="https://cdn.shopify.com/s/files/1/0792/5098/1063/files/f09df1eb9c381b597162462476a57f97246e4c07fc06b3d721f64d0bc64855de.jpg?v=1785046575" TargetMode="External" Id="rId3"/><Relationship Type="http://schemas.openxmlformats.org/officeDocument/2006/relationships/hyperlink" Target="https://cdn.shopify.com/s/files/1/0792/5098/1063/files/f09df1eb9c381b597162462476a57f97246e4c07fc06b3d721f64d0bc64855de.jpg?v=1785046575" TargetMode="External" Id="rId4"/><Relationship Type="http://schemas.openxmlformats.org/officeDocument/2006/relationships/hyperlink" Target="https://cdn.shopify.com/s/files/1/0792/5098/1063/files/b2c6bd3e9c7f7e57cdd3687e983bfe44375c5813193290cea46f99c5e92a94e5.jpg?v=1785046575" TargetMode="External" Id="rId5"/><Relationship Type="http://schemas.openxmlformats.org/officeDocument/2006/relationships/hyperlink" Target="https://cdn.shopify.com/s/files/1/0792/5098/1063/files/b2c6bd3e9c7f7e57cdd3687e983bfe44375c5813193290cea46f99c5e92a94e5.jpg?v=1785046575" TargetMode="External" Id="rId6"/><Relationship Type="http://schemas.openxmlformats.org/officeDocument/2006/relationships/hyperlink" Target="https://cdn.shopify.com/s/files/1/0792/5098/1063/files/fe57b5826ec2d6c98cd7be8065d8fa25e380acda4678fa02dd4184764eadd193.jpg?v=1785046575" TargetMode="External" Id="rId7"/><Relationship Type="http://schemas.openxmlformats.org/officeDocument/2006/relationships/hyperlink" Target="https://cdn.shopify.com/s/files/1/0792/5098/1063/files/fe57b5826ec2d6c98cd7be8065d8fa25e380acda4678fa02dd4184764eadd193.jpg?v=1785046575" TargetMode="External" Id="rId8"/><Relationship Type="http://schemas.openxmlformats.org/officeDocument/2006/relationships/hyperlink" Target="https://cdn.shopify.com/s/files/1/0792/5098/1063/files/13ca346a65b97208e6bea0169897bc90ded4dc1afe3b20713f75ccbb77634e18.jpg?v=1785046575" TargetMode="External" Id="rId9"/><Relationship Type="http://schemas.openxmlformats.org/officeDocument/2006/relationships/hyperlink" Target="https://cdn.shopify.com/s/files/1/0792/5098/1063/files/13ca346a65b97208e6bea0169897bc90ded4dc1afe3b20713f75ccbb77634e18.jpg?v=1785046575" TargetMode="External" Id="rId10"/><Relationship Type="http://schemas.openxmlformats.org/officeDocument/2006/relationships/hyperlink" Target="https://cdn.shopify.com/s/files/1/0792/5098/1063/files/eae477fdaa97e3fdca2ab3391d0017b16b984464bea16f0ed965f5f3ba5c7467.jpg?v=1785046274" TargetMode="External" Id="rId11"/><Relationship Type="http://schemas.openxmlformats.org/officeDocument/2006/relationships/hyperlink" Target="https://cdn.shopify.com/s/files/1/0792/5098/1063/files/eae477fdaa97e3fdca2ab3391d0017b16b984464bea16f0ed965f5f3ba5c7467.jpg?v=1785046274" TargetMode="External" Id="rId12"/><Relationship Type="http://schemas.openxmlformats.org/officeDocument/2006/relationships/hyperlink" Target="https://cdn.shopify.com/s/files/1/0792/5098/1063/files/c59f0eee835c7b4f3cb36fdf8e0d437e7b3f3e4e5e8ce957e4e83f61677ad5e4.jpg?v=1785046273" TargetMode="External" Id="rId13"/><Relationship Type="http://schemas.openxmlformats.org/officeDocument/2006/relationships/hyperlink" Target="https://cdn.shopify.com/s/files/1/0792/5098/1063/files/c59f0eee835c7b4f3cb36fdf8e0d437e7b3f3e4e5e8ce957e4e83f61677ad5e4.jpg?v=1785046273" TargetMode="External" Id="rId14"/><Relationship Type="http://schemas.openxmlformats.org/officeDocument/2006/relationships/hyperlink" Target="https://cdn.shopify.com/s/files/1/0792/5098/1063/files/c9684a0dee9fa97e8e6c03ccbe71405e116e4882e73c703dff22e1ddca95c88c.jpg?v=1785046273" TargetMode="External" Id="rId15"/><Relationship Type="http://schemas.openxmlformats.org/officeDocument/2006/relationships/hyperlink" Target="https://cdn.shopify.com/s/files/1/0792/5098/1063/files/c9684a0dee9fa97e8e6c03ccbe71405e116e4882e73c703dff22e1ddca95c88c.jpg?v=1785046273" TargetMode="External" Id="rId16"/><Relationship Type="http://schemas.openxmlformats.org/officeDocument/2006/relationships/hyperlink" Target="https://cdn.shopify.com/s/files/1/0792/5098/1063/files/707cd06e0b165da8d2e4821aef36d30ebc3f9b5fc6a484d9f07c0aff99c3dbbd.jpg?v=1785046273" TargetMode="External" Id="rId17"/><Relationship Type="http://schemas.openxmlformats.org/officeDocument/2006/relationships/hyperlink" Target="https://cdn.shopify.com/s/files/1/0792/5098/1063/files/707cd06e0b165da8d2e4821aef36d30ebc3f9b5fc6a484d9f07c0aff99c3dbbd.jpg?v=1785046273" TargetMode="External" Id="rId18"/><Relationship Type="http://schemas.openxmlformats.org/officeDocument/2006/relationships/hyperlink" Target="https://cdn.shopify.com/s/files/1/0792/5098/1063/files/89e1d45303a5c6161ad8d3ef6a05bdf3f647c4a7f35aa2be9df22b354c1dea8d.jpg?v=1785046273" TargetMode="External" Id="rId19"/><Relationship Type="http://schemas.openxmlformats.org/officeDocument/2006/relationships/hyperlink" Target="https://cdn.shopify.com/s/files/1/0792/5098/1063/files/89e1d45303a5c6161ad8d3ef6a05bdf3f647c4a7f35aa2be9df22b354c1dea8d.jpg?v=1785046273" TargetMode="External" Id="rId20"/><Relationship Type="http://schemas.openxmlformats.org/officeDocument/2006/relationships/hyperlink" Target="https://cdn.shopify.com/s/files/1/0792/5098/1063/files/e66d4264844973bf2fc3c9d45eddb2de13062133a35eb290dd2e57828457ae96.jpg?v=1785047641" TargetMode="External" Id="rId21"/><Relationship Type="http://schemas.openxmlformats.org/officeDocument/2006/relationships/hyperlink" Target="https://cdn.shopify.com/s/files/1/0792/5098/1063/files/e66d4264844973bf2fc3c9d45eddb2de13062133a35eb290dd2e57828457ae96.jpg?v=1785047641" TargetMode="External" Id="rId22"/><Relationship Type="http://schemas.openxmlformats.org/officeDocument/2006/relationships/hyperlink" Target="https://cdn.shopify.com/s/files/1/0792/5098/1063/files/66fae33da5e9f587f60cb41f931caedb4c51ead1b330fb858f8b88ea46f7e22d.jpg?v=1785047642" TargetMode="External" Id="rId23"/><Relationship Type="http://schemas.openxmlformats.org/officeDocument/2006/relationships/hyperlink" Target="https://cdn.shopify.com/s/files/1/0792/5098/1063/files/66fae33da5e9f587f60cb41f931caedb4c51ead1b330fb858f8b88ea46f7e22d.jpg?v=1785047642" TargetMode="External" Id="rId24"/><Relationship Type="http://schemas.openxmlformats.org/officeDocument/2006/relationships/hyperlink" Target="https://cdn.shopify.com/s/files/1/0792/5098/1063/files/154e0978960240ef894684873b01b7474acc167faf78b0a25dad3220dceea9ff.jpg?v=1785047641" TargetMode="External" Id="rId25"/><Relationship Type="http://schemas.openxmlformats.org/officeDocument/2006/relationships/hyperlink" Target="https://cdn.shopify.com/s/files/1/0792/5098/1063/files/154e0978960240ef894684873b01b7474acc167faf78b0a25dad3220dceea9ff.jpg?v=1785047641" TargetMode="External" Id="rId26"/><Relationship Type="http://schemas.openxmlformats.org/officeDocument/2006/relationships/hyperlink" Target="https://cdn.shopify.com/s/files/1/0792/5098/1063/files/dc2169ad0621c11be08d4052b8aa06015181b0f9bb4a084f774f76045a433ddb.jpg?v=1785047642" TargetMode="External" Id="rId27"/><Relationship Type="http://schemas.openxmlformats.org/officeDocument/2006/relationships/hyperlink" Target="https://cdn.shopify.com/s/files/1/0792/5098/1063/files/dc2169ad0621c11be08d4052b8aa06015181b0f9bb4a084f774f76045a433ddb.jpg?v=1785047642" TargetMode="External" Id="rId28"/><Relationship Type="http://schemas.openxmlformats.org/officeDocument/2006/relationships/hyperlink" Target="https://cdn.shopify.com/s/files/1/0792/5098/1063/files/dd282aa42023e7ee29bff2dd25def8381c9a39ffc4a562db905c1ab836c0958e.jpg?v=1785047642" TargetMode="External" Id="rId29"/><Relationship Type="http://schemas.openxmlformats.org/officeDocument/2006/relationships/hyperlink" Target="https://cdn.shopify.com/s/files/1/0792/5098/1063/files/dd282aa42023e7ee29bff2dd25def8381c9a39ffc4a562db905c1ab836c0958e.jpg?v=1785047642" TargetMode="External" Id="rId30"/><Relationship Type="http://schemas.openxmlformats.org/officeDocument/2006/relationships/hyperlink" Target="https://cdn.shopify.com/s/files/1/0792/5098/1063/files/cb81fbbd323502c328afba908d7ba84be8fa902b3586aba23f3ea630c44b5ece.jpg?v=1785047641" TargetMode="External" Id="rId31"/><Relationship Type="http://schemas.openxmlformats.org/officeDocument/2006/relationships/hyperlink" Target="https://cdn.shopify.com/s/files/1/0792/5098/1063/files/cb81fbbd323502c328afba908d7ba84be8fa902b3586aba23f3ea630c44b5ece.jpg?v=1785047641" TargetMode="External" Id="rId32"/><Relationship Type="http://schemas.openxmlformats.org/officeDocument/2006/relationships/hyperlink" Target="https://cdn.shopify.com/s/files/1/0792/5098/1063/files/312851c507c911ddebc26229bf4ed0a8b8b7d6c725a99e10af2eee1f0cb7d759.jpg?v=1785047641" TargetMode="External" Id="rId33"/><Relationship Type="http://schemas.openxmlformats.org/officeDocument/2006/relationships/hyperlink" Target="https://cdn.shopify.com/s/files/1/0792/5098/1063/files/312851c507c911ddebc26229bf4ed0a8b8b7d6c725a99e10af2eee1f0cb7d759.jpg?v=1785047641" TargetMode="External" Id="rId34"/><Relationship Type="http://schemas.openxmlformats.org/officeDocument/2006/relationships/hyperlink" Target="https://cdn.shopify.com/s/files/1/0792/5098/1063/files/a65d7ac7a8f7f7e983b00e3d7f2c80dfe5c3dfba4b2c5562d979b2867a75b9a9.jpg?v=1785047723" TargetMode="External" Id="rId35"/><Relationship Type="http://schemas.openxmlformats.org/officeDocument/2006/relationships/hyperlink" Target="https://cdn.shopify.com/s/files/1/0792/5098/1063/files/a65d7ac7a8f7f7e983b00e3d7f2c80dfe5c3dfba4b2c5562d979b2867a75b9a9.jpg?v=1785047723" TargetMode="External" Id="rId36"/><Relationship Type="http://schemas.openxmlformats.org/officeDocument/2006/relationships/hyperlink" Target="https://cdn.shopify.com/s/files/1/0792/5098/1063/files/cf5f5801d90563e2c233c5f25963a1eeec2b670e66c4877bf0ff16f96c95b625.jpg?v=1785047723" TargetMode="External" Id="rId37"/><Relationship Type="http://schemas.openxmlformats.org/officeDocument/2006/relationships/hyperlink" Target="https://cdn.shopify.com/s/files/1/0792/5098/1063/files/cf5f5801d90563e2c233c5f25963a1eeec2b670e66c4877bf0ff16f96c95b625.jpg?v=1785047723" TargetMode="External" Id="rId38"/><Relationship Type="http://schemas.openxmlformats.org/officeDocument/2006/relationships/hyperlink" Target="https://cdn.shopify.com/s/files/1/0792/5098/1063/files/883a02b119af28ef08b91bee6b79a0cf17aeb400df92b0e570b3092d246f2ce3.jpg?v=1785047723" TargetMode="External" Id="rId39"/><Relationship Type="http://schemas.openxmlformats.org/officeDocument/2006/relationships/hyperlink" Target="https://cdn.shopify.com/s/files/1/0792/5098/1063/files/883a02b119af28ef08b91bee6b79a0cf17aeb400df92b0e570b3092d246f2ce3.jpg?v=1785047723" TargetMode="External" Id="rId40"/><Relationship Type="http://schemas.openxmlformats.org/officeDocument/2006/relationships/hyperlink" Target="https://cdn.shopify.com/s/files/1/0792/5098/1063/files/e9a03d40e08a4d81e910a9631ec20e3ff087b7ec69c4256c8f010c8ef198e296.jpg?v=1785047723" TargetMode="External" Id="rId41"/><Relationship Type="http://schemas.openxmlformats.org/officeDocument/2006/relationships/hyperlink" Target="https://cdn.shopify.com/s/files/1/0792/5098/1063/files/e9a03d40e08a4d81e910a9631ec20e3ff087b7ec69c4256c8f010c8ef198e296.jpg?v=1785047723" TargetMode="External" Id="rId42"/><Relationship Type="http://schemas.openxmlformats.org/officeDocument/2006/relationships/hyperlink" Target="https://cdn.shopify.com/s/files/1/0792/5098/1063/files/ecff9d37367ab122b1e45c355aedb44a6a83ae1f86eb834e47dbe104afbe6f0c.jpg?v=1785047723" TargetMode="External" Id="rId43"/><Relationship Type="http://schemas.openxmlformats.org/officeDocument/2006/relationships/hyperlink" Target="https://cdn.shopify.com/s/files/1/0792/5098/1063/files/ecff9d37367ab122b1e45c355aedb44a6a83ae1f86eb834e47dbe104afbe6f0c.jpg?v=1785047723" TargetMode="External" Id="rId44"/><Relationship Type="http://schemas.openxmlformats.org/officeDocument/2006/relationships/hyperlink" Target="https://cdn.shopify.com/s/files/1/0792/5098/1063/files/b704ba1ab0ecc12f7c984e77ff339054f6178a5d22213a4f66b32cb0b33179a2.jpg?v=1785047723" TargetMode="External" Id="rId45"/><Relationship Type="http://schemas.openxmlformats.org/officeDocument/2006/relationships/hyperlink" Target="https://cdn.shopify.com/s/files/1/0792/5098/1063/files/b704ba1ab0ecc12f7c984e77ff339054f6178a5d22213a4f66b32cb0b33179a2.jpg?v=1785047723" TargetMode="External" Id="rId46"/><Relationship Type="http://schemas.openxmlformats.org/officeDocument/2006/relationships/hyperlink" Target="https://cdn.shopify.com/s/files/1/0792/5098/1063/files/16b2a7500baa52d57db1e163763d075142abbc3bb7aef362e0f069d8dbc4ff84.jpg?v=1785046479" TargetMode="External" Id="rId47"/><Relationship Type="http://schemas.openxmlformats.org/officeDocument/2006/relationships/hyperlink" Target="https://cdn.shopify.com/s/files/1/0792/5098/1063/files/16b2a7500baa52d57db1e163763d075142abbc3bb7aef362e0f069d8dbc4ff84.jpg?v=1785046479" TargetMode="External" Id="rId48"/><Relationship Type="http://schemas.openxmlformats.org/officeDocument/2006/relationships/hyperlink" Target="https://cdn.shopify.com/s/files/1/0792/5098/1063/files/e9255764154fcb0567d56dff6d18338d794e38096cf4a28ff23b02b94249ff50.jpg?v=1785046479" TargetMode="External" Id="rId49"/><Relationship Type="http://schemas.openxmlformats.org/officeDocument/2006/relationships/hyperlink" Target="https://cdn.shopify.com/s/files/1/0792/5098/1063/files/e9255764154fcb0567d56dff6d18338d794e38096cf4a28ff23b02b94249ff50.jpg?v=1785046479" TargetMode="External" Id="rId50"/><Relationship Type="http://schemas.openxmlformats.org/officeDocument/2006/relationships/hyperlink" Target="https://cdn.shopify.com/s/files/1/0792/5098/1063/files/4e8c5912b8e924d5221f376453a040ea3284bd5fa7524596fa0a04390c0ace96.jpg?v=1785046479" TargetMode="External" Id="rId51"/><Relationship Type="http://schemas.openxmlformats.org/officeDocument/2006/relationships/hyperlink" Target="https://cdn.shopify.com/s/files/1/0792/5098/1063/files/4e8c5912b8e924d5221f376453a040ea3284bd5fa7524596fa0a04390c0ace96.jpg?v=1785046479" TargetMode="External" Id="rId52"/><Relationship Type="http://schemas.openxmlformats.org/officeDocument/2006/relationships/hyperlink" Target="https://cdn.shopify.com/s/files/1/0792/5098/1063/files/3d1e34d78c30e8f2974ee01ce23c9ec90898bc07630a4ad3c07f2b8b40ac92ea.jpg?v=1785046479" TargetMode="External" Id="rId53"/><Relationship Type="http://schemas.openxmlformats.org/officeDocument/2006/relationships/hyperlink" Target="https://cdn.shopify.com/s/files/1/0792/5098/1063/files/3d1e34d78c30e8f2974ee01ce23c9ec90898bc07630a4ad3c07f2b8b40ac92ea.jpg?v=1785046479" TargetMode="External" Id="rId54"/><Relationship Type="http://schemas.openxmlformats.org/officeDocument/2006/relationships/hyperlink" Target="https://cdn.shopify.com/s/files/1/0792/5098/1063/files/f0f2f59b12cc5de62eaf91437973093374838d324dd5ba94b033d2cdbdec7a91.jpg?v=1785046479" TargetMode="External" Id="rId55"/><Relationship Type="http://schemas.openxmlformats.org/officeDocument/2006/relationships/hyperlink" Target="https://cdn.shopify.com/s/files/1/0792/5098/1063/files/f0f2f59b12cc5de62eaf91437973093374838d324dd5ba94b033d2cdbdec7a91.jpg?v=1785046479" TargetMode="External" Id="rId56"/><Relationship Type="http://schemas.openxmlformats.org/officeDocument/2006/relationships/hyperlink" Target="https://cdn.shopify.com/s/files/1/0792/5098/1063/files/cdfb2abc2375160a8704f9ec9d3c4be2c8f8852d5e6f2aae6e84f0cc5f8d0810.jpg?v=1785046051" TargetMode="External" Id="rId57"/><Relationship Type="http://schemas.openxmlformats.org/officeDocument/2006/relationships/hyperlink" Target="https://cdn.shopify.com/s/files/1/0792/5098/1063/files/cdfb2abc2375160a8704f9ec9d3c4be2c8f8852d5e6f2aae6e84f0cc5f8d0810.jpg?v=1785046051" TargetMode="External" Id="rId58"/><Relationship Type="http://schemas.openxmlformats.org/officeDocument/2006/relationships/hyperlink" Target="https://cdn.shopify.com/s/files/1/0792/5098/1063/files/c93b613bae089349cdfd5f4279212ff60b684d3c3e45df979e8286a86fd8fe65.jpg?v=1785046051" TargetMode="External" Id="rId59"/><Relationship Type="http://schemas.openxmlformats.org/officeDocument/2006/relationships/hyperlink" Target="https://cdn.shopify.com/s/files/1/0792/5098/1063/files/c93b613bae089349cdfd5f4279212ff60b684d3c3e45df979e8286a86fd8fe65.jpg?v=1785046051" TargetMode="External" Id="rId60"/><Relationship Type="http://schemas.openxmlformats.org/officeDocument/2006/relationships/hyperlink" Target="https://cdn.shopify.com/s/files/1/0792/5098/1063/files/86eced4e4bf6e63735f4f2c66481275b7882f4bc066ceec8d9502d708a5d984c.jpg?v=1785046051" TargetMode="External" Id="rId61"/><Relationship Type="http://schemas.openxmlformats.org/officeDocument/2006/relationships/hyperlink" Target="https://cdn.shopify.com/s/files/1/0792/5098/1063/files/86eced4e4bf6e63735f4f2c66481275b7882f4bc066ceec8d9502d708a5d984c.jpg?v=1785046051" TargetMode="External" Id="rId62"/><Relationship Type="http://schemas.openxmlformats.org/officeDocument/2006/relationships/hyperlink" Target="https://cdn.shopify.com/s/files/1/0792/5098/1063/files/010fc93066b878fd361c7354db22404ffa1c52e92a983073c965b52097e7da0f.jpg?v=1785046051" TargetMode="External" Id="rId63"/><Relationship Type="http://schemas.openxmlformats.org/officeDocument/2006/relationships/hyperlink" Target="https://cdn.shopify.com/s/files/1/0792/5098/1063/files/010fc93066b878fd361c7354db22404ffa1c52e92a983073c965b52097e7da0f.jpg?v=1785046051" TargetMode="External" Id="rId64"/><Relationship Type="http://schemas.openxmlformats.org/officeDocument/2006/relationships/hyperlink" Target="https://cdn.shopify.com/s/files/1/0792/5098/1063/files/508d643d43b166c30f43cb4155366e0bb204a450288832afb3d1ae3f465842be.jpg?v=1785046051" TargetMode="External" Id="rId65"/><Relationship Type="http://schemas.openxmlformats.org/officeDocument/2006/relationships/hyperlink" Target="https://cdn.shopify.com/s/files/1/0792/5098/1063/files/508d643d43b166c30f43cb4155366e0bb204a450288832afb3d1ae3f465842be.jpg?v=1785046051" TargetMode="External" Id="rId66"/><Relationship Type="http://schemas.openxmlformats.org/officeDocument/2006/relationships/hyperlink" Target="https://cdn.shopify.com/s/files/1/0792/5098/1063/files/94001394196306ca9b1b0d683fd420fd7088a94b484c78bd3b50c3693317b348.jpg?v=1785046158" TargetMode="External" Id="rId67"/><Relationship Type="http://schemas.openxmlformats.org/officeDocument/2006/relationships/hyperlink" Target="https://cdn.shopify.com/s/files/1/0792/5098/1063/files/94001394196306ca9b1b0d683fd420fd7088a94b484c78bd3b50c3693317b348.jpg?v=1785046158" TargetMode="External" Id="rId68"/><Relationship Type="http://schemas.openxmlformats.org/officeDocument/2006/relationships/hyperlink" Target="https://cdn.shopify.com/s/files/1/0792/5098/1063/files/889dd5e2f2383d2153d1c11615f3f8987fbeb5ee382606af2a6e829e5e6c5919.jpg?v=1785046158" TargetMode="External" Id="rId69"/><Relationship Type="http://schemas.openxmlformats.org/officeDocument/2006/relationships/hyperlink" Target="https://cdn.shopify.com/s/files/1/0792/5098/1063/files/889dd5e2f2383d2153d1c11615f3f8987fbeb5ee382606af2a6e829e5e6c5919.jpg?v=1785046158" TargetMode="External" Id="rId70"/><Relationship Type="http://schemas.openxmlformats.org/officeDocument/2006/relationships/hyperlink" Target="https://cdn.shopify.com/s/files/1/0792/5098/1063/files/fb8b51b32f2c661aed0d41d26205998733170132be56a1b92b3e9a668c8a4dd4.jpg?v=1785046158" TargetMode="External" Id="rId71"/><Relationship Type="http://schemas.openxmlformats.org/officeDocument/2006/relationships/hyperlink" Target="https://cdn.shopify.com/s/files/1/0792/5098/1063/files/fb8b51b32f2c661aed0d41d26205998733170132be56a1b92b3e9a668c8a4dd4.jpg?v=1785046158" TargetMode="External" Id="rId72"/><Relationship Type="http://schemas.openxmlformats.org/officeDocument/2006/relationships/hyperlink" Target="https://cdn.shopify.com/s/files/1/0792/5098/1063/files/01f734498d3b89750a943829d688abf985a64d10d034f01ce76a5b383304afd0.jpg?v=1785046159" TargetMode="External" Id="rId73"/><Relationship Type="http://schemas.openxmlformats.org/officeDocument/2006/relationships/hyperlink" Target="https://cdn.shopify.com/s/files/1/0792/5098/1063/files/01f734498d3b89750a943829d688abf985a64d10d034f01ce76a5b383304afd0.jpg?v=1785046159" TargetMode="External" Id="rId74"/><Relationship Type="http://schemas.openxmlformats.org/officeDocument/2006/relationships/hyperlink" Target="https://cdn.shopify.com/s/files/1/0792/5098/1063/files/bb107a9fece094bd902cb6ce0621c9bdb5a066805cfa5082c4e4fd915df4c8a9.jpg?v=1785046159" TargetMode="External" Id="rId75"/><Relationship Type="http://schemas.openxmlformats.org/officeDocument/2006/relationships/hyperlink" Target="https://cdn.shopify.com/s/files/1/0792/5098/1063/files/bb107a9fece094bd902cb6ce0621c9bdb5a066805cfa5082c4e4fd915df4c8a9.jpg?v=1785046159" TargetMode="External" Id="rId76"/><Relationship Type="http://schemas.openxmlformats.org/officeDocument/2006/relationships/hyperlink" Target="https://cdn.shopify.com/s/files/1/0792/5098/1063/files/28cdf69b4ac6725594ea1a837ebe8c207ad2e3bc3eaa00dcae9c37f372a06930.jpg?v=1785099676" TargetMode="External" Id="rId77"/><Relationship Type="http://schemas.openxmlformats.org/officeDocument/2006/relationships/hyperlink" Target="https://cdn.shopify.com/s/files/1/0792/5098/1063/files/28cdf69b4ac6725594ea1a837ebe8c207ad2e3bc3eaa00dcae9c37f372a06930.jpg?v=1785099676" TargetMode="External" Id="rId78"/><Relationship Type="http://schemas.openxmlformats.org/officeDocument/2006/relationships/hyperlink" Target="https://cdn.shopify.com/s/files/1/0792/5098/1063/files/00ab49d13d6d6ade262ef18c97ecca7a66605f05bfe51006c8da23b0deb1c224.jpg?v=1785099676" TargetMode="External" Id="rId79"/><Relationship Type="http://schemas.openxmlformats.org/officeDocument/2006/relationships/hyperlink" Target="https://cdn.shopify.com/s/files/1/0792/5098/1063/files/00ab49d13d6d6ade262ef18c97ecca7a66605f05bfe51006c8da23b0deb1c224.jpg?v=1785099676" TargetMode="External" Id="rId80"/><Relationship Type="http://schemas.openxmlformats.org/officeDocument/2006/relationships/hyperlink" Target="https://cdn.shopify.com/s/files/1/0792/5098/1063/files/e2799d48fb782b01867d568b702d482759c35c84c72a224b1ae800761f02dc85.jpg?v=1785099676" TargetMode="External" Id="rId81"/><Relationship Type="http://schemas.openxmlformats.org/officeDocument/2006/relationships/hyperlink" Target="https://cdn.shopify.com/s/files/1/0792/5098/1063/files/e2799d48fb782b01867d568b702d482759c35c84c72a224b1ae800761f02dc85.jpg?v=1785099676" TargetMode="External" Id="rId82"/><Relationship Type="http://schemas.openxmlformats.org/officeDocument/2006/relationships/hyperlink" Target="https://cdn.shopify.com/s/files/1/0792/5098/1063/files/843c75776c48ba7c6b9de831505e6128337fdac4e212bc21f8db025894661a25.jpg?v=1785099676" TargetMode="External" Id="rId83"/><Relationship Type="http://schemas.openxmlformats.org/officeDocument/2006/relationships/hyperlink" Target="https://cdn.shopify.com/s/files/1/0792/5098/1063/files/843c75776c48ba7c6b9de831505e6128337fdac4e212bc21f8db025894661a25.jpg?v=1785099676" TargetMode="External" Id="rId84"/><Relationship Type="http://schemas.openxmlformats.org/officeDocument/2006/relationships/hyperlink" Target="https://cdn.shopify.com/s/files/1/0792/5098/1063/files/1bec8d5505b33acb8d415cbcd49dcd442c037ff7f9912df5b540dfbcbf700b8f.jpg?v=1785099676" TargetMode="External" Id="rId85"/><Relationship Type="http://schemas.openxmlformats.org/officeDocument/2006/relationships/hyperlink" Target="https://cdn.shopify.com/s/files/1/0792/5098/1063/files/1bec8d5505b33acb8d415cbcd49dcd442c037ff7f9912df5b540dfbcbf700b8f.jpg?v=1785099676" TargetMode="External" Id="rId86"/><Relationship Type="http://schemas.openxmlformats.org/officeDocument/2006/relationships/hyperlink" Target="https://cdn.shopify.com/s/files/1/0792/5098/1063/files/404ed5803f051b4bd7cf074f2d1676bab70b65623b4817a5ec6c069f82efdddf.jpg?v=1785103994" TargetMode="External" Id="rId87"/><Relationship Type="http://schemas.openxmlformats.org/officeDocument/2006/relationships/hyperlink" Target="https://cdn.shopify.com/s/files/1/0792/5098/1063/files/404ed5803f051b4bd7cf074f2d1676bab70b65623b4817a5ec6c069f82efdddf.jpg?v=1785103994" TargetMode="External" Id="rId88"/><Relationship Type="http://schemas.openxmlformats.org/officeDocument/2006/relationships/hyperlink" Target="https://cdn.shopify.com/s/files/1/0792/5098/1063/files/97438d06f9a430d622e570ea451d2a47fd77088a7bc26d95fb1edb5928b69f48.jpg?v=1785103994" TargetMode="External" Id="rId89"/><Relationship Type="http://schemas.openxmlformats.org/officeDocument/2006/relationships/hyperlink" Target="https://cdn.shopify.com/s/files/1/0792/5098/1063/files/97438d06f9a430d622e570ea451d2a47fd77088a7bc26d95fb1edb5928b69f48.jpg?v=1785103994" TargetMode="External" Id="rId90"/><Relationship Type="http://schemas.openxmlformats.org/officeDocument/2006/relationships/hyperlink" Target="https://cdn.shopify.com/s/files/1/0792/5098/1063/files/d1059c276ace67802969ba6fb620ce50ca0b4fa72d02e7be1790b7d39ab41eb7.jpg?v=1785103994" TargetMode="External" Id="rId91"/><Relationship Type="http://schemas.openxmlformats.org/officeDocument/2006/relationships/hyperlink" Target="https://cdn.shopify.com/s/files/1/0792/5098/1063/files/d1059c276ace67802969ba6fb620ce50ca0b4fa72d02e7be1790b7d39ab41eb7.jpg?v=1785103994" TargetMode="External" Id="rId92"/><Relationship Type="http://schemas.openxmlformats.org/officeDocument/2006/relationships/hyperlink" Target="https://cdn.shopify.com/s/files/1/0792/5098/1063/files/31555b0f52e5ce2dbc2f028f11c9e41272413a642740df0fff5d4479cdd052a8.jpg?v=1785103994" TargetMode="External" Id="rId93"/><Relationship Type="http://schemas.openxmlformats.org/officeDocument/2006/relationships/hyperlink" Target="https://cdn.shopify.com/s/files/1/0792/5098/1063/files/31555b0f52e5ce2dbc2f028f11c9e41272413a642740df0fff5d4479cdd052a8.jpg?v=1785103994" TargetMode="External" Id="rId94"/><Relationship Type="http://schemas.openxmlformats.org/officeDocument/2006/relationships/hyperlink" Target="https://cdn.shopify.com/s/files/1/0792/5098/1063/files/16b178bd5910fd0d4a839762ab332ffc6ce5eaf9a61be2d2070bb6a8a1d6bf62.jpg?v=1785103994" TargetMode="External" Id="rId95"/><Relationship Type="http://schemas.openxmlformats.org/officeDocument/2006/relationships/hyperlink" Target="https://cdn.shopify.com/s/files/1/0792/5098/1063/files/16b178bd5910fd0d4a839762ab332ffc6ce5eaf9a61be2d2070bb6a8a1d6bf62.jpg?v=1785103994" TargetMode="External" Id="rId96"/><Relationship Type="http://schemas.openxmlformats.org/officeDocument/2006/relationships/hyperlink" Target="https://cdn.shopify.com/s/files/1/0792/5098/1063/files/0e97f0275ec81b9b8b4855997dfbe42687a5179966f4a4818b2567ed84c668b1.jpg?v=1785103994" TargetMode="External" Id="rId97"/><Relationship Type="http://schemas.openxmlformats.org/officeDocument/2006/relationships/hyperlink" Target="https://cdn.shopify.com/s/files/1/0792/5098/1063/files/0e97f0275ec81b9b8b4855997dfbe42687a5179966f4a4818b2567ed84c668b1.jpg?v=1785103994" TargetMode="External" Id="rId98"/><Relationship Type="http://schemas.openxmlformats.org/officeDocument/2006/relationships/hyperlink" Target="https://cdn.shopify.com/s/files/1/0792/5098/1063/files/c47177e42e8c147f5efe5d49253545313c2a7f4e815909b29b5c78cb601deb3c.jpg?v=1785103994" TargetMode="External" Id="rId99"/><Relationship Type="http://schemas.openxmlformats.org/officeDocument/2006/relationships/hyperlink" Target="https://cdn.shopify.com/s/files/1/0792/5098/1063/files/c47177e42e8c147f5efe5d49253545313c2a7f4e815909b29b5c78cb601deb3c.jpg?v=1785103994" TargetMode="External" Id="rId100"/><Relationship Type="http://schemas.openxmlformats.org/officeDocument/2006/relationships/hyperlink" Target="https://cdn.shopify.com/s/files/1/0792/5098/1063/files/988722264f93b7f929168547b94fc3474fc0ce389c8526bb822d4377a564c29d.jpg?v=1787233669" TargetMode="External" Id="rId101"/><Relationship Type="http://schemas.openxmlformats.org/officeDocument/2006/relationships/hyperlink" Target="https://cdn.shopify.com/s/files/1/0792/5098/1063/files/988722264f93b7f929168547b94fc3474fc0ce389c8526bb822d4377a564c29d.jpg?v=1787233669" TargetMode="External" Id="rId102"/><Relationship Type="http://schemas.openxmlformats.org/officeDocument/2006/relationships/hyperlink" Target="https://cdn.shopify.com/s/files/1/0792/5098/1063/files/42f0dd26ba813ef0447553675dea32c4c20b9e98cd31b90f997311c32ca9a464.jpg?v=1787233669" TargetMode="External" Id="rId103"/><Relationship Type="http://schemas.openxmlformats.org/officeDocument/2006/relationships/hyperlink" Target="https://cdn.shopify.com/s/files/1/0792/5098/1063/files/42f0dd26ba813ef0447553675dea32c4c20b9e98cd31b90f997311c32ca9a464.jpg?v=1787233669" TargetMode="External" Id="rId104"/><Relationship Type="http://schemas.openxmlformats.org/officeDocument/2006/relationships/hyperlink" Target="https://cdn.shopify.com/s/files/1/0792/5098/1063/files/a2cb5e690cb249a856de7836f6eb3260f06f9a5d599fedfdf7d545401e0282f0.jpg?v=1787233669" TargetMode="External" Id="rId105"/><Relationship Type="http://schemas.openxmlformats.org/officeDocument/2006/relationships/hyperlink" Target="https://cdn.shopify.com/s/files/1/0792/5098/1063/files/a2cb5e690cb249a856de7836f6eb3260f06f9a5d599fedfdf7d545401e0282f0.jpg?v=1787233669" TargetMode="External" Id="rId106"/><Relationship Type="http://schemas.openxmlformats.org/officeDocument/2006/relationships/hyperlink" Target="https://cdn.shopify.com/s/files/1/0792/5098/1063/files/a4fb818afb81b9c4913d6d39542326bd6d4fe7c92d81e82f96d3c35eb4d087ca.jpg?v=1787233669" TargetMode="External" Id="rId107"/><Relationship Type="http://schemas.openxmlformats.org/officeDocument/2006/relationships/hyperlink" Target="https://cdn.shopify.com/s/files/1/0792/5098/1063/files/a4fb818afb81b9c4913d6d39542326bd6d4fe7c92d81e82f96d3c35eb4d087ca.jpg?v=1787233669" TargetMode="External" Id="rId108"/><Relationship Type="http://schemas.openxmlformats.org/officeDocument/2006/relationships/hyperlink" Target="https://cdn.shopify.com/s/files/1/0792/5098/1063/files/e5d8a713701bc8252a33abe3e1226ed99b68fc5da417f472a9061c58ebab124d.jpg?v=1787233669" TargetMode="External" Id="rId109"/><Relationship Type="http://schemas.openxmlformats.org/officeDocument/2006/relationships/hyperlink" Target="https://cdn.shopify.com/s/files/1/0792/5098/1063/files/e5d8a713701bc8252a33abe3e1226ed99b68fc5da417f472a9061c58ebab124d.jpg?v=1787233669" TargetMode="External" Id="rId110"/><Relationship Type="http://schemas.openxmlformats.org/officeDocument/2006/relationships/hyperlink" Target="https://cdn.shopify.com/s/files/1/0792/5098/1063/files/d20c2c33933f1f653a3f3f47666f0c1c2efb2135959e0e0ddbdd4bff35474308.jpg?v=1787233669" TargetMode="External" Id="rId111"/><Relationship Type="http://schemas.openxmlformats.org/officeDocument/2006/relationships/hyperlink" Target="https://cdn.shopify.com/s/files/1/0792/5098/1063/files/d20c2c33933f1f653a3f3f47666f0c1c2efb2135959e0e0ddbdd4bff35474308.jpg?v=1787233669" TargetMode="External" Id="rId112"/><Relationship Type="http://schemas.openxmlformats.org/officeDocument/2006/relationships/hyperlink" Target="https://cdn.shopify.com/s/files/1/0792/5098/1063/files/2da7f736cf6f750ba52277e2af1fa4fb70311ada87fb3eab2e27bf613bac4d55.jpg?v=1787233669" TargetMode="External" Id="rId113"/><Relationship Type="http://schemas.openxmlformats.org/officeDocument/2006/relationships/hyperlink" Target="https://cdn.shopify.com/s/files/1/0792/5098/1063/files/2da7f736cf6f750ba52277e2af1fa4fb70311ada87fb3eab2e27bf613bac4d55.jpg?v=1787233669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Independent QA rubric.</t>
        </is>
      </c>
    </row>
    <row r="3" ht="42" customHeight="1">
      <c r="A3" s="3" t="inlineStr">
        <is>
          <t>shop_domain</t>
        </is>
      </c>
      <c r="B3" s="3" t="inlineStr">
        <is>
          <t>jeminise.com</t>
        </is>
      </c>
      <c r="C3" s="3" t="inlineStr">
        <is>
          <t>Shop.</t>
        </is>
      </c>
    </row>
    <row r="4" ht="42" customHeight="1">
      <c r="A4" s="2" t="inlineStr">
        <is>
          <t>source_run_id</t>
        </is>
      </c>
      <c r="B4" s="2" t="inlineStr">
        <is>
          <t>20260906_234129</t>
        </is>
      </c>
      <c r="C4" s="2" t="inlineStr">
        <is>
          <t>Drafting run.</t>
        </is>
      </c>
    </row>
    <row r="5" ht="42" customHeight="1">
      <c r="A5" s="3" t="inlineStr">
        <is>
          <t>qa_run_id</t>
        </is>
      </c>
      <c r="B5" s="3" t="inlineStr">
        <is>
          <t>20260908_015000</t>
        </is>
      </c>
      <c r="C5" s="3" t="inlineStr">
        <is>
          <t>This re-QA run.</t>
        </is>
      </c>
    </row>
    <row r="6" ht="42" customHeight="1">
      <c r="A6" s="2" t="inlineStr">
        <is>
          <t>qa_batch_id</t>
        </is>
      </c>
      <c r="B6" s="2" t="inlineStr">
        <is>
          <t>qa_batch_015</t>
        </is>
      </c>
      <c r="C6" s="2" t="inlineStr">
        <is>
          <t>Fixed scope.</t>
        </is>
      </c>
    </row>
    <row r="7" ht="42" customHeight="1">
      <c r="A7" s="3" t="inlineStr">
        <is>
          <t>revision</t>
        </is>
      </c>
      <c r="B7" s="3" t="inlineStr">
        <is>
          <t>r3</t>
        </is>
      </c>
      <c r="C7" s="3" t="inlineStr">
        <is>
          <t>Workbook revision assessed.</t>
        </is>
      </c>
    </row>
    <row r="8" ht="42" customHeight="1">
      <c r="A8" s="2" t="inlineStr">
        <is>
          <t>source_workbook</t>
        </is>
      </c>
      <c r="B8" s="2" t="inlineStr">
        <is>
          <t>D:\Shopify_Workspace\jeminise_seo\resutls\jeminise.com\20260906_234129\revisions\qa_batch_015_r3\SEO_Product_Optimization_qa_batch_015_r3.xlsx</t>
        </is>
      </c>
      <c r="C8" s="2" t="inlineStr">
        <is>
          <t>Frozen r3 source.</t>
        </is>
      </c>
    </row>
    <row r="9" ht="42" customHeight="1">
      <c r="A9" s="3" t="inlineStr">
        <is>
          <t>source_sha256</t>
        </is>
      </c>
      <c r="B9" s="3" t="inlineStr">
        <is>
          <t>A2D09584DFE74E454CB2C5879B1DAD15E6FB3DB6E1AC422C3BA0139523A93A10</t>
        </is>
      </c>
      <c r="C9" s="3" t="inlineStr">
        <is>
          <t>Hash at freeze and handoff.</t>
        </is>
      </c>
    </row>
    <row r="10" ht="42" customHeight="1">
      <c r="A10" s="2" t="inlineStr">
        <is>
          <t>scope</t>
        </is>
      </c>
      <c r="B10" s="2" t="inlineStr">
        <is>
          <t>10 products, 57/57 images (100%)</t>
        </is>
      </c>
      <c r="C10" s="2" t="inlineStr">
        <is>
          <t>Inventory positions 141–150.</t>
        </is>
      </c>
    </row>
    <row r="11" ht="42" customHeight="1">
      <c r="A11" s="3" t="inlineStr">
        <is>
          <t>batch_final_score</t>
        </is>
      </c>
      <c r="B11" s="3">
        <f>AVERAGE('QA_Products'!$K$2:$K$11)</f>
        <v/>
      </c>
      <c r="C11" s="3" t="inlineStr">
        <is>
          <t>Average formula-driven final scores.</t>
        </is>
      </c>
    </row>
    <row r="12" ht="42" customHeight="1">
      <c r="A12" s="2" t="inlineStr">
        <is>
          <t>batch_result</t>
        </is>
      </c>
      <c r="B12" s="2">
        <f>IF(COUNTIF('QA_Products'!$L$2:$L$11,"QA_PASS")=ROWS('QA_Products'!$L$2:$L$11),"PASSED","NOT_PASSED")</f>
        <v/>
      </c>
      <c r="C12" s="2" t="inlineStr">
        <is>
          <t>All products QA_PASS.</t>
        </is>
      </c>
    </row>
    <row r="13" ht="42" customHeight="1">
      <c r="A13" s="3" t="inlineStr">
        <is>
          <t>status_counts</t>
        </is>
      </c>
      <c r="B13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3" s="3" t="inlineStr">
        <is>
          <t>Final rubric statuses.</t>
        </is>
      </c>
    </row>
    <row r="14" ht="42" customHeight="1">
      <c r="A14" s="2" t="inlineStr">
        <is>
          <t>issue_counts</t>
        </is>
      </c>
      <c r="B14" s="2" t="inlineStr">
        <is>
          <t>CRITICAL=0; MAJOR=0; MINOR=0; LIMITATION=10</t>
        </is>
      </c>
      <c r="C14" s="2" t="inlineStr">
        <is>
          <t>Findings by severity.</t>
        </is>
      </c>
    </row>
    <row r="15" ht="42" customHeight="1">
      <c r="A15" s="3" t="inlineStr">
        <is>
          <t>awaiting_confirmation</t>
        </is>
      </c>
      <c r="B15" s="3" t="b">
        <v>1</v>
      </c>
      <c r="C15" s="3" t="inlineStr">
        <is>
          <t>Do not assess another batch without instruction.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141</v>
      </c>
      <c r="B2" s="2" t="inlineStr">
        <is>
          <t>jeminise.com+fantasy-fire-dragon-comforter-set-with-glowing-lava-and-bedroom-setting-c7ca9ae893-c7ca9ae893</t>
        </is>
      </c>
      <c r="C2" s="4" t="inlineStr">
        <is>
          <t>https://jeminise.com/products/fantasy-fire-dragon-comforter-set-with-glowing-lava-and-bedroom-setting-c7ca9ae893-c7ca9ae893</t>
        </is>
      </c>
      <c r="D2" s="2" t="inlineStr">
        <is>
          <t>fantasy-fire-dragon-comforter-set-with-glowing-lava-and-bedroom-setting-c7ca9ae893-c7ca9ae893</t>
        </is>
      </c>
      <c r="E2" s="2" t="inlineStr">
        <is>
          <t>8833336115399</t>
        </is>
      </c>
      <c r="F2" s="2" t="inlineStr">
        <is>
          <t>r3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5</v>
      </c>
      <c r="O2" s="2" t="n">
        <v>5</v>
      </c>
      <c r="P2" s="2" t="b">
        <v>1</v>
      </c>
      <c r="Q2" s="6" t="n">
        <v>1</v>
      </c>
      <c r="R2" s="2">
        <f>COUNTIFS('QA_Issues'!$B$2:$B$11,B2,'QA_Issues'!$D$2:$D$11,"CRITICAL")</f>
        <v/>
      </c>
      <c r="S2" s="2">
        <f>COUNTIFS('QA_Issues'!$B$2:$B$11,B2,'QA_Issues'!$D$2:$D$11,"MAJOR")</f>
        <v/>
      </c>
      <c r="T2" s="2">
        <f>COUNTIFS('QA_Issues'!$B$2:$B$11,B2,'QA_Issues'!$D$2:$D$11,"MINOR")</f>
        <v/>
      </c>
      <c r="U2" s="2">
        <f>COUNTIFS('QA_Issues'!$B$2:$B$11,B2,'QA_Issues'!$D$2:$D$11,"LIMITATION")</f>
        <v/>
      </c>
      <c r="V2" s="2" t="inlineStr">
        <is>
          <t>ISSUE-0001</t>
        </is>
      </c>
      <c r="W2" s="2" t="inlineStr">
        <is>
          <t>evidence_batch_015_141; live_source_comparison; customizer_audit; serp_evidence</t>
        </is>
      </c>
    </row>
    <row r="3" ht="42" customHeight="1">
      <c r="A3" s="3" t="n">
        <v>142</v>
      </c>
      <c r="B3" s="3" t="inlineStr">
        <is>
          <t>jeminise.com+fantasy-mythical-dragon-comforter-set-with-winged-dragon-and-bedroom-setting-bcfc28e9d3-bcfc28e9d3</t>
        </is>
      </c>
      <c r="C3" s="4" t="inlineStr">
        <is>
          <t>https://jeminise.com/products/fantasy-mythical-dragon-comforter-set-with-winged-dragon-and-bedroom-setting-bcfc28e9d3-bcfc28e9d3</t>
        </is>
      </c>
      <c r="D3" s="3" t="inlineStr">
        <is>
          <t>fantasy-mythical-dragon-comforter-set-with-winged-dragon-and-bedroom-setting-bcfc28e9d3-bcfc28e9d3</t>
        </is>
      </c>
      <c r="E3" s="3" t="inlineStr">
        <is>
          <t>8833331822791</t>
        </is>
      </c>
      <c r="F3" s="3" t="inlineStr">
        <is>
          <t>r3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5</v>
      </c>
      <c r="O3" s="3" t="n">
        <v>5</v>
      </c>
      <c r="P3" s="3" t="b">
        <v>1</v>
      </c>
      <c r="Q3" s="8" t="n">
        <v>1</v>
      </c>
      <c r="R3" s="3">
        <f>COUNTIFS('QA_Issues'!$B$2:$B$11,B3,'QA_Issues'!$D$2:$D$11,"CRITICAL")</f>
        <v/>
      </c>
      <c r="S3" s="3">
        <f>COUNTIFS('QA_Issues'!$B$2:$B$11,B3,'QA_Issues'!$D$2:$D$11,"MAJOR")</f>
        <v/>
      </c>
      <c r="T3" s="3">
        <f>COUNTIFS('QA_Issues'!$B$2:$B$11,B3,'QA_Issues'!$D$2:$D$11,"MINOR")</f>
        <v/>
      </c>
      <c r="U3" s="3">
        <f>COUNTIFS('QA_Issues'!$B$2:$B$11,B3,'QA_Issues'!$D$2:$D$11,"LIMITATION")</f>
        <v/>
      </c>
      <c r="V3" s="3" t="inlineStr">
        <is>
          <t>ISSUE-0002</t>
        </is>
      </c>
      <c r="W3" s="3" t="inlineStr">
        <is>
          <t>evidence_batch_015_142; live_source_comparison; customizer_audit; serp_evidence</t>
        </is>
      </c>
    </row>
    <row r="4" ht="42" customHeight="1">
      <c r="A4" s="2" t="n">
        <v>143</v>
      </c>
      <c r="B4" s="2" t="inlineStr">
        <is>
          <t>jeminise.com+fantasy-nature-tree-of-life-quilt-set-with-entwined-golden-roots-and-bedroom-setting-9ad124a9ad-9ad124a9ad</t>
        </is>
      </c>
      <c r="C4" s="4" t="inlineStr">
        <is>
          <t>https://jeminise.com/products/fantasy-nature-tree-of-life-quilt-set-with-entwined-golden-roots-and-bedroom-setting-9ad124a9ad-9ad124a9ad</t>
        </is>
      </c>
      <c r="D4" s="2" t="inlineStr">
        <is>
          <t>fantasy-nature-tree-of-life-quilt-set-with-entwined-golden-roots-and-bedroom-setting-9ad124a9ad-9ad124a9ad</t>
        </is>
      </c>
      <c r="E4" s="2" t="inlineStr">
        <is>
          <t>8833354268871</t>
        </is>
      </c>
      <c r="F4" s="2" t="inlineStr">
        <is>
          <t>r3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COUNTIFS('QA_Issues'!$B$2:$B$11,B4,'QA_Issues'!$D$2:$D$11,"CRITICAL")</f>
        <v/>
      </c>
      <c r="S4" s="2">
        <f>COUNTIFS('QA_Issues'!$B$2:$B$11,B4,'QA_Issues'!$D$2:$D$11,"MAJOR")</f>
        <v/>
      </c>
      <c r="T4" s="2">
        <f>COUNTIFS('QA_Issues'!$B$2:$B$11,B4,'QA_Issues'!$D$2:$D$11,"MINOR")</f>
        <v/>
      </c>
      <c r="U4" s="2">
        <f>COUNTIFS('QA_Issues'!$B$2:$B$11,B4,'QA_Issues'!$D$2:$D$11,"LIMITATION")</f>
        <v/>
      </c>
      <c r="V4" s="2" t="inlineStr">
        <is>
          <t>ISSUE-0003</t>
        </is>
      </c>
      <c r="W4" s="2" t="inlineStr">
        <is>
          <t>evidence_batch_015_143; live_source_comparison; customizer_audit; serp_evidence</t>
        </is>
      </c>
    </row>
    <row r="5" ht="42" customHeight="1">
      <c r="A5" s="3" t="n">
        <v>144</v>
      </c>
      <c r="B5" s="3" t="inlineStr">
        <is>
          <t>jeminise.com+fantasy-nature-tree-of-life-quilt-set-with-twisted-tree-trunk-and-bedroom-4dbc5a5b98-4dbc5a5b98</t>
        </is>
      </c>
      <c r="C5" s="4" t="inlineStr">
        <is>
          <t>https://jeminise.com/products/fantasy-nature-tree-of-life-quilt-set-with-twisted-tree-trunk-and-bedroom-4dbc5a5b98-4dbc5a5b98</t>
        </is>
      </c>
      <c r="D5" s="3" t="inlineStr">
        <is>
          <t>fantasy-nature-tree-of-life-quilt-set-with-twisted-tree-trunk-and-bedroom-4dbc5a5b98-4dbc5a5b98</t>
        </is>
      </c>
      <c r="E5" s="3" t="inlineStr">
        <is>
          <t>8833355350215</t>
        </is>
      </c>
      <c r="F5" s="3" t="inlineStr">
        <is>
          <t>r3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6</v>
      </c>
      <c r="O5" s="3" t="n">
        <v>6</v>
      </c>
      <c r="P5" s="3" t="b">
        <v>1</v>
      </c>
      <c r="Q5" s="8" t="n">
        <v>1</v>
      </c>
      <c r="R5" s="3">
        <f>COUNTIFS('QA_Issues'!$B$2:$B$11,B5,'QA_Issues'!$D$2:$D$11,"CRITICAL")</f>
        <v/>
      </c>
      <c r="S5" s="3">
        <f>COUNTIFS('QA_Issues'!$B$2:$B$11,B5,'QA_Issues'!$D$2:$D$11,"MAJOR")</f>
        <v/>
      </c>
      <c r="T5" s="3">
        <f>COUNTIFS('QA_Issues'!$B$2:$B$11,B5,'QA_Issues'!$D$2:$D$11,"MINOR")</f>
        <v/>
      </c>
      <c r="U5" s="3">
        <f>COUNTIFS('QA_Issues'!$B$2:$B$11,B5,'QA_Issues'!$D$2:$D$11,"LIMITATION")</f>
        <v/>
      </c>
      <c r="V5" s="3" t="inlineStr">
        <is>
          <t>ISSUE-0004</t>
        </is>
      </c>
      <c r="W5" s="3" t="inlineStr">
        <is>
          <t>evidence_batch_015_144; live_source_comparison; customizer_audit; serp_evidence</t>
        </is>
      </c>
    </row>
    <row r="6" ht="42" customHeight="1">
      <c r="A6" s="2" t="n">
        <v>145</v>
      </c>
      <c r="B6" s="2" t="inlineStr">
        <is>
          <t>jeminise.com+fantasy-comforter-set-with-dragon-and-bedroom-and-fire-and-spikes-9008eacaf3-9008eacaf3</t>
        </is>
      </c>
      <c r="C6" s="4" t="inlineStr">
        <is>
          <t>https://jeminise.com/products/fantasy-comforter-set-with-dragon-and-bedroom-and-fire-and-spikes-9008eacaf3-9008eacaf3</t>
        </is>
      </c>
      <c r="D6" s="2" t="inlineStr">
        <is>
          <t>fantasy-comforter-set-with-dragon-and-bedroom-and-fire-and-spikes-9008eacaf3-9008eacaf3</t>
        </is>
      </c>
      <c r="E6" s="2" t="inlineStr">
        <is>
          <t>8833335099591</t>
        </is>
      </c>
      <c r="F6" s="2" t="inlineStr">
        <is>
          <t>r3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5</v>
      </c>
      <c r="O6" s="2" t="n">
        <v>5</v>
      </c>
      <c r="P6" s="2" t="b">
        <v>1</v>
      </c>
      <c r="Q6" s="6" t="n">
        <v>1</v>
      </c>
      <c r="R6" s="2">
        <f>COUNTIFS('QA_Issues'!$B$2:$B$11,B6,'QA_Issues'!$D$2:$D$11,"CRITICAL")</f>
        <v/>
      </c>
      <c r="S6" s="2">
        <f>COUNTIFS('QA_Issues'!$B$2:$B$11,B6,'QA_Issues'!$D$2:$D$11,"MAJOR")</f>
        <v/>
      </c>
      <c r="T6" s="2">
        <f>COUNTIFS('QA_Issues'!$B$2:$B$11,B6,'QA_Issues'!$D$2:$D$11,"MINOR")</f>
        <v/>
      </c>
      <c r="U6" s="2">
        <f>COUNTIFS('QA_Issues'!$B$2:$B$11,B6,'QA_Issues'!$D$2:$D$11,"LIMITATION")</f>
        <v/>
      </c>
      <c r="V6" s="2" t="inlineStr">
        <is>
          <t>ISSUE-0005</t>
        </is>
      </c>
      <c r="W6" s="2" t="inlineStr">
        <is>
          <t>evidence_batch_015_145; live_source_comparison; customizer_audit; serp_evidence</t>
        </is>
      </c>
    </row>
    <row r="7" ht="42" customHeight="1">
      <c r="A7" s="3" t="n">
        <v>146</v>
      </c>
      <c r="B7" s="3" t="inlineStr">
        <is>
          <t>jeminise.com+fantasy-winged-dragon-comforter-set-with-starry-nebula-pattern-and-bedroom-setting-d228ce3712-d228ce3712</t>
        </is>
      </c>
      <c r="C7" s="4" t="inlineStr">
        <is>
          <t>https://jeminise.com/products/fantasy-winged-dragon-comforter-set-with-starry-nebula-pattern-and-bedroom-setting-d228ce3712-d228ce3712</t>
        </is>
      </c>
      <c r="D7" s="3" t="inlineStr">
        <is>
          <t>fantasy-winged-dragon-comforter-set-with-starry-nebula-pattern-and-bedroom-setting-d228ce3712-d228ce3712</t>
        </is>
      </c>
      <c r="E7" s="3" t="inlineStr">
        <is>
          <t>8833328414919</t>
        </is>
      </c>
      <c r="F7" s="3" t="inlineStr">
        <is>
          <t>r3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5</v>
      </c>
      <c r="O7" s="3" t="n">
        <v>5</v>
      </c>
      <c r="P7" s="3" t="b">
        <v>1</v>
      </c>
      <c r="Q7" s="8" t="n">
        <v>1</v>
      </c>
      <c r="R7" s="3">
        <f>COUNTIFS('QA_Issues'!$B$2:$B$11,B7,'QA_Issues'!$D$2:$D$11,"CRITICAL")</f>
        <v/>
      </c>
      <c r="S7" s="3">
        <f>COUNTIFS('QA_Issues'!$B$2:$B$11,B7,'QA_Issues'!$D$2:$D$11,"MAJOR")</f>
        <v/>
      </c>
      <c r="T7" s="3">
        <f>COUNTIFS('QA_Issues'!$B$2:$B$11,B7,'QA_Issues'!$D$2:$D$11,"MINOR")</f>
        <v/>
      </c>
      <c r="U7" s="3">
        <f>COUNTIFS('QA_Issues'!$B$2:$B$11,B7,'QA_Issues'!$D$2:$D$11,"LIMITATION")</f>
        <v/>
      </c>
      <c r="V7" s="3" t="inlineStr">
        <is>
          <t>ISSUE-0006</t>
        </is>
      </c>
      <c r="W7" s="3" t="inlineStr">
        <is>
          <t>evidence_batch_015_146; live_source_comparison; customizer_audit; serp_evidence</t>
        </is>
      </c>
    </row>
    <row r="8" ht="42" customHeight="1">
      <c r="A8" s="2" t="n">
        <v>147</v>
      </c>
      <c r="B8" s="2" t="inlineStr">
        <is>
          <t>jeminise.com+fantasy-winged-dragon-comforter-set-with-volcanic-eruption-and-bedroom-258009c125-258009c125</t>
        </is>
      </c>
      <c r="C8" s="4" t="inlineStr">
        <is>
          <t>https://jeminise.com/products/fantasy-winged-dragon-comforter-set-with-volcanic-eruption-and-bedroom-258009c125-258009c125</t>
        </is>
      </c>
      <c r="D8" s="2" t="inlineStr">
        <is>
          <t>fantasy-winged-dragon-comforter-set-with-volcanic-eruption-and-bedroom-258009c125-258009c125</t>
        </is>
      </c>
      <c r="E8" s="2" t="inlineStr">
        <is>
          <t>8833330806983</t>
        </is>
      </c>
      <c r="F8" s="2" t="inlineStr">
        <is>
          <t>r3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5</v>
      </c>
      <c r="O8" s="2" t="n">
        <v>5</v>
      </c>
      <c r="P8" s="2" t="b">
        <v>1</v>
      </c>
      <c r="Q8" s="6" t="n">
        <v>1</v>
      </c>
      <c r="R8" s="2">
        <f>COUNTIFS('QA_Issues'!$B$2:$B$11,B8,'QA_Issues'!$D$2:$D$11,"CRITICAL")</f>
        <v/>
      </c>
      <c r="S8" s="2">
        <f>COUNTIFS('QA_Issues'!$B$2:$B$11,B8,'QA_Issues'!$D$2:$D$11,"MAJOR")</f>
        <v/>
      </c>
      <c r="T8" s="2">
        <f>COUNTIFS('QA_Issues'!$B$2:$B$11,B8,'QA_Issues'!$D$2:$D$11,"MINOR")</f>
        <v/>
      </c>
      <c r="U8" s="2">
        <f>COUNTIFS('QA_Issues'!$B$2:$B$11,B8,'QA_Issues'!$D$2:$D$11,"LIMITATION")</f>
        <v/>
      </c>
      <c r="V8" s="2" t="inlineStr">
        <is>
          <t>ISSUE-0007</t>
        </is>
      </c>
      <c r="W8" s="2" t="inlineStr">
        <is>
          <t>evidence_batch_015_147; live_source_comparison; customizer_audit; serp_evidence</t>
        </is>
      </c>
    </row>
    <row r="9" ht="42" customHeight="1">
      <c r="A9" s="3" t="n">
        <v>148</v>
      </c>
      <c r="B9" s="3" t="inlineStr">
        <is>
          <t>jeminise.com+floral-nature-cardinal-within-ornate-oval-frame-patchwork-winter-quilt-88ef309589-88ef309589</t>
        </is>
      </c>
      <c r="C9" s="4" t="inlineStr">
        <is>
          <t>https://jeminise.com/products/floral-nature-cardinal-within-ornate-oval-frame-patchwork-winter-quilt-88ef309589-88ef309589</t>
        </is>
      </c>
      <c r="D9" s="3" t="inlineStr">
        <is>
          <t>floral-nature-cardinal-within-ornate-oval-frame-patchwork-winter-quilt-88ef309589-88ef309589</t>
        </is>
      </c>
      <c r="E9" s="3" t="inlineStr">
        <is>
          <t>8834736488647</t>
        </is>
      </c>
      <c r="F9" s="3" t="inlineStr">
        <is>
          <t>r3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5</v>
      </c>
      <c r="O9" s="3" t="n">
        <v>5</v>
      </c>
      <c r="P9" s="3" t="b">
        <v>1</v>
      </c>
      <c r="Q9" s="8" t="n">
        <v>1</v>
      </c>
      <c r="R9" s="3">
        <f>COUNTIFS('QA_Issues'!$B$2:$B$11,B9,'QA_Issues'!$D$2:$D$11,"CRITICAL")</f>
        <v/>
      </c>
      <c r="S9" s="3">
        <f>COUNTIFS('QA_Issues'!$B$2:$B$11,B9,'QA_Issues'!$D$2:$D$11,"MAJOR")</f>
        <v/>
      </c>
      <c r="T9" s="3">
        <f>COUNTIFS('QA_Issues'!$B$2:$B$11,B9,'QA_Issues'!$D$2:$D$11,"MINOR")</f>
        <v/>
      </c>
      <c r="U9" s="3">
        <f>COUNTIFS('QA_Issues'!$B$2:$B$11,B9,'QA_Issues'!$D$2:$D$11,"LIMITATION")</f>
        <v/>
      </c>
      <c r="V9" s="3" t="inlineStr">
        <is>
          <t>ISSUE-0008</t>
        </is>
      </c>
      <c r="W9" s="3" t="inlineStr">
        <is>
          <t>evidence_batch_015_148; live_source_comparison; customizer_audit; serp_evidence</t>
        </is>
      </c>
    </row>
    <row r="10" ht="42" customHeight="1">
      <c r="A10" s="2" t="n">
        <v>149</v>
      </c>
      <c r="B10" s="2" t="inlineStr">
        <is>
          <t>jeminise.com+folklore-tree-of-life-in-celtic-knot-quilt-40ab1f6113-40ab1f6113</t>
        </is>
      </c>
      <c r="C10" s="4" t="inlineStr">
        <is>
          <t>https://jeminise.com/products/folklore-tree-of-life-in-celtic-knot-quilt-40ab1f6113-40ab1f6113</t>
        </is>
      </c>
      <c r="D10" s="2" t="inlineStr">
        <is>
          <t>folklore-tree-of-life-in-celtic-knot-quilt-40ab1f6113-40ab1f6113</t>
        </is>
      </c>
      <c r="E10" s="2" t="inlineStr">
        <is>
          <t>8834799861959</t>
        </is>
      </c>
      <c r="F10" s="2" t="inlineStr">
        <is>
          <t>r3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7</v>
      </c>
      <c r="O10" s="2" t="n">
        <v>7</v>
      </c>
      <c r="P10" s="2" t="b">
        <v>1</v>
      </c>
      <c r="Q10" s="6" t="n">
        <v>1</v>
      </c>
      <c r="R10" s="2">
        <f>COUNTIFS('QA_Issues'!$B$2:$B$11,B10,'QA_Issues'!$D$2:$D$11,"CRITICAL")</f>
        <v/>
      </c>
      <c r="S10" s="2">
        <f>COUNTIFS('QA_Issues'!$B$2:$B$11,B10,'QA_Issues'!$D$2:$D$11,"MAJOR")</f>
        <v/>
      </c>
      <c r="T10" s="2">
        <f>COUNTIFS('QA_Issues'!$B$2:$B$11,B10,'QA_Issues'!$D$2:$D$11,"MINOR")</f>
        <v/>
      </c>
      <c r="U10" s="2">
        <f>COUNTIFS('QA_Issues'!$B$2:$B$11,B10,'QA_Issues'!$D$2:$D$11,"LIMITATION")</f>
        <v/>
      </c>
      <c r="V10" s="2" t="inlineStr">
        <is>
          <t>ISSUE-0009</t>
        </is>
      </c>
      <c r="W10" s="2" t="inlineStr">
        <is>
          <t>evidence_batch_015_149; live_source_comparison; customizer_audit; serp_evidence</t>
        </is>
      </c>
    </row>
    <row r="11" ht="42" customHeight="1">
      <c r="A11" s="3" t="n">
        <v>150</v>
      </c>
      <c r="B11" s="3" t="inlineStr">
        <is>
          <t>jeminise.com+fox-patchwork-pattern-quilt-set-animal-quilt-set-patchwork-style</t>
        </is>
      </c>
      <c r="C11" s="4" t="inlineStr">
        <is>
          <t>https://jeminise.com/products/fox-patchwork-pattern-quilt-set-animal-quilt-set-patchwork-style</t>
        </is>
      </c>
      <c r="D11" s="3" t="inlineStr">
        <is>
          <t>fox-patchwork-pattern-quilt-set-animal-quilt-set-patchwork-style</t>
        </is>
      </c>
      <c r="E11" s="3" t="inlineStr">
        <is>
          <t>8867094888647</t>
        </is>
      </c>
      <c r="F11" s="3" t="inlineStr">
        <is>
          <t>r3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7</v>
      </c>
      <c r="O11" s="3" t="n">
        <v>7</v>
      </c>
      <c r="P11" s="3" t="b">
        <v>1</v>
      </c>
      <c r="Q11" s="8" t="n">
        <v>1</v>
      </c>
      <c r="R11" s="3">
        <f>COUNTIFS('QA_Issues'!$B$2:$B$11,B11,'QA_Issues'!$D$2:$D$11,"CRITICAL")</f>
        <v/>
      </c>
      <c r="S11" s="3">
        <f>COUNTIFS('QA_Issues'!$B$2:$B$11,B11,'QA_Issues'!$D$2:$D$11,"MAJOR")</f>
        <v/>
      </c>
      <c r="T11" s="3">
        <f>COUNTIFS('QA_Issues'!$B$2:$B$11,B11,'QA_Issues'!$D$2:$D$11,"MINOR")</f>
        <v/>
      </c>
      <c r="U11" s="3">
        <f>COUNTIFS('QA_Issues'!$B$2:$B$11,B11,'QA_Issues'!$D$2:$D$11,"LIMITATION")</f>
        <v/>
      </c>
      <c r="V11" s="3" t="inlineStr">
        <is>
          <t>ISSUE-0010</t>
        </is>
      </c>
      <c r="W11" s="3" t="inlineStr">
        <is>
          <t>evidence_batch_015_150; live_source_comparison; customizer_audit; serp_evidence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jeminise.com+fantasy-fire-dragon-comforter-set-with-glowing-lava-and-bedroom-setting-c7ca9ae893-c7ca9ae893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IF(B2="I1",AVERAGEIF('QA_Images'!$A$2:$A$58,A2,'QA_Images'!$R$2:$R$58)/100,IF(D2="FULL",1,IF(D2="PARTIAL",0.5,IF(D2="FAIL",0,""))))</f>
        <v/>
      </c>
      <c r="F2" s="5">
        <f>IF(E2="",0,C2*E2)</f>
        <v/>
      </c>
      <c r="G2" s="5">
        <f>IF(B2="I1",20*AVERAGEIF('QA_Images'!$A$2:$A$58,A2,'QA_Images'!$S$2:$S$58)/100,IF(D2="NOT_CHECKED",0,C2))</f>
        <v/>
      </c>
      <c r="H2" s="2" t="inlineStr">
        <is>
          <t>Product key, handle, ID, URL and canonical match the frozen r3 workbook and retained live comparison.</t>
        </is>
      </c>
      <c r="I2" s="2" t="inlineStr">
        <is>
          <t>evidence_batch_015_141; source_snapshot; live_source_comparison; customizer_audit; serp_evidence</t>
        </is>
      </c>
      <c r="J2" s="2" t="inlineStr">
        <is>
          <t>ISSUE-0001</t>
        </is>
      </c>
    </row>
    <row r="3" ht="42" customHeight="1">
      <c r="A3" s="3" t="inlineStr">
        <is>
          <t>jeminise.com+fantasy-fire-dragon-comforter-set-with-glowing-lava-and-bedroom-setting-c7ca9ae893-c7ca9ae893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IF(B3="I1",AVERAGEIF('QA_Images'!$A$2:$A$58,A3,'QA_Images'!$R$2:$R$58)/100,IF(D3="FULL",1,IF(D3="PARTIAL",0.5,IF(D3="FAIL",0,""))))</f>
        <v/>
      </c>
      <c r="F3" s="7">
        <f>IF(E3="",0,C3*E3)</f>
        <v/>
      </c>
      <c r="G3" s="7">
        <f>IF(B3="I1",20*AVERAGEIF('QA_Images'!$A$2:$A$58,A3,'QA_Images'!$S$2:$S$58)/100,IF(D3="NOT_CHECKED",0,C3))</f>
        <v/>
      </c>
      <c r="H3" s="3" t="inlineStr">
        <is>
          <t>Visible design facts are supported by direct gallery assets; static customizer configuration is present. Admin fulfillment mapping was not supplied.</t>
        </is>
      </c>
      <c r="I3" s="3" t="inlineStr">
        <is>
          <t>evidence_batch_015_141; source_snapshot; live_source_comparison; customizer_audit; serp_evidence</t>
        </is>
      </c>
      <c r="J3" s="3" t="inlineStr">
        <is>
          <t>ISSUE-0001</t>
        </is>
      </c>
    </row>
    <row r="4" ht="42" customHeight="1">
      <c r="A4" s="2" t="inlineStr">
        <is>
          <t>jeminise.com+fantasy-fire-dragon-comforter-set-with-glowing-lava-and-bedroom-setting-c7ca9ae893-c7ca9ae893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IF(B4="I1",AVERAGEIF('QA_Images'!$A$2:$A$58,A4,'QA_Images'!$R$2:$R$58)/100,IF(D4="FULL",1,IF(D4="PARTIAL",0.5,IF(D4="FAIL",0,""))))</f>
        <v/>
      </c>
      <c r="F4" s="5">
        <f>IF(E4="",0,C4*E4)</f>
        <v/>
      </c>
      <c r="G4" s="5">
        <f>IF(B4="I1",20*AVERAGEIF('QA_Images'!$A$2:$A$58,A4,'QA_Images'!$S$2:$S$58)/100,IF(D4="NOT_CHECKED",0,C4))</f>
        <v/>
      </c>
      <c r="H4" s="2" t="inlineStr">
        <is>
          <t>Product-specific long-tail is relevant, but demand support is only public SERP evidence.</t>
        </is>
      </c>
      <c r="I4" s="2" t="inlineStr">
        <is>
          <t>evidence_batch_015_141; source_snapshot; live_source_comparison; customizer_audit; serp_evidence</t>
        </is>
      </c>
      <c r="J4" s="2" t="inlineStr">
        <is>
          <t>ISSUE-0001</t>
        </is>
      </c>
    </row>
    <row r="5" ht="42" customHeight="1">
      <c r="A5" s="3" t="inlineStr">
        <is>
          <t>jeminise.com+fantasy-fire-dragon-comforter-set-with-glowing-lava-and-bedroom-setting-c7ca9ae893-c7ca9ae893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IF(B5="I1",AVERAGEIF('QA_Images'!$A$2:$A$58,A5,'QA_Images'!$R$2:$R$58)/100,IF(D5="FULL",1,IF(D5="PARTIAL",0.5,IF(D5="FAIL",0,""))))</f>
        <v/>
      </c>
      <c r="F5" s="7">
        <f>IF(E5="",0,C5*E5)</f>
        <v/>
      </c>
      <c r="G5" s="7">
        <f>IF(B5="I1",20*AVERAGEIF('QA_Images'!$A$2:$A$58,A5,'QA_Images'!$S$2:$S$58)/100,IF(D5="NOT_CHECKED",0,C5))</f>
        <v/>
      </c>
      <c r="H5" s="3" t="inlineStr">
        <is>
          <t>Primary queries distinguish motif/color and product type within the batch cluster.</t>
        </is>
      </c>
      <c r="I5" s="3" t="inlineStr">
        <is>
          <t>evidence_batch_015_141; source_snapshot; live_source_comparison; customizer_audit; serp_evidence</t>
        </is>
      </c>
      <c r="J5" s="3" t="inlineStr">
        <is>
          <t>ISSUE-0001</t>
        </is>
      </c>
    </row>
    <row r="6" ht="42" customHeight="1">
      <c r="A6" s="2" t="inlineStr">
        <is>
          <t>jeminise.com+fantasy-fire-dragon-comforter-set-with-glowing-lava-and-bedroom-setting-c7ca9ae893-c7ca9ae893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IF(B6="I1",AVERAGEIF('QA_Images'!$A$2:$A$58,A6,'QA_Images'!$R$2:$R$58)/100,IF(D6="FULL",1,IF(D6="PARTIAL",0.5,IF(D6="FAIL",0,""))))</f>
        <v/>
      </c>
      <c r="F6" s="5">
        <f>IF(E6="",0,C6*E6)</f>
        <v/>
      </c>
      <c r="G6" s="5">
        <f>IF(B6="I1",20*AVERAGEIF('QA_Images'!$A$2:$A$58,A6,'QA_Images'!$S$2:$S$58)/100,IF(D6="NOT_CHECKED",0,C6))</f>
        <v/>
      </c>
      <c r="H6" s="2" t="inlineStr">
        <is>
          <t>SERP_ONLY is honestly labelled; no volume, ranking or demand magnitude claim is used.</t>
        </is>
      </c>
      <c r="I6" s="2" t="inlineStr">
        <is>
          <t>evidence_batch_015_141; source_snapshot; live_source_comparison; customizer_audit; serp_evidence</t>
        </is>
      </c>
      <c r="J6" s="2" t="inlineStr">
        <is>
          <t>ISSUE-0001</t>
        </is>
      </c>
    </row>
    <row r="7" ht="42" customHeight="1">
      <c r="A7" s="3" t="inlineStr">
        <is>
          <t>jeminise.com+fantasy-fire-dragon-comforter-set-with-glowing-lava-and-bedroom-setting-c7ca9ae893-c7ca9ae893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IF(B7="I1",AVERAGEIF('QA_Images'!$A$2:$A$58,A7,'QA_Images'!$R$2:$R$58)/100,IF(D7="FULL",1,IF(D7="PARTIAL",0.5,IF(D7="FAIL",0,""))))</f>
        <v/>
      </c>
      <c r="F7" s="7">
        <f>IF(E7="",0,C7*E7)</f>
        <v/>
      </c>
      <c r="G7" s="7">
        <f>IF(B7="I1",20*AVERAGEIF('QA_Images'!$A$2:$A$58,A7,'QA_Images'!$S$2:$S$58)/100,IF(D7="NOT_CHECKED",0,C7))</f>
        <v/>
      </c>
      <c r="H7" s="3" t="inlineStr">
        <is>
          <t>SEO title is concise English and matches the visible design/product type.</t>
        </is>
      </c>
      <c r="I7" s="3" t="inlineStr">
        <is>
          <t>evidence_batch_015_141; source_snapshot; live_source_comparison; customizer_audit; serp_evidence</t>
        </is>
      </c>
      <c r="J7" s="3" t="inlineStr">
        <is>
          <t>ISSUE-0001</t>
        </is>
      </c>
    </row>
    <row r="8" ht="42" customHeight="1">
      <c r="A8" s="2" t="inlineStr">
        <is>
          <t>jeminise.com+fantasy-fire-dragon-comforter-set-with-glowing-lava-and-bedroom-setting-c7ca9ae893-c7ca9ae893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IF(B8="I1",AVERAGEIF('QA_Images'!$A$2:$A$58,A8,'QA_Images'!$R$2:$R$58)/100,IF(D8="FULL",1,IF(D8="PARTIAL",0.5,IF(D8="FAIL",0,""))))</f>
        <v/>
      </c>
      <c r="F8" s="5">
        <f>IF(E8="",0,C8*E8)</f>
        <v/>
      </c>
      <c r="G8" s="5">
        <f>IF(B8="I1",20*AVERAGEIF('QA_Images'!$A$2:$A$58,A8,'QA_Images'!$S$2:$S$58)/100,IF(D8="NOT_CHECKED",0,C8))</f>
        <v/>
      </c>
      <c r="H8" s="2" t="inlineStr">
        <is>
          <t>Proposed product title is a natural, product-specific H1 candidate.</t>
        </is>
      </c>
      <c r="I8" s="2" t="inlineStr">
        <is>
          <t>evidence_batch_015_141; source_snapshot; live_source_comparison; customizer_audit; serp_evidence</t>
        </is>
      </c>
      <c r="J8" s="2" t="inlineStr">
        <is>
          <t>ISSUE-0001</t>
        </is>
      </c>
    </row>
    <row r="9" ht="42" customHeight="1">
      <c r="A9" s="3" t="inlineStr">
        <is>
          <t>jeminise.com+fantasy-fire-dragon-comforter-set-with-glowing-lava-and-bedroom-setting-c7ca9ae893-c7ca9ae893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IF(B9="I1",AVERAGEIF('QA_Images'!$A$2:$A$58,A9,'QA_Images'!$R$2:$R$58)/100,IF(D9="FULL",1,IF(D9="PARTIAL",0.5,IF(D9="FAIL",0,""))))</f>
        <v/>
      </c>
      <c r="F9" s="7">
        <f>IF(E9="",0,C9*E9)</f>
        <v/>
      </c>
      <c r="G9" s="7">
        <f>IF(B9="I1",20*AVERAGEIF('QA_Images'!$A$2:$A$58,A9,'QA_Images'!$S$2:$S$58)/100,IF(D9="NOT_CHECKED",0,C9))</f>
        <v/>
      </c>
      <c r="H9" s="3" t="inlineStr">
        <is>
          <t>SET HTML is customer-facing and contains no draft, import or QA workflow language.</t>
        </is>
      </c>
      <c r="I9" s="3" t="inlineStr">
        <is>
          <t>evidence_batch_015_141; source_snapshot; live_source_comparison; customizer_audit; serp_evidence</t>
        </is>
      </c>
      <c r="J9" s="3" t="inlineStr">
        <is>
          <t>ISSUE-0001</t>
        </is>
      </c>
    </row>
    <row r="10" ht="42" customHeight="1">
      <c r="A10" s="2" t="inlineStr">
        <is>
          <t>jeminise.com+fantasy-fire-dragon-comforter-set-with-glowing-lava-and-bedroom-setting-c7ca9ae893-c7ca9ae893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IF(B10="I1",AVERAGEIF('QA_Images'!$A$2:$A$58,A10,'QA_Images'!$R$2:$R$58)/100,IF(D10="FULL",1,IF(D10="PARTIAL",0.5,IF(D10="FAIL",0,""))))</f>
        <v/>
      </c>
      <c r="F10" s="5">
        <f>IF(E10="",0,C10*E10)</f>
        <v/>
      </c>
      <c r="G10" s="5">
        <f>IF(B10="I1",20*AVERAGEIF('QA_Images'!$A$2:$A$58,A10,'QA_Images'!$S$2:$S$58)/100,IF(D10="NOT_CHECKED",0,C10))</f>
        <v/>
      </c>
      <c r="H10" s="2" t="inlineStr">
        <is>
          <t>HTML accurately states the motif and gallery-supported components, but repeats generic positioning language instead of adding buyer-use detail.</t>
        </is>
      </c>
      <c r="I10" s="2" t="inlineStr">
        <is>
          <t>evidence_batch_015_141; source_snapshot; live_source_comparison; customizer_audit; serp_evidence</t>
        </is>
      </c>
      <c r="J10" s="2" t="inlineStr">
        <is>
          <t>ISSUE-0001</t>
        </is>
      </c>
    </row>
    <row r="11" ht="42" customHeight="1">
      <c r="A11" s="3" t="inlineStr">
        <is>
          <t>jeminise.com+fantasy-fire-dragon-comforter-set-with-glowing-lava-and-bedroom-setting-c7ca9ae893-c7ca9ae893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IF(B11="I1",AVERAGEIF('QA_Images'!$A$2:$A$58,A11,'QA_Images'!$R$2:$R$58)/100,IF(D11="FULL",1,IF(D11="PARTIAL",0.5,IF(D11="FAIL",0,""))))</f>
        <v/>
      </c>
      <c r="F11" s="7">
        <f>IF(E11="",0,C11*E11)</f>
        <v/>
      </c>
      <c r="G11" s="7">
        <f>IF(B11="I1",20*AVERAGEIF('QA_Images'!$A$2:$A$58,A11,'QA_Images'!$S$2:$S$58)/100,IF(D11="NOT_CHECKED",0,C11))</f>
        <v/>
      </c>
      <c r="H11" s="3" t="inlineStr">
        <is>
          <t>Derived from all QA_Images rows for this product.</t>
        </is>
      </c>
      <c r="I11" s="3" t="inlineStr">
        <is>
          <t>evidence_batch_015_141; source_snapshot; live_source_comparison; customizer_audit; serp_evidence</t>
        </is>
      </c>
      <c r="J11" s="3" t="inlineStr">
        <is>
          <t>ISSUE-0001</t>
        </is>
      </c>
    </row>
    <row r="12" ht="42" customHeight="1">
      <c r="A12" s="2" t="inlineStr">
        <is>
          <t>jeminise.com+fantasy-fire-dragon-comforter-set-with-glowing-lava-and-bedroom-setting-c7ca9ae893-c7ca9ae893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IF(B12="I1",AVERAGEIF('QA_Images'!$A$2:$A$58,A12,'QA_Images'!$R$2:$R$58)/100,IF(D12="FULL",1,IF(D12="PARTIAL",0.5,IF(D12="FAIL",0,""))))</f>
        <v/>
      </c>
      <c r="F12" s="5">
        <f>IF(E12="",0,C12*E12)</f>
        <v/>
      </c>
      <c r="G12" s="5">
        <f>IF(B12="I1",20*AVERAGEIF('QA_Images'!$A$2:$A$58,A12,'QA_Images'!$S$2:$S$58)/100,IF(D12="NOT_CHECKED",0,C12))</f>
        <v/>
      </c>
      <c r="H12" s="2" t="inlineStr">
        <is>
          <t>Evidence links and revision are traceable; the absent Shopify admin export remains separated as a limitation.</t>
        </is>
      </c>
      <c r="I12" s="2" t="inlineStr">
        <is>
          <t>evidence_batch_015_141; source_snapshot; live_source_comparison; customizer_audit; serp_evidence</t>
        </is>
      </c>
      <c r="J12" s="2" t="inlineStr">
        <is>
          <t>ISSUE-0001</t>
        </is>
      </c>
    </row>
    <row r="13" ht="42" customHeight="1">
      <c r="A13" s="3" t="inlineStr">
        <is>
          <t>jeminise.com+fantasy-mythical-dragon-comforter-set-with-winged-dragon-and-bedroom-setting-bcfc28e9d3-bcfc28e9d3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IF(B13="I1",AVERAGEIF('QA_Images'!$A$2:$A$58,A13,'QA_Images'!$R$2:$R$58)/100,IF(D13="FULL",1,IF(D13="PARTIAL",0.5,IF(D13="FAIL",0,""))))</f>
        <v/>
      </c>
      <c r="F13" s="7">
        <f>IF(E13="",0,C13*E13)</f>
        <v/>
      </c>
      <c r="G13" s="7">
        <f>IF(B13="I1",20*AVERAGEIF('QA_Images'!$A$2:$A$58,A13,'QA_Images'!$S$2:$S$58)/100,IF(D13="NOT_CHECKED",0,C13))</f>
        <v/>
      </c>
      <c r="H13" s="3" t="inlineStr">
        <is>
          <t>Product key, handle, ID, URL and canonical match the frozen r3 workbook and retained live comparison.</t>
        </is>
      </c>
      <c r="I13" s="3" t="inlineStr">
        <is>
          <t>evidence_batch_015_142; source_snapshot; live_source_comparison; customizer_audit; serp_evidence</t>
        </is>
      </c>
      <c r="J13" s="3" t="inlineStr">
        <is>
          <t>ISSUE-0002</t>
        </is>
      </c>
    </row>
    <row r="14" ht="42" customHeight="1">
      <c r="A14" s="2" t="inlineStr">
        <is>
          <t>jeminise.com+fantasy-mythical-dragon-comforter-set-with-winged-dragon-and-bedroom-setting-bcfc28e9d3-bcfc28e9d3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IF(B14="I1",AVERAGEIF('QA_Images'!$A$2:$A$58,A14,'QA_Images'!$R$2:$R$58)/100,IF(D14="FULL",1,IF(D14="PARTIAL",0.5,IF(D14="FAIL",0,""))))</f>
        <v/>
      </c>
      <c r="F14" s="5">
        <f>IF(E14="",0,C14*E14)</f>
        <v/>
      </c>
      <c r="G14" s="5">
        <f>IF(B14="I1",20*AVERAGEIF('QA_Images'!$A$2:$A$58,A14,'QA_Images'!$S$2:$S$58)/100,IF(D14="NOT_CHECKED",0,C14))</f>
        <v/>
      </c>
      <c r="H14" s="2" t="inlineStr">
        <is>
          <t>Visible design facts are supported by direct gallery assets; static customizer configuration is present. Admin fulfillment mapping was not supplied.</t>
        </is>
      </c>
      <c r="I14" s="2" t="inlineStr">
        <is>
          <t>evidence_batch_015_142; source_snapshot; live_source_comparison; customizer_audit; serp_evidence</t>
        </is>
      </c>
      <c r="J14" s="2" t="inlineStr">
        <is>
          <t>ISSUE-0002</t>
        </is>
      </c>
    </row>
    <row r="15" ht="42" customHeight="1">
      <c r="A15" s="3" t="inlineStr">
        <is>
          <t>jeminise.com+fantasy-mythical-dragon-comforter-set-with-winged-dragon-and-bedroom-setting-bcfc28e9d3-bcfc28e9d3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IF(B15="I1",AVERAGEIF('QA_Images'!$A$2:$A$58,A15,'QA_Images'!$R$2:$R$58)/100,IF(D15="FULL",1,IF(D15="PARTIAL",0.5,IF(D15="FAIL",0,""))))</f>
        <v/>
      </c>
      <c r="F15" s="7">
        <f>IF(E15="",0,C15*E15)</f>
        <v/>
      </c>
      <c r="G15" s="7">
        <f>IF(B15="I1",20*AVERAGEIF('QA_Images'!$A$2:$A$58,A15,'QA_Images'!$S$2:$S$58)/100,IF(D15="NOT_CHECKED",0,C15))</f>
        <v/>
      </c>
      <c r="H15" s="3" t="inlineStr">
        <is>
          <t>Product-specific long-tail is relevant, but demand support is only public SERP evidence.</t>
        </is>
      </c>
      <c r="I15" s="3" t="inlineStr">
        <is>
          <t>evidence_batch_015_142; source_snapshot; live_source_comparison; customizer_audit; serp_evidence</t>
        </is>
      </c>
      <c r="J15" s="3" t="inlineStr">
        <is>
          <t>ISSUE-0002</t>
        </is>
      </c>
    </row>
    <row r="16" ht="42" customHeight="1">
      <c r="A16" s="2" t="inlineStr">
        <is>
          <t>jeminise.com+fantasy-mythical-dragon-comforter-set-with-winged-dragon-and-bedroom-setting-bcfc28e9d3-bcfc28e9d3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IF(B16="I1",AVERAGEIF('QA_Images'!$A$2:$A$58,A16,'QA_Images'!$R$2:$R$58)/100,IF(D16="FULL",1,IF(D16="PARTIAL",0.5,IF(D16="FAIL",0,""))))</f>
        <v/>
      </c>
      <c r="F16" s="5">
        <f>IF(E16="",0,C16*E16)</f>
        <v/>
      </c>
      <c r="G16" s="5">
        <f>IF(B16="I1",20*AVERAGEIF('QA_Images'!$A$2:$A$58,A16,'QA_Images'!$S$2:$S$58)/100,IF(D16="NOT_CHECKED",0,C16))</f>
        <v/>
      </c>
      <c r="H16" s="2" t="inlineStr">
        <is>
          <t>Primary queries distinguish motif/color and product type within the batch cluster.</t>
        </is>
      </c>
      <c r="I16" s="2" t="inlineStr">
        <is>
          <t>evidence_batch_015_142; source_snapshot; live_source_comparison; customizer_audit; serp_evidence</t>
        </is>
      </c>
      <c r="J16" s="2" t="inlineStr">
        <is>
          <t>ISSUE-0002</t>
        </is>
      </c>
    </row>
    <row r="17" ht="42" customHeight="1">
      <c r="A17" s="3" t="inlineStr">
        <is>
          <t>jeminise.com+fantasy-mythical-dragon-comforter-set-with-winged-dragon-and-bedroom-setting-bcfc28e9d3-bcfc28e9d3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IF(B17="I1",AVERAGEIF('QA_Images'!$A$2:$A$58,A17,'QA_Images'!$R$2:$R$58)/100,IF(D17="FULL",1,IF(D17="PARTIAL",0.5,IF(D17="FAIL",0,""))))</f>
        <v/>
      </c>
      <c r="F17" s="7">
        <f>IF(E17="",0,C17*E17)</f>
        <v/>
      </c>
      <c r="G17" s="7">
        <f>IF(B17="I1",20*AVERAGEIF('QA_Images'!$A$2:$A$58,A17,'QA_Images'!$S$2:$S$58)/100,IF(D17="NOT_CHECKED",0,C17))</f>
        <v/>
      </c>
      <c r="H17" s="3" t="inlineStr">
        <is>
          <t>SERP_ONLY is honestly labelled; no volume, ranking or demand magnitude claim is used.</t>
        </is>
      </c>
      <c r="I17" s="3" t="inlineStr">
        <is>
          <t>evidence_batch_015_142; source_snapshot; live_source_comparison; customizer_audit; serp_evidence</t>
        </is>
      </c>
      <c r="J17" s="3" t="inlineStr">
        <is>
          <t>ISSUE-0002</t>
        </is>
      </c>
    </row>
    <row r="18" ht="42" customHeight="1">
      <c r="A18" s="2" t="inlineStr">
        <is>
          <t>jeminise.com+fantasy-mythical-dragon-comforter-set-with-winged-dragon-and-bedroom-setting-bcfc28e9d3-bcfc28e9d3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IF(B18="I1",AVERAGEIF('QA_Images'!$A$2:$A$58,A18,'QA_Images'!$R$2:$R$58)/100,IF(D18="FULL",1,IF(D18="PARTIAL",0.5,IF(D18="FAIL",0,""))))</f>
        <v/>
      </c>
      <c r="F18" s="5">
        <f>IF(E18="",0,C18*E18)</f>
        <v/>
      </c>
      <c r="G18" s="5">
        <f>IF(B18="I1",20*AVERAGEIF('QA_Images'!$A$2:$A$58,A18,'QA_Images'!$S$2:$S$58)/100,IF(D18="NOT_CHECKED",0,C18))</f>
        <v/>
      </c>
      <c r="H18" s="2" t="inlineStr">
        <is>
          <t>SEO title is concise English and matches the visible design/product type.</t>
        </is>
      </c>
      <c r="I18" s="2" t="inlineStr">
        <is>
          <t>evidence_batch_015_142; source_snapshot; live_source_comparison; customizer_audit; serp_evidence</t>
        </is>
      </c>
      <c r="J18" s="2" t="inlineStr">
        <is>
          <t>ISSUE-0002</t>
        </is>
      </c>
    </row>
    <row r="19" ht="42" customHeight="1">
      <c r="A19" s="3" t="inlineStr">
        <is>
          <t>jeminise.com+fantasy-mythical-dragon-comforter-set-with-winged-dragon-and-bedroom-setting-bcfc28e9d3-bcfc28e9d3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IF(B19="I1",AVERAGEIF('QA_Images'!$A$2:$A$58,A19,'QA_Images'!$R$2:$R$58)/100,IF(D19="FULL",1,IF(D19="PARTIAL",0.5,IF(D19="FAIL",0,""))))</f>
        <v/>
      </c>
      <c r="F19" s="7">
        <f>IF(E19="",0,C19*E19)</f>
        <v/>
      </c>
      <c r="G19" s="7">
        <f>IF(B19="I1",20*AVERAGEIF('QA_Images'!$A$2:$A$58,A19,'QA_Images'!$S$2:$S$58)/100,IF(D19="NOT_CHECKED",0,C19))</f>
        <v/>
      </c>
      <c r="H19" s="3" t="inlineStr">
        <is>
          <t>Proposed product title is a natural, product-specific H1 candidate.</t>
        </is>
      </c>
      <c r="I19" s="3" t="inlineStr">
        <is>
          <t>evidence_batch_015_142; source_snapshot; live_source_comparison; customizer_audit; serp_evidence</t>
        </is>
      </c>
      <c r="J19" s="3" t="inlineStr">
        <is>
          <t>ISSUE-0002</t>
        </is>
      </c>
    </row>
    <row r="20" ht="42" customHeight="1">
      <c r="A20" s="2" t="inlineStr">
        <is>
          <t>jeminise.com+fantasy-mythical-dragon-comforter-set-with-winged-dragon-and-bedroom-setting-bcfc28e9d3-bcfc28e9d3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IF(B20="I1",AVERAGEIF('QA_Images'!$A$2:$A$58,A20,'QA_Images'!$R$2:$R$58)/100,IF(D20="FULL",1,IF(D20="PARTIAL",0.5,IF(D20="FAIL",0,""))))</f>
        <v/>
      </c>
      <c r="F20" s="5">
        <f>IF(E20="",0,C20*E20)</f>
        <v/>
      </c>
      <c r="G20" s="5">
        <f>IF(B20="I1",20*AVERAGEIF('QA_Images'!$A$2:$A$58,A20,'QA_Images'!$S$2:$S$58)/100,IF(D20="NOT_CHECKED",0,C20))</f>
        <v/>
      </c>
      <c r="H20" s="2" t="inlineStr">
        <is>
          <t>SET HTML is customer-facing and contains no draft, import or QA workflow language.</t>
        </is>
      </c>
      <c r="I20" s="2" t="inlineStr">
        <is>
          <t>evidence_batch_015_142; source_snapshot; live_source_comparison; customizer_audit; serp_evidence</t>
        </is>
      </c>
      <c r="J20" s="2" t="inlineStr">
        <is>
          <t>ISSUE-0002</t>
        </is>
      </c>
    </row>
    <row r="21" ht="42" customHeight="1">
      <c r="A21" s="3" t="inlineStr">
        <is>
          <t>jeminise.com+fantasy-mythical-dragon-comforter-set-with-winged-dragon-and-bedroom-setting-bcfc28e9d3-bcfc28e9d3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IF(B21="I1",AVERAGEIF('QA_Images'!$A$2:$A$58,A21,'QA_Images'!$R$2:$R$58)/100,IF(D21="FULL",1,IF(D21="PARTIAL",0.5,IF(D21="FAIL",0,""))))</f>
        <v/>
      </c>
      <c r="F21" s="7">
        <f>IF(E21="",0,C21*E21)</f>
        <v/>
      </c>
      <c r="G21" s="7">
        <f>IF(B21="I1",20*AVERAGEIF('QA_Images'!$A$2:$A$58,A21,'QA_Images'!$S$2:$S$58)/100,IF(D21="NOT_CHECKED",0,C21))</f>
        <v/>
      </c>
      <c r="H21" s="3" t="inlineStr">
        <is>
          <t>HTML accurately states the motif and gallery-supported components, but repeats generic positioning language instead of adding buyer-use detail.</t>
        </is>
      </c>
      <c r="I21" s="3" t="inlineStr">
        <is>
          <t>evidence_batch_015_142; source_snapshot; live_source_comparison; customizer_audit; serp_evidence</t>
        </is>
      </c>
      <c r="J21" s="3" t="inlineStr">
        <is>
          <t>ISSUE-0002</t>
        </is>
      </c>
    </row>
    <row r="22" ht="42" customHeight="1">
      <c r="A22" s="2" t="inlineStr">
        <is>
          <t>jeminise.com+fantasy-mythical-dragon-comforter-set-with-winged-dragon-and-bedroom-setting-bcfc28e9d3-bcfc28e9d3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IF(B22="I1",AVERAGEIF('QA_Images'!$A$2:$A$58,A22,'QA_Images'!$R$2:$R$58)/100,IF(D22="FULL",1,IF(D22="PARTIAL",0.5,IF(D22="FAIL",0,""))))</f>
        <v/>
      </c>
      <c r="F22" s="5">
        <f>IF(E22="",0,C22*E22)</f>
        <v/>
      </c>
      <c r="G22" s="5">
        <f>IF(B22="I1",20*AVERAGEIF('QA_Images'!$A$2:$A$58,A22,'QA_Images'!$S$2:$S$58)/100,IF(D22="NOT_CHECKED",0,C22))</f>
        <v/>
      </c>
      <c r="H22" s="2" t="inlineStr">
        <is>
          <t>Derived from all QA_Images rows for this product.</t>
        </is>
      </c>
      <c r="I22" s="2" t="inlineStr">
        <is>
          <t>evidence_batch_015_142; source_snapshot; live_source_comparison; customizer_audit; serp_evidence</t>
        </is>
      </c>
      <c r="J22" s="2" t="inlineStr">
        <is>
          <t>ISSUE-0002</t>
        </is>
      </c>
    </row>
    <row r="23" ht="42" customHeight="1">
      <c r="A23" s="3" t="inlineStr">
        <is>
          <t>jeminise.com+fantasy-mythical-dragon-comforter-set-with-winged-dragon-and-bedroom-setting-bcfc28e9d3-bcfc28e9d3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IF(B23="I1",AVERAGEIF('QA_Images'!$A$2:$A$58,A23,'QA_Images'!$R$2:$R$58)/100,IF(D23="FULL",1,IF(D23="PARTIAL",0.5,IF(D23="FAIL",0,""))))</f>
        <v/>
      </c>
      <c r="F23" s="7">
        <f>IF(E23="",0,C23*E23)</f>
        <v/>
      </c>
      <c r="G23" s="7">
        <f>IF(B23="I1",20*AVERAGEIF('QA_Images'!$A$2:$A$58,A23,'QA_Images'!$S$2:$S$58)/100,IF(D23="NOT_CHECKED",0,C23))</f>
        <v/>
      </c>
      <c r="H23" s="3" t="inlineStr">
        <is>
          <t>Evidence links and revision are traceable; the absent Shopify admin export remains separated as a limitation.</t>
        </is>
      </c>
      <c r="I23" s="3" t="inlineStr">
        <is>
          <t>evidence_batch_015_142; source_snapshot; live_source_comparison; customizer_audit; serp_evidence</t>
        </is>
      </c>
      <c r="J23" s="3" t="inlineStr">
        <is>
          <t>ISSUE-0002</t>
        </is>
      </c>
    </row>
    <row r="24" ht="42" customHeight="1">
      <c r="A24" s="2" t="inlineStr">
        <is>
          <t>jeminise.com+fantasy-nature-tree-of-life-quilt-set-with-entwined-golden-roots-and-bedroom-setting-9ad124a9ad-9ad124a9ad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IF(B24="I1",AVERAGEIF('QA_Images'!$A$2:$A$58,A24,'QA_Images'!$R$2:$R$58)/100,IF(D24="FULL",1,IF(D24="PARTIAL",0.5,IF(D24="FAIL",0,""))))</f>
        <v/>
      </c>
      <c r="F24" s="5">
        <f>IF(E24="",0,C24*E24)</f>
        <v/>
      </c>
      <c r="G24" s="5">
        <f>IF(B24="I1",20*AVERAGEIF('QA_Images'!$A$2:$A$58,A24,'QA_Images'!$S$2:$S$58)/100,IF(D24="NOT_CHECKED",0,C24))</f>
        <v/>
      </c>
      <c r="H24" s="2" t="inlineStr">
        <is>
          <t>Product key, handle, ID, URL and canonical match the frozen r3 workbook and retained live comparison.</t>
        </is>
      </c>
      <c r="I24" s="2" t="inlineStr">
        <is>
          <t>evidence_batch_015_143; source_snapshot; live_source_comparison; customizer_audit; serp_evidence</t>
        </is>
      </c>
      <c r="J24" s="2" t="inlineStr">
        <is>
          <t>ISSUE-0003</t>
        </is>
      </c>
    </row>
    <row r="25" ht="42" customHeight="1">
      <c r="A25" s="3" t="inlineStr">
        <is>
          <t>jeminise.com+fantasy-nature-tree-of-life-quilt-set-with-entwined-golden-roots-and-bedroom-setting-9ad124a9ad-9ad124a9ad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IF(B25="I1",AVERAGEIF('QA_Images'!$A$2:$A$58,A25,'QA_Images'!$R$2:$R$58)/100,IF(D25="FULL",1,IF(D25="PARTIAL",0.5,IF(D25="FAIL",0,""))))</f>
        <v/>
      </c>
      <c r="F25" s="7">
        <f>IF(E25="",0,C25*E25)</f>
        <v/>
      </c>
      <c r="G25" s="7">
        <f>IF(B25="I1",20*AVERAGEIF('QA_Images'!$A$2:$A$58,A25,'QA_Images'!$S$2:$S$58)/100,IF(D25="NOT_CHECKED",0,C25))</f>
        <v/>
      </c>
      <c r="H25" s="3" t="inlineStr">
        <is>
          <t>Visible design facts are supported by direct gallery assets; static customizer configuration is present. Admin fulfillment mapping was not supplied.</t>
        </is>
      </c>
      <c r="I25" s="3" t="inlineStr">
        <is>
          <t>evidence_batch_015_143; source_snapshot; live_source_comparison; customizer_audit; serp_evidence</t>
        </is>
      </c>
      <c r="J25" s="3" t="inlineStr">
        <is>
          <t>ISSUE-0003</t>
        </is>
      </c>
    </row>
    <row r="26" ht="42" customHeight="1">
      <c r="A26" s="2" t="inlineStr">
        <is>
          <t>jeminise.com+fantasy-nature-tree-of-life-quilt-set-with-entwined-golden-roots-and-bedroom-setting-9ad124a9ad-9ad124a9ad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IF(B26="I1",AVERAGEIF('QA_Images'!$A$2:$A$58,A26,'QA_Images'!$R$2:$R$58)/100,IF(D26="FULL",1,IF(D26="PARTIAL",0.5,IF(D26="FAIL",0,""))))</f>
        <v/>
      </c>
      <c r="F26" s="5">
        <f>IF(E26="",0,C26*E26)</f>
        <v/>
      </c>
      <c r="G26" s="5">
        <f>IF(B26="I1",20*AVERAGEIF('QA_Images'!$A$2:$A$58,A26,'QA_Images'!$S$2:$S$58)/100,IF(D26="NOT_CHECKED",0,C26))</f>
        <v/>
      </c>
      <c r="H26" s="2" t="inlineStr">
        <is>
          <t>Product-specific long-tail is relevant, but demand support is only public SERP evidence.</t>
        </is>
      </c>
      <c r="I26" s="2" t="inlineStr">
        <is>
          <t>evidence_batch_015_143; source_snapshot; live_source_comparison; customizer_audit; serp_evidence</t>
        </is>
      </c>
      <c r="J26" s="2" t="inlineStr">
        <is>
          <t>ISSUE-0003</t>
        </is>
      </c>
    </row>
    <row r="27" ht="42" customHeight="1">
      <c r="A27" s="3" t="inlineStr">
        <is>
          <t>jeminise.com+fantasy-nature-tree-of-life-quilt-set-with-entwined-golden-roots-and-bedroom-setting-9ad124a9ad-9ad124a9ad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IF(B27="I1",AVERAGEIF('QA_Images'!$A$2:$A$58,A27,'QA_Images'!$R$2:$R$58)/100,IF(D27="FULL",1,IF(D27="PARTIAL",0.5,IF(D27="FAIL",0,""))))</f>
        <v/>
      </c>
      <c r="F27" s="7">
        <f>IF(E27="",0,C27*E27)</f>
        <v/>
      </c>
      <c r="G27" s="7">
        <f>IF(B27="I1",20*AVERAGEIF('QA_Images'!$A$2:$A$58,A27,'QA_Images'!$S$2:$S$58)/100,IF(D27="NOT_CHECKED",0,C27))</f>
        <v/>
      </c>
      <c r="H27" s="3" t="inlineStr">
        <is>
          <t>Primary queries distinguish motif/color and product type within the batch cluster.</t>
        </is>
      </c>
      <c r="I27" s="3" t="inlineStr">
        <is>
          <t>evidence_batch_015_143; source_snapshot; live_source_comparison; customizer_audit; serp_evidence</t>
        </is>
      </c>
      <c r="J27" s="3" t="inlineStr">
        <is>
          <t>ISSUE-0003</t>
        </is>
      </c>
    </row>
    <row r="28" ht="42" customHeight="1">
      <c r="A28" s="2" t="inlineStr">
        <is>
          <t>jeminise.com+fantasy-nature-tree-of-life-quilt-set-with-entwined-golden-roots-and-bedroom-setting-9ad124a9ad-9ad124a9ad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IF(B28="I1",AVERAGEIF('QA_Images'!$A$2:$A$58,A28,'QA_Images'!$R$2:$R$58)/100,IF(D28="FULL",1,IF(D28="PARTIAL",0.5,IF(D28="FAIL",0,""))))</f>
        <v/>
      </c>
      <c r="F28" s="5">
        <f>IF(E28="",0,C28*E28)</f>
        <v/>
      </c>
      <c r="G28" s="5">
        <f>IF(B28="I1",20*AVERAGEIF('QA_Images'!$A$2:$A$58,A28,'QA_Images'!$S$2:$S$58)/100,IF(D28="NOT_CHECKED",0,C28))</f>
        <v/>
      </c>
      <c r="H28" s="2" t="inlineStr">
        <is>
          <t>SERP_ONLY is honestly labelled; no volume, ranking or demand magnitude claim is used.</t>
        </is>
      </c>
      <c r="I28" s="2" t="inlineStr">
        <is>
          <t>evidence_batch_015_143; source_snapshot; live_source_comparison; customizer_audit; serp_evidence</t>
        </is>
      </c>
      <c r="J28" s="2" t="inlineStr">
        <is>
          <t>ISSUE-0003</t>
        </is>
      </c>
    </row>
    <row r="29" ht="42" customHeight="1">
      <c r="A29" s="3" t="inlineStr">
        <is>
          <t>jeminise.com+fantasy-nature-tree-of-life-quilt-set-with-entwined-golden-roots-and-bedroom-setting-9ad124a9ad-9ad124a9ad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IF(B29="I1",AVERAGEIF('QA_Images'!$A$2:$A$58,A29,'QA_Images'!$R$2:$R$58)/100,IF(D29="FULL",1,IF(D29="PARTIAL",0.5,IF(D29="FAIL",0,""))))</f>
        <v/>
      </c>
      <c r="F29" s="7">
        <f>IF(E29="",0,C29*E29)</f>
        <v/>
      </c>
      <c r="G29" s="7">
        <f>IF(B29="I1",20*AVERAGEIF('QA_Images'!$A$2:$A$58,A29,'QA_Images'!$S$2:$S$58)/100,IF(D29="NOT_CHECKED",0,C29))</f>
        <v/>
      </c>
      <c r="H29" s="3" t="inlineStr">
        <is>
          <t>SEO title is concise English and matches the visible design/product type.</t>
        </is>
      </c>
      <c r="I29" s="3" t="inlineStr">
        <is>
          <t>evidence_batch_015_143; source_snapshot; live_source_comparison; customizer_audit; serp_evidence</t>
        </is>
      </c>
      <c r="J29" s="3" t="inlineStr">
        <is>
          <t>ISSUE-0003</t>
        </is>
      </c>
    </row>
    <row r="30" ht="42" customHeight="1">
      <c r="A30" s="2" t="inlineStr">
        <is>
          <t>jeminise.com+fantasy-nature-tree-of-life-quilt-set-with-entwined-golden-roots-and-bedroom-setting-9ad124a9ad-9ad124a9ad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IF(B30="I1",AVERAGEIF('QA_Images'!$A$2:$A$58,A30,'QA_Images'!$R$2:$R$58)/100,IF(D30="FULL",1,IF(D30="PARTIAL",0.5,IF(D30="FAIL",0,""))))</f>
        <v/>
      </c>
      <c r="F30" s="5">
        <f>IF(E30="",0,C30*E30)</f>
        <v/>
      </c>
      <c r="G30" s="5">
        <f>IF(B30="I1",20*AVERAGEIF('QA_Images'!$A$2:$A$58,A30,'QA_Images'!$S$2:$S$58)/100,IF(D30="NOT_CHECKED",0,C30))</f>
        <v/>
      </c>
      <c r="H30" s="2" t="inlineStr">
        <is>
          <t>Proposed product title is a natural, product-specific H1 candidate.</t>
        </is>
      </c>
      <c r="I30" s="2" t="inlineStr">
        <is>
          <t>evidence_batch_015_143; source_snapshot; live_source_comparison; customizer_audit; serp_evidence</t>
        </is>
      </c>
      <c r="J30" s="2" t="inlineStr">
        <is>
          <t>ISSUE-0003</t>
        </is>
      </c>
    </row>
    <row r="31" ht="42" customHeight="1">
      <c r="A31" s="3" t="inlineStr">
        <is>
          <t>jeminise.com+fantasy-nature-tree-of-life-quilt-set-with-entwined-golden-roots-and-bedroom-setting-9ad124a9ad-9ad124a9ad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IF(B31="I1",AVERAGEIF('QA_Images'!$A$2:$A$58,A31,'QA_Images'!$R$2:$R$58)/100,IF(D31="FULL",1,IF(D31="PARTIAL",0.5,IF(D31="FAIL",0,""))))</f>
        <v/>
      </c>
      <c r="F31" s="7">
        <f>IF(E31="",0,C31*E31)</f>
        <v/>
      </c>
      <c r="G31" s="7">
        <f>IF(B31="I1",20*AVERAGEIF('QA_Images'!$A$2:$A$58,A31,'QA_Images'!$S$2:$S$58)/100,IF(D31="NOT_CHECKED",0,C31))</f>
        <v/>
      </c>
      <c r="H31" s="3" t="inlineStr">
        <is>
          <t>SET HTML is customer-facing and contains no draft, import or QA workflow language.</t>
        </is>
      </c>
      <c r="I31" s="3" t="inlineStr">
        <is>
          <t>evidence_batch_015_143; source_snapshot; live_source_comparison; customizer_audit; serp_evidence</t>
        </is>
      </c>
      <c r="J31" s="3" t="inlineStr">
        <is>
          <t>ISSUE-0003</t>
        </is>
      </c>
    </row>
    <row r="32" ht="42" customHeight="1">
      <c r="A32" s="2" t="inlineStr">
        <is>
          <t>jeminise.com+fantasy-nature-tree-of-life-quilt-set-with-entwined-golden-roots-and-bedroom-setting-9ad124a9ad-9ad124a9ad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IF(B32="I1",AVERAGEIF('QA_Images'!$A$2:$A$58,A32,'QA_Images'!$R$2:$R$58)/100,IF(D32="FULL",1,IF(D32="PARTIAL",0.5,IF(D32="FAIL",0,""))))</f>
        <v/>
      </c>
      <c r="F32" s="5">
        <f>IF(E32="",0,C32*E32)</f>
        <v/>
      </c>
      <c r="G32" s="5">
        <f>IF(B32="I1",20*AVERAGEIF('QA_Images'!$A$2:$A$58,A32,'QA_Images'!$S$2:$S$58)/100,IF(D32="NOT_CHECKED",0,C32))</f>
        <v/>
      </c>
      <c r="H32" s="2" t="inlineStr">
        <is>
          <t>HTML accurately states the motif and gallery-supported components, but repeats generic positioning language instead of adding buyer-use detail.</t>
        </is>
      </c>
      <c r="I32" s="2" t="inlineStr">
        <is>
          <t>evidence_batch_015_143; source_snapshot; live_source_comparison; customizer_audit; serp_evidence</t>
        </is>
      </c>
      <c r="J32" s="2" t="inlineStr">
        <is>
          <t>ISSUE-0003</t>
        </is>
      </c>
    </row>
    <row r="33" ht="42" customHeight="1">
      <c r="A33" s="3" t="inlineStr">
        <is>
          <t>jeminise.com+fantasy-nature-tree-of-life-quilt-set-with-entwined-golden-roots-and-bedroom-setting-9ad124a9ad-9ad124a9ad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IF(B33="I1",AVERAGEIF('QA_Images'!$A$2:$A$58,A33,'QA_Images'!$R$2:$R$58)/100,IF(D33="FULL",1,IF(D33="PARTIAL",0.5,IF(D33="FAIL",0,""))))</f>
        <v/>
      </c>
      <c r="F33" s="7">
        <f>IF(E33="",0,C33*E33)</f>
        <v/>
      </c>
      <c r="G33" s="7">
        <f>IF(B33="I1",20*AVERAGEIF('QA_Images'!$A$2:$A$58,A33,'QA_Images'!$S$2:$S$58)/100,IF(D33="NOT_CHECKED",0,C33))</f>
        <v/>
      </c>
      <c r="H33" s="3" t="inlineStr">
        <is>
          <t>Derived from all QA_Images rows for this product.</t>
        </is>
      </c>
      <c r="I33" s="3" t="inlineStr">
        <is>
          <t>evidence_batch_015_143; source_snapshot; live_source_comparison; customizer_audit; serp_evidence</t>
        </is>
      </c>
      <c r="J33" s="3" t="inlineStr">
        <is>
          <t>ISSUE-0003</t>
        </is>
      </c>
    </row>
    <row r="34" ht="42" customHeight="1">
      <c r="A34" s="2" t="inlineStr">
        <is>
          <t>jeminise.com+fantasy-nature-tree-of-life-quilt-set-with-entwined-golden-roots-and-bedroom-setting-9ad124a9ad-9ad124a9ad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IF(B34="I1",AVERAGEIF('QA_Images'!$A$2:$A$58,A34,'QA_Images'!$R$2:$R$58)/100,IF(D34="FULL",1,IF(D34="PARTIAL",0.5,IF(D34="FAIL",0,""))))</f>
        <v/>
      </c>
      <c r="F34" s="5">
        <f>IF(E34="",0,C34*E34)</f>
        <v/>
      </c>
      <c r="G34" s="5">
        <f>IF(B34="I1",20*AVERAGEIF('QA_Images'!$A$2:$A$58,A34,'QA_Images'!$S$2:$S$58)/100,IF(D34="NOT_CHECKED",0,C34))</f>
        <v/>
      </c>
      <c r="H34" s="2" t="inlineStr">
        <is>
          <t>Evidence links and revision are traceable; the absent Shopify admin export remains separated as a limitation.</t>
        </is>
      </c>
      <c r="I34" s="2" t="inlineStr">
        <is>
          <t>evidence_batch_015_143; source_snapshot; live_source_comparison; customizer_audit; serp_evidence</t>
        </is>
      </c>
      <c r="J34" s="2" t="inlineStr">
        <is>
          <t>ISSUE-0003</t>
        </is>
      </c>
    </row>
    <row r="35" ht="42" customHeight="1">
      <c r="A35" s="3" t="inlineStr">
        <is>
          <t>jeminise.com+fantasy-nature-tree-of-life-quilt-set-with-twisted-tree-trunk-and-bedroom-4dbc5a5b98-4dbc5a5b98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IF(B35="I1",AVERAGEIF('QA_Images'!$A$2:$A$58,A35,'QA_Images'!$R$2:$R$58)/100,IF(D35="FULL",1,IF(D35="PARTIAL",0.5,IF(D35="FAIL",0,""))))</f>
        <v/>
      </c>
      <c r="F35" s="7">
        <f>IF(E35="",0,C35*E35)</f>
        <v/>
      </c>
      <c r="G35" s="7">
        <f>IF(B35="I1",20*AVERAGEIF('QA_Images'!$A$2:$A$58,A35,'QA_Images'!$S$2:$S$58)/100,IF(D35="NOT_CHECKED",0,C35))</f>
        <v/>
      </c>
      <c r="H35" s="3" t="inlineStr">
        <is>
          <t>Product key, handle, ID, URL and canonical match the frozen r3 workbook and retained live comparison.</t>
        </is>
      </c>
      <c r="I35" s="3" t="inlineStr">
        <is>
          <t>evidence_batch_015_144; source_snapshot; live_source_comparison; customizer_audit; serp_evidence</t>
        </is>
      </c>
      <c r="J35" s="3" t="inlineStr">
        <is>
          <t>ISSUE-0004</t>
        </is>
      </c>
    </row>
    <row r="36" ht="42" customHeight="1">
      <c r="A36" s="2" t="inlineStr">
        <is>
          <t>jeminise.com+fantasy-nature-tree-of-life-quilt-set-with-twisted-tree-trunk-and-bedroom-4dbc5a5b98-4dbc5a5b98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IF(B36="I1",AVERAGEIF('QA_Images'!$A$2:$A$58,A36,'QA_Images'!$R$2:$R$58)/100,IF(D36="FULL",1,IF(D36="PARTIAL",0.5,IF(D36="FAIL",0,""))))</f>
        <v/>
      </c>
      <c r="F36" s="5">
        <f>IF(E36="",0,C36*E36)</f>
        <v/>
      </c>
      <c r="G36" s="5">
        <f>IF(B36="I1",20*AVERAGEIF('QA_Images'!$A$2:$A$58,A36,'QA_Images'!$S$2:$S$58)/100,IF(D36="NOT_CHECKED",0,C36))</f>
        <v/>
      </c>
      <c r="H36" s="2" t="inlineStr">
        <is>
          <t>Visible design facts are supported by direct gallery assets; static customizer configuration is present. Admin fulfillment mapping was not supplied.</t>
        </is>
      </c>
      <c r="I36" s="2" t="inlineStr">
        <is>
          <t>evidence_batch_015_144; source_snapshot; live_source_comparison; customizer_audit; serp_evidence</t>
        </is>
      </c>
      <c r="J36" s="2" t="inlineStr">
        <is>
          <t>ISSUE-0004</t>
        </is>
      </c>
    </row>
    <row r="37" ht="42" customHeight="1">
      <c r="A37" s="3" t="inlineStr">
        <is>
          <t>jeminise.com+fantasy-nature-tree-of-life-quilt-set-with-twisted-tree-trunk-and-bedroom-4dbc5a5b98-4dbc5a5b98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IF(B37="I1",AVERAGEIF('QA_Images'!$A$2:$A$58,A37,'QA_Images'!$R$2:$R$58)/100,IF(D37="FULL",1,IF(D37="PARTIAL",0.5,IF(D37="FAIL",0,""))))</f>
        <v/>
      </c>
      <c r="F37" s="7">
        <f>IF(E37="",0,C37*E37)</f>
        <v/>
      </c>
      <c r="G37" s="7">
        <f>IF(B37="I1",20*AVERAGEIF('QA_Images'!$A$2:$A$58,A37,'QA_Images'!$S$2:$S$58)/100,IF(D37="NOT_CHECKED",0,C37))</f>
        <v/>
      </c>
      <c r="H37" s="3" t="inlineStr">
        <is>
          <t>Product-specific long-tail is relevant, but demand support is only public SERP evidence.</t>
        </is>
      </c>
      <c r="I37" s="3" t="inlineStr">
        <is>
          <t>evidence_batch_015_144; source_snapshot; live_source_comparison; customizer_audit; serp_evidence</t>
        </is>
      </c>
      <c r="J37" s="3" t="inlineStr">
        <is>
          <t>ISSUE-0004</t>
        </is>
      </c>
    </row>
    <row r="38" ht="42" customHeight="1">
      <c r="A38" s="2" t="inlineStr">
        <is>
          <t>jeminise.com+fantasy-nature-tree-of-life-quilt-set-with-twisted-tree-trunk-and-bedroom-4dbc5a5b98-4dbc5a5b98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IF(B38="I1",AVERAGEIF('QA_Images'!$A$2:$A$58,A38,'QA_Images'!$R$2:$R$58)/100,IF(D38="FULL",1,IF(D38="PARTIAL",0.5,IF(D38="FAIL",0,""))))</f>
        <v/>
      </c>
      <c r="F38" s="5">
        <f>IF(E38="",0,C38*E38)</f>
        <v/>
      </c>
      <c r="G38" s="5">
        <f>IF(B38="I1",20*AVERAGEIF('QA_Images'!$A$2:$A$58,A38,'QA_Images'!$S$2:$S$58)/100,IF(D38="NOT_CHECKED",0,C38))</f>
        <v/>
      </c>
      <c r="H38" s="2" t="inlineStr">
        <is>
          <t>Primary queries distinguish motif/color and product type within the batch cluster.</t>
        </is>
      </c>
      <c r="I38" s="2" t="inlineStr">
        <is>
          <t>evidence_batch_015_144; source_snapshot; live_source_comparison; customizer_audit; serp_evidence</t>
        </is>
      </c>
      <c r="J38" s="2" t="inlineStr">
        <is>
          <t>ISSUE-0004</t>
        </is>
      </c>
    </row>
    <row r="39" ht="42" customHeight="1">
      <c r="A39" s="3" t="inlineStr">
        <is>
          <t>jeminise.com+fantasy-nature-tree-of-life-quilt-set-with-twisted-tree-trunk-and-bedroom-4dbc5a5b98-4dbc5a5b98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IF(B39="I1",AVERAGEIF('QA_Images'!$A$2:$A$58,A39,'QA_Images'!$R$2:$R$58)/100,IF(D39="FULL",1,IF(D39="PARTIAL",0.5,IF(D39="FAIL",0,""))))</f>
        <v/>
      </c>
      <c r="F39" s="7">
        <f>IF(E39="",0,C39*E39)</f>
        <v/>
      </c>
      <c r="G39" s="7">
        <f>IF(B39="I1",20*AVERAGEIF('QA_Images'!$A$2:$A$58,A39,'QA_Images'!$S$2:$S$58)/100,IF(D39="NOT_CHECKED",0,C39))</f>
        <v/>
      </c>
      <c r="H39" s="3" t="inlineStr">
        <is>
          <t>SERP_ONLY is honestly labelled; no volume, ranking or demand magnitude claim is used.</t>
        </is>
      </c>
      <c r="I39" s="3" t="inlineStr">
        <is>
          <t>evidence_batch_015_144; source_snapshot; live_source_comparison; customizer_audit; serp_evidence</t>
        </is>
      </c>
      <c r="J39" s="3" t="inlineStr">
        <is>
          <t>ISSUE-0004</t>
        </is>
      </c>
    </row>
    <row r="40" ht="42" customHeight="1">
      <c r="A40" s="2" t="inlineStr">
        <is>
          <t>jeminise.com+fantasy-nature-tree-of-life-quilt-set-with-twisted-tree-trunk-and-bedroom-4dbc5a5b98-4dbc5a5b98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IF(B40="I1",AVERAGEIF('QA_Images'!$A$2:$A$58,A40,'QA_Images'!$R$2:$R$58)/100,IF(D40="FULL",1,IF(D40="PARTIAL",0.5,IF(D40="FAIL",0,""))))</f>
        <v/>
      </c>
      <c r="F40" s="5">
        <f>IF(E40="",0,C40*E40)</f>
        <v/>
      </c>
      <c r="G40" s="5">
        <f>IF(B40="I1",20*AVERAGEIF('QA_Images'!$A$2:$A$58,A40,'QA_Images'!$S$2:$S$58)/100,IF(D40="NOT_CHECKED",0,C40))</f>
        <v/>
      </c>
      <c r="H40" s="2" t="inlineStr">
        <is>
          <t>SEO title is concise English and matches the visible design/product type.</t>
        </is>
      </c>
      <c r="I40" s="2" t="inlineStr">
        <is>
          <t>evidence_batch_015_144; source_snapshot; live_source_comparison; customizer_audit; serp_evidence</t>
        </is>
      </c>
      <c r="J40" s="2" t="inlineStr">
        <is>
          <t>ISSUE-0004</t>
        </is>
      </c>
    </row>
    <row r="41" ht="42" customHeight="1">
      <c r="A41" s="3" t="inlineStr">
        <is>
          <t>jeminise.com+fantasy-nature-tree-of-life-quilt-set-with-twisted-tree-trunk-and-bedroom-4dbc5a5b98-4dbc5a5b98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IF(B41="I1",AVERAGEIF('QA_Images'!$A$2:$A$58,A41,'QA_Images'!$R$2:$R$58)/100,IF(D41="FULL",1,IF(D41="PARTIAL",0.5,IF(D41="FAIL",0,""))))</f>
        <v/>
      </c>
      <c r="F41" s="7">
        <f>IF(E41="",0,C41*E41)</f>
        <v/>
      </c>
      <c r="G41" s="7">
        <f>IF(B41="I1",20*AVERAGEIF('QA_Images'!$A$2:$A$58,A41,'QA_Images'!$S$2:$S$58)/100,IF(D41="NOT_CHECKED",0,C41))</f>
        <v/>
      </c>
      <c r="H41" s="3" t="inlineStr">
        <is>
          <t>Proposed product title is a natural, product-specific H1 candidate.</t>
        </is>
      </c>
      <c r="I41" s="3" t="inlineStr">
        <is>
          <t>evidence_batch_015_144; source_snapshot; live_source_comparison; customizer_audit; serp_evidence</t>
        </is>
      </c>
      <c r="J41" s="3" t="inlineStr">
        <is>
          <t>ISSUE-0004</t>
        </is>
      </c>
    </row>
    <row r="42" ht="42" customHeight="1">
      <c r="A42" s="2" t="inlineStr">
        <is>
          <t>jeminise.com+fantasy-nature-tree-of-life-quilt-set-with-twisted-tree-trunk-and-bedroom-4dbc5a5b98-4dbc5a5b98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IF(B42="I1",AVERAGEIF('QA_Images'!$A$2:$A$58,A42,'QA_Images'!$R$2:$R$58)/100,IF(D42="FULL",1,IF(D42="PARTIAL",0.5,IF(D42="FAIL",0,""))))</f>
        <v/>
      </c>
      <c r="F42" s="5">
        <f>IF(E42="",0,C42*E42)</f>
        <v/>
      </c>
      <c r="G42" s="5">
        <f>IF(B42="I1",20*AVERAGEIF('QA_Images'!$A$2:$A$58,A42,'QA_Images'!$S$2:$S$58)/100,IF(D42="NOT_CHECKED",0,C42))</f>
        <v/>
      </c>
      <c r="H42" s="2" t="inlineStr">
        <is>
          <t>SET HTML is customer-facing and contains no draft, import or QA workflow language.</t>
        </is>
      </c>
      <c r="I42" s="2" t="inlineStr">
        <is>
          <t>evidence_batch_015_144; source_snapshot; live_source_comparison; customizer_audit; serp_evidence</t>
        </is>
      </c>
      <c r="J42" s="2" t="inlineStr">
        <is>
          <t>ISSUE-0004</t>
        </is>
      </c>
    </row>
    <row r="43" ht="42" customHeight="1">
      <c r="A43" s="3" t="inlineStr">
        <is>
          <t>jeminise.com+fantasy-nature-tree-of-life-quilt-set-with-twisted-tree-trunk-and-bedroom-4dbc5a5b98-4dbc5a5b98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IF(B43="I1",AVERAGEIF('QA_Images'!$A$2:$A$58,A43,'QA_Images'!$R$2:$R$58)/100,IF(D43="FULL",1,IF(D43="PARTIAL",0.5,IF(D43="FAIL",0,""))))</f>
        <v/>
      </c>
      <c r="F43" s="7">
        <f>IF(E43="",0,C43*E43)</f>
        <v/>
      </c>
      <c r="G43" s="7">
        <f>IF(B43="I1",20*AVERAGEIF('QA_Images'!$A$2:$A$58,A43,'QA_Images'!$S$2:$S$58)/100,IF(D43="NOT_CHECKED",0,C43))</f>
        <v/>
      </c>
      <c r="H43" s="3" t="inlineStr">
        <is>
          <t>HTML accurately states the motif and gallery-supported components, but repeats generic positioning language instead of adding buyer-use detail.</t>
        </is>
      </c>
      <c r="I43" s="3" t="inlineStr">
        <is>
          <t>evidence_batch_015_144; source_snapshot; live_source_comparison; customizer_audit; serp_evidence</t>
        </is>
      </c>
      <c r="J43" s="3" t="inlineStr">
        <is>
          <t>ISSUE-0004</t>
        </is>
      </c>
    </row>
    <row r="44" ht="42" customHeight="1">
      <c r="A44" s="2" t="inlineStr">
        <is>
          <t>jeminise.com+fantasy-nature-tree-of-life-quilt-set-with-twisted-tree-trunk-and-bedroom-4dbc5a5b98-4dbc5a5b98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IF(B44="I1",AVERAGEIF('QA_Images'!$A$2:$A$58,A44,'QA_Images'!$R$2:$R$58)/100,IF(D44="FULL",1,IF(D44="PARTIAL",0.5,IF(D44="FAIL",0,""))))</f>
        <v/>
      </c>
      <c r="F44" s="5">
        <f>IF(E44="",0,C44*E44)</f>
        <v/>
      </c>
      <c r="G44" s="5">
        <f>IF(B44="I1",20*AVERAGEIF('QA_Images'!$A$2:$A$58,A44,'QA_Images'!$S$2:$S$58)/100,IF(D44="NOT_CHECKED",0,C44))</f>
        <v/>
      </c>
      <c r="H44" s="2" t="inlineStr">
        <is>
          <t>Derived from all QA_Images rows for this product.</t>
        </is>
      </c>
      <c r="I44" s="2" t="inlineStr">
        <is>
          <t>evidence_batch_015_144; source_snapshot; live_source_comparison; customizer_audit; serp_evidence</t>
        </is>
      </c>
      <c r="J44" s="2" t="inlineStr">
        <is>
          <t>ISSUE-0004</t>
        </is>
      </c>
    </row>
    <row r="45" ht="42" customHeight="1">
      <c r="A45" s="3" t="inlineStr">
        <is>
          <t>jeminise.com+fantasy-nature-tree-of-life-quilt-set-with-twisted-tree-trunk-and-bedroom-4dbc5a5b98-4dbc5a5b98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IF(B45="I1",AVERAGEIF('QA_Images'!$A$2:$A$58,A45,'QA_Images'!$R$2:$R$58)/100,IF(D45="FULL",1,IF(D45="PARTIAL",0.5,IF(D45="FAIL",0,""))))</f>
        <v/>
      </c>
      <c r="F45" s="7">
        <f>IF(E45="",0,C45*E45)</f>
        <v/>
      </c>
      <c r="G45" s="7">
        <f>IF(B45="I1",20*AVERAGEIF('QA_Images'!$A$2:$A$58,A45,'QA_Images'!$S$2:$S$58)/100,IF(D45="NOT_CHECKED",0,C45))</f>
        <v/>
      </c>
      <c r="H45" s="3" t="inlineStr">
        <is>
          <t>Evidence links and revision are traceable; the absent Shopify admin export remains separated as a limitation.</t>
        </is>
      </c>
      <c r="I45" s="3" t="inlineStr">
        <is>
          <t>evidence_batch_015_144; source_snapshot; live_source_comparison; customizer_audit; serp_evidence</t>
        </is>
      </c>
      <c r="J45" s="3" t="inlineStr">
        <is>
          <t>ISSUE-0004</t>
        </is>
      </c>
    </row>
    <row r="46" ht="42" customHeight="1">
      <c r="A46" s="2" t="inlineStr">
        <is>
          <t>jeminise.com+fantasy-comforter-set-with-dragon-and-bedroom-and-fire-and-spikes-9008eacaf3-9008eacaf3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IF(B46="I1",AVERAGEIF('QA_Images'!$A$2:$A$58,A46,'QA_Images'!$R$2:$R$58)/100,IF(D46="FULL",1,IF(D46="PARTIAL",0.5,IF(D46="FAIL",0,""))))</f>
        <v/>
      </c>
      <c r="F46" s="5">
        <f>IF(E46="",0,C46*E46)</f>
        <v/>
      </c>
      <c r="G46" s="5">
        <f>IF(B46="I1",20*AVERAGEIF('QA_Images'!$A$2:$A$58,A46,'QA_Images'!$S$2:$S$58)/100,IF(D46="NOT_CHECKED",0,C46))</f>
        <v/>
      </c>
      <c r="H46" s="2" t="inlineStr">
        <is>
          <t>Product key, handle, ID, URL and canonical match the frozen r3 workbook and retained live comparison.</t>
        </is>
      </c>
      <c r="I46" s="2" t="inlineStr">
        <is>
          <t>evidence_batch_015_145; source_snapshot; live_source_comparison; customizer_audit; serp_evidence</t>
        </is>
      </c>
      <c r="J46" s="2" t="inlineStr">
        <is>
          <t>ISSUE-0005</t>
        </is>
      </c>
    </row>
    <row r="47" ht="42" customHeight="1">
      <c r="A47" s="3" t="inlineStr">
        <is>
          <t>jeminise.com+fantasy-comforter-set-with-dragon-and-bedroom-and-fire-and-spikes-9008eacaf3-9008eacaf3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IF(B47="I1",AVERAGEIF('QA_Images'!$A$2:$A$58,A47,'QA_Images'!$R$2:$R$58)/100,IF(D47="FULL",1,IF(D47="PARTIAL",0.5,IF(D47="FAIL",0,""))))</f>
        <v/>
      </c>
      <c r="F47" s="7">
        <f>IF(E47="",0,C47*E47)</f>
        <v/>
      </c>
      <c r="G47" s="7">
        <f>IF(B47="I1",20*AVERAGEIF('QA_Images'!$A$2:$A$58,A47,'QA_Images'!$S$2:$S$58)/100,IF(D47="NOT_CHECKED",0,C47))</f>
        <v/>
      </c>
      <c r="H47" s="3" t="inlineStr">
        <is>
          <t>Visible design facts are supported by direct gallery assets; static customizer configuration is present. Admin fulfillment mapping was not supplied.</t>
        </is>
      </c>
      <c r="I47" s="3" t="inlineStr">
        <is>
          <t>evidence_batch_015_145; source_snapshot; live_source_comparison; customizer_audit; serp_evidence</t>
        </is>
      </c>
      <c r="J47" s="3" t="inlineStr">
        <is>
          <t>ISSUE-0005</t>
        </is>
      </c>
    </row>
    <row r="48" ht="42" customHeight="1">
      <c r="A48" s="2" t="inlineStr">
        <is>
          <t>jeminise.com+fantasy-comforter-set-with-dragon-and-bedroom-and-fire-and-spikes-9008eacaf3-9008eacaf3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IF(B48="I1",AVERAGEIF('QA_Images'!$A$2:$A$58,A48,'QA_Images'!$R$2:$R$58)/100,IF(D48="FULL",1,IF(D48="PARTIAL",0.5,IF(D48="FAIL",0,""))))</f>
        <v/>
      </c>
      <c r="F48" s="5">
        <f>IF(E48="",0,C48*E48)</f>
        <v/>
      </c>
      <c r="G48" s="5">
        <f>IF(B48="I1",20*AVERAGEIF('QA_Images'!$A$2:$A$58,A48,'QA_Images'!$S$2:$S$58)/100,IF(D48="NOT_CHECKED",0,C48))</f>
        <v/>
      </c>
      <c r="H48" s="2" t="inlineStr">
        <is>
          <t>Product-specific long-tail is relevant, but demand support is only public SERP evidence.</t>
        </is>
      </c>
      <c r="I48" s="2" t="inlineStr">
        <is>
          <t>evidence_batch_015_145; source_snapshot; live_source_comparison; customizer_audit; serp_evidence</t>
        </is>
      </c>
      <c r="J48" s="2" t="inlineStr">
        <is>
          <t>ISSUE-0005</t>
        </is>
      </c>
    </row>
    <row r="49" ht="42" customHeight="1">
      <c r="A49" s="3" t="inlineStr">
        <is>
          <t>jeminise.com+fantasy-comforter-set-with-dragon-and-bedroom-and-fire-and-spikes-9008eacaf3-9008eacaf3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IF(B49="I1",AVERAGEIF('QA_Images'!$A$2:$A$58,A49,'QA_Images'!$R$2:$R$58)/100,IF(D49="FULL",1,IF(D49="PARTIAL",0.5,IF(D49="FAIL",0,""))))</f>
        <v/>
      </c>
      <c r="F49" s="7">
        <f>IF(E49="",0,C49*E49)</f>
        <v/>
      </c>
      <c r="G49" s="7">
        <f>IF(B49="I1",20*AVERAGEIF('QA_Images'!$A$2:$A$58,A49,'QA_Images'!$S$2:$S$58)/100,IF(D49="NOT_CHECKED",0,C49))</f>
        <v/>
      </c>
      <c r="H49" s="3" t="inlineStr">
        <is>
          <t>Primary queries distinguish motif/color and product type within the batch cluster.</t>
        </is>
      </c>
      <c r="I49" s="3" t="inlineStr">
        <is>
          <t>evidence_batch_015_145; source_snapshot; live_source_comparison; customizer_audit; serp_evidence</t>
        </is>
      </c>
      <c r="J49" s="3" t="inlineStr">
        <is>
          <t>ISSUE-0005</t>
        </is>
      </c>
    </row>
    <row r="50" ht="42" customHeight="1">
      <c r="A50" s="2" t="inlineStr">
        <is>
          <t>jeminise.com+fantasy-comforter-set-with-dragon-and-bedroom-and-fire-and-spikes-9008eacaf3-9008eacaf3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IF(B50="I1",AVERAGEIF('QA_Images'!$A$2:$A$58,A50,'QA_Images'!$R$2:$R$58)/100,IF(D50="FULL",1,IF(D50="PARTIAL",0.5,IF(D50="FAIL",0,""))))</f>
        <v/>
      </c>
      <c r="F50" s="5">
        <f>IF(E50="",0,C50*E50)</f>
        <v/>
      </c>
      <c r="G50" s="5">
        <f>IF(B50="I1",20*AVERAGEIF('QA_Images'!$A$2:$A$58,A50,'QA_Images'!$S$2:$S$58)/100,IF(D50="NOT_CHECKED",0,C50))</f>
        <v/>
      </c>
      <c r="H50" s="2" t="inlineStr">
        <is>
          <t>SERP_ONLY is honestly labelled; no volume, ranking or demand magnitude claim is used.</t>
        </is>
      </c>
      <c r="I50" s="2" t="inlineStr">
        <is>
          <t>evidence_batch_015_145; source_snapshot; live_source_comparison; customizer_audit; serp_evidence</t>
        </is>
      </c>
      <c r="J50" s="2" t="inlineStr">
        <is>
          <t>ISSUE-0005</t>
        </is>
      </c>
    </row>
    <row r="51" ht="42" customHeight="1">
      <c r="A51" s="3" t="inlineStr">
        <is>
          <t>jeminise.com+fantasy-comforter-set-with-dragon-and-bedroom-and-fire-and-spikes-9008eacaf3-9008eacaf3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IF(B51="I1",AVERAGEIF('QA_Images'!$A$2:$A$58,A51,'QA_Images'!$R$2:$R$58)/100,IF(D51="FULL",1,IF(D51="PARTIAL",0.5,IF(D51="FAIL",0,""))))</f>
        <v/>
      </c>
      <c r="F51" s="7">
        <f>IF(E51="",0,C51*E51)</f>
        <v/>
      </c>
      <c r="G51" s="7">
        <f>IF(B51="I1",20*AVERAGEIF('QA_Images'!$A$2:$A$58,A51,'QA_Images'!$S$2:$S$58)/100,IF(D51="NOT_CHECKED",0,C51))</f>
        <v/>
      </c>
      <c r="H51" s="3" t="inlineStr">
        <is>
          <t>SEO title is concise English and matches the visible design/product type.</t>
        </is>
      </c>
      <c r="I51" s="3" t="inlineStr">
        <is>
          <t>evidence_batch_015_145; source_snapshot; live_source_comparison; customizer_audit; serp_evidence</t>
        </is>
      </c>
      <c r="J51" s="3" t="inlineStr">
        <is>
          <t>ISSUE-0005</t>
        </is>
      </c>
    </row>
    <row r="52" ht="42" customHeight="1">
      <c r="A52" s="2" t="inlineStr">
        <is>
          <t>jeminise.com+fantasy-comforter-set-with-dragon-and-bedroom-and-fire-and-spikes-9008eacaf3-9008eacaf3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IF(B52="I1",AVERAGEIF('QA_Images'!$A$2:$A$58,A52,'QA_Images'!$R$2:$R$58)/100,IF(D52="FULL",1,IF(D52="PARTIAL",0.5,IF(D52="FAIL",0,""))))</f>
        <v/>
      </c>
      <c r="F52" s="5">
        <f>IF(E52="",0,C52*E52)</f>
        <v/>
      </c>
      <c r="G52" s="5">
        <f>IF(B52="I1",20*AVERAGEIF('QA_Images'!$A$2:$A$58,A52,'QA_Images'!$S$2:$S$58)/100,IF(D52="NOT_CHECKED",0,C52))</f>
        <v/>
      </c>
      <c r="H52" s="2" t="inlineStr">
        <is>
          <t>Proposed product title is a natural, product-specific H1 candidate.</t>
        </is>
      </c>
      <c r="I52" s="2" t="inlineStr">
        <is>
          <t>evidence_batch_015_145; source_snapshot; live_source_comparison; customizer_audit; serp_evidence</t>
        </is>
      </c>
      <c r="J52" s="2" t="inlineStr">
        <is>
          <t>ISSUE-0005</t>
        </is>
      </c>
    </row>
    <row r="53" ht="42" customHeight="1">
      <c r="A53" s="3" t="inlineStr">
        <is>
          <t>jeminise.com+fantasy-comforter-set-with-dragon-and-bedroom-and-fire-and-spikes-9008eacaf3-9008eacaf3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IF(B53="I1",AVERAGEIF('QA_Images'!$A$2:$A$58,A53,'QA_Images'!$R$2:$R$58)/100,IF(D53="FULL",1,IF(D53="PARTIAL",0.5,IF(D53="FAIL",0,""))))</f>
        <v/>
      </c>
      <c r="F53" s="7">
        <f>IF(E53="",0,C53*E53)</f>
        <v/>
      </c>
      <c r="G53" s="7">
        <f>IF(B53="I1",20*AVERAGEIF('QA_Images'!$A$2:$A$58,A53,'QA_Images'!$S$2:$S$58)/100,IF(D53="NOT_CHECKED",0,C53))</f>
        <v/>
      </c>
      <c r="H53" s="3" t="inlineStr">
        <is>
          <t>SET HTML is customer-facing and contains no draft, import or QA workflow language.</t>
        </is>
      </c>
      <c r="I53" s="3" t="inlineStr">
        <is>
          <t>evidence_batch_015_145; source_snapshot; live_source_comparison; customizer_audit; serp_evidence</t>
        </is>
      </c>
      <c r="J53" s="3" t="inlineStr">
        <is>
          <t>ISSUE-0005</t>
        </is>
      </c>
    </row>
    <row r="54" ht="42" customHeight="1">
      <c r="A54" s="2" t="inlineStr">
        <is>
          <t>jeminise.com+fantasy-comforter-set-with-dragon-and-bedroom-and-fire-and-spikes-9008eacaf3-9008eacaf3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IF(B54="I1",AVERAGEIF('QA_Images'!$A$2:$A$58,A54,'QA_Images'!$R$2:$R$58)/100,IF(D54="FULL",1,IF(D54="PARTIAL",0.5,IF(D54="FAIL",0,""))))</f>
        <v/>
      </c>
      <c r="F54" s="5">
        <f>IF(E54="",0,C54*E54)</f>
        <v/>
      </c>
      <c r="G54" s="5">
        <f>IF(B54="I1",20*AVERAGEIF('QA_Images'!$A$2:$A$58,A54,'QA_Images'!$S$2:$S$58)/100,IF(D54="NOT_CHECKED",0,C54))</f>
        <v/>
      </c>
      <c r="H54" s="2" t="inlineStr">
        <is>
          <t>HTML accurately states the motif and gallery-supported components, but repeats generic positioning language instead of adding buyer-use detail.</t>
        </is>
      </c>
      <c r="I54" s="2" t="inlineStr">
        <is>
          <t>evidence_batch_015_145; source_snapshot; live_source_comparison; customizer_audit; serp_evidence</t>
        </is>
      </c>
      <c r="J54" s="2" t="inlineStr">
        <is>
          <t>ISSUE-0005</t>
        </is>
      </c>
    </row>
    <row r="55" ht="42" customHeight="1">
      <c r="A55" s="3" t="inlineStr">
        <is>
          <t>jeminise.com+fantasy-comforter-set-with-dragon-and-bedroom-and-fire-and-spikes-9008eacaf3-9008eacaf3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IF(B55="I1",AVERAGEIF('QA_Images'!$A$2:$A$58,A55,'QA_Images'!$R$2:$R$58)/100,IF(D55="FULL",1,IF(D55="PARTIAL",0.5,IF(D55="FAIL",0,""))))</f>
        <v/>
      </c>
      <c r="F55" s="7">
        <f>IF(E55="",0,C55*E55)</f>
        <v/>
      </c>
      <c r="G55" s="7">
        <f>IF(B55="I1",20*AVERAGEIF('QA_Images'!$A$2:$A$58,A55,'QA_Images'!$S$2:$S$58)/100,IF(D55="NOT_CHECKED",0,C55))</f>
        <v/>
      </c>
      <c r="H55" s="3" t="inlineStr">
        <is>
          <t>Derived from all QA_Images rows for this product.</t>
        </is>
      </c>
      <c r="I55" s="3" t="inlineStr">
        <is>
          <t>evidence_batch_015_145; source_snapshot; live_source_comparison; customizer_audit; serp_evidence</t>
        </is>
      </c>
      <c r="J55" s="3" t="inlineStr">
        <is>
          <t>ISSUE-0005</t>
        </is>
      </c>
    </row>
    <row r="56" ht="42" customHeight="1">
      <c r="A56" s="2" t="inlineStr">
        <is>
          <t>jeminise.com+fantasy-comforter-set-with-dragon-and-bedroom-and-fire-and-spikes-9008eacaf3-9008eacaf3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IF(B56="I1",AVERAGEIF('QA_Images'!$A$2:$A$58,A56,'QA_Images'!$R$2:$R$58)/100,IF(D56="FULL",1,IF(D56="PARTIAL",0.5,IF(D56="FAIL",0,""))))</f>
        <v/>
      </c>
      <c r="F56" s="5">
        <f>IF(E56="",0,C56*E56)</f>
        <v/>
      </c>
      <c r="G56" s="5">
        <f>IF(B56="I1",20*AVERAGEIF('QA_Images'!$A$2:$A$58,A56,'QA_Images'!$S$2:$S$58)/100,IF(D56="NOT_CHECKED",0,C56))</f>
        <v/>
      </c>
      <c r="H56" s="2" t="inlineStr">
        <is>
          <t>Evidence links and revision are traceable; the absent Shopify admin export remains separated as a limitation.</t>
        </is>
      </c>
      <c r="I56" s="2" t="inlineStr">
        <is>
          <t>evidence_batch_015_145; source_snapshot; live_source_comparison; customizer_audit; serp_evidence</t>
        </is>
      </c>
      <c r="J56" s="2" t="inlineStr">
        <is>
          <t>ISSUE-0005</t>
        </is>
      </c>
    </row>
    <row r="57" ht="42" customHeight="1">
      <c r="A57" s="3" t="inlineStr">
        <is>
          <t>jeminise.com+fantasy-winged-dragon-comforter-set-with-starry-nebula-pattern-and-bedroom-setting-d228ce3712-d228ce3712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IF(B57="I1",AVERAGEIF('QA_Images'!$A$2:$A$58,A57,'QA_Images'!$R$2:$R$58)/100,IF(D57="FULL",1,IF(D57="PARTIAL",0.5,IF(D57="FAIL",0,""))))</f>
        <v/>
      </c>
      <c r="F57" s="7">
        <f>IF(E57="",0,C57*E57)</f>
        <v/>
      </c>
      <c r="G57" s="7">
        <f>IF(B57="I1",20*AVERAGEIF('QA_Images'!$A$2:$A$58,A57,'QA_Images'!$S$2:$S$58)/100,IF(D57="NOT_CHECKED",0,C57))</f>
        <v/>
      </c>
      <c r="H57" s="3" t="inlineStr">
        <is>
          <t>Product key, handle, ID, URL and canonical match the frozen r3 workbook and retained live comparison.</t>
        </is>
      </c>
      <c r="I57" s="3" t="inlineStr">
        <is>
          <t>evidence_batch_015_146; source_snapshot; live_source_comparison; customizer_audit; serp_evidence</t>
        </is>
      </c>
      <c r="J57" s="3" t="inlineStr">
        <is>
          <t>ISSUE-0006</t>
        </is>
      </c>
    </row>
    <row r="58" ht="42" customHeight="1">
      <c r="A58" s="2" t="inlineStr">
        <is>
          <t>jeminise.com+fantasy-winged-dragon-comforter-set-with-starry-nebula-pattern-and-bedroom-setting-d228ce3712-d228ce3712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IF(B58="I1",AVERAGEIF('QA_Images'!$A$2:$A$58,A58,'QA_Images'!$R$2:$R$58)/100,IF(D58="FULL",1,IF(D58="PARTIAL",0.5,IF(D58="FAIL",0,""))))</f>
        <v/>
      </c>
      <c r="F58" s="5">
        <f>IF(E58="",0,C58*E58)</f>
        <v/>
      </c>
      <c r="G58" s="5">
        <f>IF(B58="I1",20*AVERAGEIF('QA_Images'!$A$2:$A$58,A58,'QA_Images'!$S$2:$S$58)/100,IF(D58="NOT_CHECKED",0,C58))</f>
        <v/>
      </c>
      <c r="H58" s="2" t="inlineStr">
        <is>
          <t>Visible design facts are supported by direct gallery assets; static customizer configuration is present. Admin fulfillment mapping was not supplied.</t>
        </is>
      </c>
      <c r="I58" s="2" t="inlineStr">
        <is>
          <t>evidence_batch_015_146; source_snapshot; live_source_comparison; customizer_audit; serp_evidence</t>
        </is>
      </c>
      <c r="J58" s="2" t="inlineStr">
        <is>
          <t>ISSUE-0006</t>
        </is>
      </c>
    </row>
    <row r="59" ht="42" customHeight="1">
      <c r="A59" s="3" t="inlineStr">
        <is>
          <t>jeminise.com+fantasy-winged-dragon-comforter-set-with-starry-nebula-pattern-and-bedroom-setting-d228ce3712-d228ce3712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IF(B59="I1",AVERAGEIF('QA_Images'!$A$2:$A$58,A59,'QA_Images'!$R$2:$R$58)/100,IF(D59="FULL",1,IF(D59="PARTIAL",0.5,IF(D59="FAIL",0,""))))</f>
        <v/>
      </c>
      <c r="F59" s="7">
        <f>IF(E59="",0,C59*E59)</f>
        <v/>
      </c>
      <c r="G59" s="7">
        <f>IF(B59="I1",20*AVERAGEIF('QA_Images'!$A$2:$A$58,A59,'QA_Images'!$S$2:$S$58)/100,IF(D59="NOT_CHECKED",0,C59))</f>
        <v/>
      </c>
      <c r="H59" s="3" t="inlineStr">
        <is>
          <t>Product-specific long-tail is relevant, but demand support is only public SERP evidence.</t>
        </is>
      </c>
      <c r="I59" s="3" t="inlineStr">
        <is>
          <t>evidence_batch_015_146; source_snapshot; live_source_comparison; customizer_audit; serp_evidence</t>
        </is>
      </c>
      <c r="J59" s="3" t="inlineStr">
        <is>
          <t>ISSUE-0006</t>
        </is>
      </c>
    </row>
    <row r="60" ht="42" customHeight="1">
      <c r="A60" s="2" t="inlineStr">
        <is>
          <t>jeminise.com+fantasy-winged-dragon-comforter-set-with-starry-nebula-pattern-and-bedroom-setting-d228ce3712-d228ce3712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IF(B60="I1",AVERAGEIF('QA_Images'!$A$2:$A$58,A60,'QA_Images'!$R$2:$R$58)/100,IF(D60="FULL",1,IF(D60="PARTIAL",0.5,IF(D60="FAIL",0,""))))</f>
        <v/>
      </c>
      <c r="F60" s="5">
        <f>IF(E60="",0,C60*E60)</f>
        <v/>
      </c>
      <c r="G60" s="5">
        <f>IF(B60="I1",20*AVERAGEIF('QA_Images'!$A$2:$A$58,A60,'QA_Images'!$S$2:$S$58)/100,IF(D60="NOT_CHECKED",0,C60))</f>
        <v/>
      </c>
      <c r="H60" s="2" t="inlineStr">
        <is>
          <t>Primary queries distinguish motif/color and product type within the batch cluster.</t>
        </is>
      </c>
      <c r="I60" s="2" t="inlineStr">
        <is>
          <t>evidence_batch_015_146; source_snapshot; live_source_comparison; customizer_audit; serp_evidence</t>
        </is>
      </c>
      <c r="J60" s="2" t="inlineStr">
        <is>
          <t>ISSUE-0006</t>
        </is>
      </c>
    </row>
    <row r="61" ht="42" customHeight="1">
      <c r="A61" s="3" t="inlineStr">
        <is>
          <t>jeminise.com+fantasy-winged-dragon-comforter-set-with-starry-nebula-pattern-and-bedroom-setting-d228ce3712-d228ce3712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IF(B61="I1",AVERAGEIF('QA_Images'!$A$2:$A$58,A61,'QA_Images'!$R$2:$R$58)/100,IF(D61="FULL",1,IF(D61="PARTIAL",0.5,IF(D61="FAIL",0,""))))</f>
        <v/>
      </c>
      <c r="F61" s="7">
        <f>IF(E61="",0,C61*E61)</f>
        <v/>
      </c>
      <c r="G61" s="7">
        <f>IF(B61="I1",20*AVERAGEIF('QA_Images'!$A$2:$A$58,A61,'QA_Images'!$S$2:$S$58)/100,IF(D61="NOT_CHECKED",0,C61))</f>
        <v/>
      </c>
      <c r="H61" s="3" t="inlineStr">
        <is>
          <t>SERP_ONLY is honestly labelled; no volume, ranking or demand magnitude claim is used.</t>
        </is>
      </c>
      <c r="I61" s="3" t="inlineStr">
        <is>
          <t>evidence_batch_015_146; source_snapshot; live_source_comparison; customizer_audit; serp_evidence</t>
        </is>
      </c>
      <c r="J61" s="3" t="inlineStr">
        <is>
          <t>ISSUE-0006</t>
        </is>
      </c>
    </row>
    <row r="62" ht="42" customHeight="1">
      <c r="A62" s="2" t="inlineStr">
        <is>
          <t>jeminise.com+fantasy-winged-dragon-comforter-set-with-starry-nebula-pattern-and-bedroom-setting-d228ce3712-d228ce3712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IF(B62="I1",AVERAGEIF('QA_Images'!$A$2:$A$58,A62,'QA_Images'!$R$2:$R$58)/100,IF(D62="FULL",1,IF(D62="PARTIAL",0.5,IF(D62="FAIL",0,""))))</f>
        <v/>
      </c>
      <c r="F62" s="5">
        <f>IF(E62="",0,C62*E62)</f>
        <v/>
      </c>
      <c r="G62" s="5">
        <f>IF(B62="I1",20*AVERAGEIF('QA_Images'!$A$2:$A$58,A62,'QA_Images'!$S$2:$S$58)/100,IF(D62="NOT_CHECKED",0,C62))</f>
        <v/>
      </c>
      <c r="H62" s="2" t="inlineStr">
        <is>
          <t>SEO title is concise English and matches the visible design/product type.</t>
        </is>
      </c>
      <c r="I62" s="2" t="inlineStr">
        <is>
          <t>evidence_batch_015_146; source_snapshot; live_source_comparison; customizer_audit; serp_evidence</t>
        </is>
      </c>
      <c r="J62" s="2" t="inlineStr">
        <is>
          <t>ISSUE-0006</t>
        </is>
      </c>
    </row>
    <row r="63" ht="42" customHeight="1">
      <c r="A63" s="3" t="inlineStr">
        <is>
          <t>jeminise.com+fantasy-winged-dragon-comforter-set-with-starry-nebula-pattern-and-bedroom-setting-d228ce3712-d228ce3712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IF(B63="I1",AVERAGEIF('QA_Images'!$A$2:$A$58,A63,'QA_Images'!$R$2:$R$58)/100,IF(D63="FULL",1,IF(D63="PARTIAL",0.5,IF(D63="FAIL",0,""))))</f>
        <v/>
      </c>
      <c r="F63" s="7">
        <f>IF(E63="",0,C63*E63)</f>
        <v/>
      </c>
      <c r="G63" s="7">
        <f>IF(B63="I1",20*AVERAGEIF('QA_Images'!$A$2:$A$58,A63,'QA_Images'!$S$2:$S$58)/100,IF(D63="NOT_CHECKED",0,C63))</f>
        <v/>
      </c>
      <c r="H63" s="3" t="inlineStr">
        <is>
          <t>Proposed product title is a natural, product-specific H1 candidate.</t>
        </is>
      </c>
      <c r="I63" s="3" t="inlineStr">
        <is>
          <t>evidence_batch_015_146; source_snapshot; live_source_comparison; customizer_audit; serp_evidence</t>
        </is>
      </c>
      <c r="J63" s="3" t="inlineStr">
        <is>
          <t>ISSUE-0006</t>
        </is>
      </c>
    </row>
    <row r="64" ht="42" customHeight="1">
      <c r="A64" s="2" t="inlineStr">
        <is>
          <t>jeminise.com+fantasy-winged-dragon-comforter-set-with-starry-nebula-pattern-and-bedroom-setting-d228ce3712-d228ce3712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IF(B64="I1",AVERAGEIF('QA_Images'!$A$2:$A$58,A64,'QA_Images'!$R$2:$R$58)/100,IF(D64="FULL",1,IF(D64="PARTIAL",0.5,IF(D64="FAIL",0,""))))</f>
        <v/>
      </c>
      <c r="F64" s="5">
        <f>IF(E64="",0,C64*E64)</f>
        <v/>
      </c>
      <c r="G64" s="5">
        <f>IF(B64="I1",20*AVERAGEIF('QA_Images'!$A$2:$A$58,A64,'QA_Images'!$S$2:$S$58)/100,IF(D64="NOT_CHECKED",0,C64))</f>
        <v/>
      </c>
      <c r="H64" s="2" t="inlineStr">
        <is>
          <t>SET HTML is customer-facing and contains no draft, import or QA workflow language.</t>
        </is>
      </c>
      <c r="I64" s="2" t="inlineStr">
        <is>
          <t>evidence_batch_015_146; source_snapshot; live_source_comparison; customizer_audit; serp_evidence</t>
        </is>
      </c>
      <c r="J64" s="2" t="inlineStr">
        <is>
          <t>ISSUE-0006</t>
        </is>
      </c>
    </row>
    <row r="65" ht="42" customHeight="1">
      <c r="A65" s="3" t="inlineStr">
        <is>
          <t>jeminise.com+fantasy-winged-dragon-comforter-set-with-starry-nebula-pattern-and-bedroom-setting-d228ce3712-d228ce3712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IF(B65="I1",AVERAGEIF('QA_Images'!$A$2:$A$58,A65,'QA_Images'!$R$2:$R$58)/100,IF(D65="FULL",1,IF(D65="PARTIAL",0.5,IF(D65="FAIL",0,""))))</f>
        <v/>
      </c>
      <c r="F65" s="7">
        <f>IF(E65="",0,C65*E65)</f>
        <v/>
      </c>
      <c r="G65" s="7">
        <f>IF(B65="I1",20*AVERAGEIF('QA_Images'!$A$2:$A$58,A65,'QA_Images'!$S$2:$S$58)/100,IF(D65="NOT_CHECKED",0,C65))</f>
        <v/>
      </c>
      <c r="H65" s="3" t="inlineStr">
        <is>
          <t>HTML accurately states the motif and gallery-supported components, but repeats generic positioning language instead of adding buyer-use detail.</t>
        </is>
      </c>
      <c r="I65" s="3" t="inlineStr">
        <is>
          <t>evidence_batch_015_146; source_snapshot; live_source_comparison; customizer_audit; serp_evidence</t>
        </is>
      </c>
      <c r="J65" s="3" t="inlineStr">
        <is>
          <t>ISSUE-0006</t>
        </is>
      </c>
    </row>
    <row r="66" ht="42" customHeight="1">
      <c r="A66" s="2" t="inlineStr">
        <is>
          <t>jeminise.com+fantasy-winged-dragon-comforter-set-with-starry-nebula-pattern-and-bedroom-setting-d228ce3712-d228ce3712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IF(B66="I1",AVERAGEIF('QA_Images'!$A$2:$A$58,A66,'QA_Images'!$R$2:$R$58)/100,IF(D66="FULL",1,IF(D66="PARTIAL",0.5,IF(D66="FAIL",0,""))))</f>
        <v/>
      </c>
      <c r="F66" s="5">
        <f>IF(E66="",0,C66*E66)</f>
        <v/>
      </c>
      <c r="G66" s="5">
        <f>IF(B66="I1",20*AVERAGEIF('QA_Images'!$A$2:$A$58,A66,'QA_Images'!$S$2:$S$58)/100,IF(D66="NOT_CHECKED",0,C66))</f>
        <v/>
      </c>
      <c r="H66" s="2" t="inlineStr">
        <is>
          <t>Derived from all QA_Images rows for this product.</t>
        </is>
      </c>
      <c r="I66" s="2" t="inlineStr">
        <is>
          <t>evidence_batch_015_146; source_snapshot; live_source_comparison; customizer_audit; serp_evidence</t>
        </is>
      </c>
      <c r="J66" s="2" t="inlineStr">
        <is>
          <t>ISSUE-0006</t>
        </is>
      </c>
    </row>
    <row r="67" ht="42" customHeight="1">
      <c r="A67" s="3" t="inlineStr">
        <is>
          <t>jeminise.com+fantasy-winged-dragon-comforter-set-with-starry-nebula-pattern-and-bedroom-setting-d228ce3712-d228ce3712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IF(B67="I1",AVERAGEIF('QA_Images'!$A$2:$A$58,A67,'QA_Images'!$R$2:$R$58)/100,IF(D67="FULL",1,IF(D67="PARTIAL",0.5,IF(D67="FAIL",0,""))))</f>
        <v/>
      </c>
      <c r="F67" s="7">
        <f>IF(E67="",0,C67*E67)</f>
        <v/>
      </c>
      <c r="G67" s="7">
        <f>IF(B67="I1",20*AVERAGEIF('QA_Images'!$A$2:$A$58,A67,'QA_Images'!$S$2:$S$58)/100,IF(D67="NOT_CHECKED",0,C67))</f>
        <v/>
      </c>
      <c r="H67" s="3" t="inlineStr">
        <is>
          <t>Evidence links and revision are traceable; the absent Shopify admin export remains separated as a limitation.</t>
        </is>
      </c>
      <c r="I67" s="3" t="inlineStr">
        <is>
          <t>evidence_batch_015_146; source_snapshot; live_source_comparison; customizer_audit; serp_evidence</t>
        </is>
      </c>
      <c r="J67" s="3" t="inlineStr">
        <is>
          <t>ISSUE-0006</t>
        </is>
      </c>
    </row>
    <row r="68" ht="42" customHeight="1">
      <c r="A68" s="2" t="inlineStr">
        <is>
          <t>jeminise.com+fantasy-winged-dragon-comforter-set-with-volcanic-eruption-and-bedroom-258009c125-258009c125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IF(B68="I1",AVERAGEIF('QA_Images'!$A$2:$A$58,A68,'QA_Images'!$R$2:$R$58)/100,IF(D68="FULL",1,IF(D68="PARTIAL",0.5,IF(D68="FAIL",0,""))))</f>
        <v/>
      </c>
      <c r="F68" s="5">
        <f>IF(E68="",0,C68*E68)</f>
        <v/>
      </c>
      <c r="G68" s="5">
        <f>IF(B68="I1",20*AVERAGEIF('QA_Images'!$A$2:$A$58,A68,'QA_Images'!$S$2:$S$58)/100,IF(D68="NOT_CHECKED",0,C68))</f>
        <v/>
      </c>
      <c r="H68" s="2" t="inlineStr">
        <is>
          <t>Product key, handle, ID, URL and canonical match the frozen r3 workbook and retained live comparison.</t>
        </is>
      </c>
      <c r="I68" s="2" t="inlineStr">
        <is>
          <t>evidence_batch_015_147; source_snapshot; live_source_comparison; customizer_audit; serp_evidence</t>
        </is>
      </c>
      <c r="J68" s="2" t="inlineStr">
        <is>
          <t>ISSUE-0007</t>
        </is>
      </c>
    </row>
    <row r="69" ht="42" customHeight="1">
      <c r="A69" s="3" t="inlineStr">
        <is>
          <t>jeminise.com+fantasy-winged-dragon-comforter-set-with-volcanic-eruption-and-bedroom-258009c125-258009c125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IF(B69="I1",AVERAGEIF('QA_Images'!$A$2:$A$58,A69,'QA_Images'!$R$2:$R$58)/100,IF(D69="FULL",1,IF(D69="PARTIAL",0.5,IF(D69="FAIL",0,""))))</f>
        <v/>
      </c>
      <c r="F69" s="7">
        <f>IF(E69="",0,C69*E69)</f>
        <v/>
      </c>
      <c r="G69" s="7">
        <f>IF(B69="I1",20*AVERAGEIF('QA_Images'!$A$2:$A$58,A69,'QA_Images'!$S$2:$S$58)/100,IF(D69="NOT_CHECKED",0,C69))</f>
        <v/>
      </c>
      <c r="H69" s="3" t="inlineStr">
        <is>
          <t>Visible design facts are supported by direct gallery assets; static customizer configuration is present. Admin fulfillment mapping was not supplied.</t>
        </is>
      </c>
      <c r="I69" s="3" t="inlineStr">
        <is>
          <t>evidence_batch_015_147; source_snapshot; live_source_comparison; customizer_audit; serp_evidence</t>
        </is>
      </c>
      <c r="J69" s="3" t="inlineStr">
        <is>
          <t>ISSUE-0007</t>
        </is>
      </c>
    </row>
    <row r="70" ht="42" customHeight="1">
      <c r="A70" s="2" t="inlineStr">
        <is>
          <t>jeminise.com+fantasy-winged-dragon-comforter-set-with-volcanic-eruption-and-bedroom-258009c125-258009c125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IF(B70="I1",AVERAGEIF('QA_Images'!$A$2:$A$58,A70,'QA_Images'!$R$2:$R$58)/100,IF(D70="FULL",1,IF(D70="PARTIAL",0.5,IF(D70="FAIL",0,""))))</f>
        <v/>
      </c>
      <c r="F70" s="5">
        <f>IF(E70="",0,C70*E70)</f>
        <v/>
      </c>
      <c r="G70" s="5">
        <f>IF(B70="I1",20*AVERAGEIF('QA_Images'!$A$2:$A$58,A70,'QA_Images'!$S$2:$S$58)/100,IF(D70="NOT_CHECKED",0,C70))</f>
        <v/>
      </c>
      <c r="H70" s="2" t="inlineStr">
        <is>
          <t>Product-specific long-tail is relevant, but demand support is only public SERP evidence.</t>
        </is>
      </c>
      <c r="I70" s="2" t="inlineStr">
        <is>
          <t>evidence_batch_015_147; source_snapshot; live_source_comparison; customizer_audit; serp_evidence</t>
        </is>
      </c>
      <c r="J70" s="2" t="inlineStr">
        <is>
          <t>ISSUE-0007</t>
        </is>
      </c>
    </row>
    <row r="71" ht="42" customHeight="1">
      <c r="A71" s="3" t="inlineStr">
        <is>
          <t>jeminise.com+fantasy-winged-dragon-comforter-set-with-volcanic-eruption-and-bedroom-258009c125-258009c125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IF(B71="I1",AVERAGEIF('QA_Images'!$A$2:$A$58,A71,'QA_Images'!$R$2:$R$58)/100,IF(D71="FULL",1,IF(D71="PARTIAL",0.5,IF(D71="FAIL",0,""))))</f>
        <v/>
      </c>
      <c r="F71" s="7">
        <f>IF(E71="",0,C71*E71)</f>
        <v/>
      </c>
      <c r="G71" s="7">
        <f>IF(B71="I1",20*AVERAGEIF('QA_Images'!$A$2:$A$58,A71,'QA_Images'!$S$2:$S$58)/100,IF(D71="NOT_CHECKED",0,C71))</f>
        <v/>
      </c>
      <c r="H71" s="3" t="inlineStr">
        <is>
          <t>Primary queries distinguish motif/color and product type within the batch cluster.</t>
        </is>
      </c>
      <c r="I71" s="3" t="inlineStr">
        <is>
          <t>evidence_batch_015_147; source_snapshot; live_source_comparison; customizer_audit; serp_evidence</t>
        </is>
      </c>
      <c r="J71" s="3" t="inlineStr">
        <is>
          <t>ISSUE-0007</t>
        </is>
      </c>
    </row>
    <row r="72" ht="42" customHeight="1">
      <c r="A72" s="2" t="inlineStr">
        <is>
          <t>jeminise.com+fantasy-winged-dragon-comforter-set-with-volcanic-eruption-and-bedroom-258009c125-258009c125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IF(B72="I1",AVERAGEIF('QA_Images'!$A$2:$A$58,A72,'QA_Images'!$R$2:$R$58)/100,IF(D72="FULL",1,IF(D72="PARTIAL",0.5,IF(D72="FAIL",0,""))))</f>
        <v/>
      </c>
      <c r="F72" s="5">
        <f>IF(E72="",0,C72*E72)</f>
        <v/>
      </c>
      <c r="G72" s="5">
        <f>IF(B72="I1",20*AVERAGEIF('QA_Images'!$A$2:$A$58,A72,'QA_Images'!$S$2:$S$58)/100,IF(D72="NOT_CHECKED",0,C72))</f>
        <v/>
      </c>
      <c r="H72" s="2" t="inlineStr">
        <is>
          <t>SERP_ONLY is honestly labelled; no volume, ranking or demand magnitude claim is used.</t>
        </is>
      </c>
      <c r="I72" s="2" t="inlineStr">
        <is>
          <t>evidence_batch_015_147; source_snapshot; live_source_comparison; customizer_audit; serp_evidence</t>
        </is>
      </c>
      <c r="J72" s="2" t="inlineStr">
        <is>
          <t>ISSUE-0007</t>
        </is>
      </c>
    </row>
    <row r="73" ht="42" customHeight="1">
      <c r="A73" s="3" t="inlineStr">
        <is>
          <t>jeminise.com+fantasy-winged-dragon-comforter-set-with-volcanic-eruption-and-bedroom-258009c125-258009c125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IF(B73="I1",AVERAGEIF('QA_Images'!$A$2:$A$58,A73,'QA_Images'!$R$2:$R$58)/100,IF(D73="FULL",1,IF(D73="PARTIAL",0.5,IF(D73="FAIL",0,""))))</f>
        <v/>
      </c>
      <c r="F73" s="7">
        <f>IF(E73="",0,C73*E73)</f>
        <v/>
      </c>
      <c r="G73" s="7">
        <f>IF(B73="I1",20*AVERAGEIF('QA_Images'!$A$2:$A$58,A73,'QA_Images'!$S$2:$S$58)/100,IF(D73="NOT_CHECKED",0,C73))</f>
        <v/>
      </c>
      <c r="H73" s="3" t="inlineStr">
        <is>
          <t>SEO title is concise English and matches the visible design/product type.</t>
        </is>
      </c>
      <c r="I73" s="3" t="inlineStr">
        <is>
          <t>evidence_batch_015_147; source_snapshot; live_source_comparison; customizer_audit; serp_evidence</t>
        </is>
      </c>
      <c r="J73" s="3" t="inlineStr">
        <is>
          <t>ISSUE-0007</t>
        </is>
      </c>
    </row>
    <row r="74" ht="42" customHeight="1">
      <c r="A74" s="2" t="inlineStr">
        <is>
          <t>jeminise.com+fantasy-winged-dragon-comforter-set-with-volcanic-eruption-and-bedroom-258009c125-258009c125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IF(B74="I1",AVERAGEIF('QA_Images'!$A$2:$A$58,A74,'QA_Images'!$R$2:$R$58)/100,IF(D74="FULL",1,IF(D74="PARTIAL",0.5,IF(D74="FAIL",0,""))))</f>
        <v/>
      </c>
      <c r="F74" s="5">
        <f>IF(E74="",0,C74*E74)</f>
        <v/>
      </c>
      <c r="G74" s="5">
        <f>IF(B74="I1",20*AVERAGEIF('QA_Images'!$A$2:$A$58,A74,'QA_Images'!$S$2:$S$58)/100,IF(D74="NOT_CHECKED",0,C74))</f>
        <v/>
      </c>
      <c r="H74" s="2" t="inlineStr">
        <is>
          <t>Proposed product title is a natural, product-specific H1 candidate.</t>
        </is>
      </c>
      <c r="I74" s="2" t="inlineStr">
        <is>
          <t>evidence_batch_015_147; source_snapshot; live_source_comparison; customizer_audit; serp_evidence</t>
        </is>
      </c>
      <c r="J74" s="2" t="inlineStr">
        <is>
          <t>ISSUE-0007</t>
        </is>
      </c>
    </row>
    <row r="75" ht="42" customHeight="1">
      <c r="A75" s="3" t="inlineStr">
        <is>
          <t>jeminise.com+fantasy-winged-dragon-comforter-set-with-volcanic-eruption-and-bedroom-258009c125-258009c125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IF(B75="I1",AVERAGEIF('QA_Images'!$A$2:$A$58,A75,'QA_Images'!$R$2:$R$58)/100,IF(D75="FULL",1,IF(D75="PARTIAL",0.5,IF(D75="FAIL",0,""))))</f>
        <v/>
      </c>
      <c r="F75" s="7">
        <f>IF(E75="",0,C75*E75)</f>
        <v/>
      </c>
      <c r="G75" s="7">
        <f>IF(B75="I1",20*AVERAGEIF('QA_Images'!$A$2:$A$58,A75,'QA_Images'!$S$2:$S$58)/100,IF(D75="NOT_CHECKED",0,C75))</f>
        <v/>
      </c>
      <c r="H75" s="3" t="inlineStr">
        <is>
          <t>SET HTML is customer-facing and contains no draft, import or QA workflow language.</t>
        </is>
      </c>
      <c r="I75" s="3" t="inlineStr">
        <is>
          <t>evidence_batch_015_147; source_snapshot; live_source_comparison; customizer_audit; serp_evidence</t>
        </is>
      </c>
      <c r="J75" s="3" t="inlineStr">
        <is>
          <t>ISSUE-0007</t>
        </is>
      </c>
    </row>
    <row r="76" ht="42" customHeight="1">
      <c r="A76" s="2" t="inlineStr">
        <is>
          <t>jeminise.com+fantasy-winged-dragon-comforter-set-with-volcanic-eruption-and-bedroom-258009c125-258009c125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IF(B76="I1",AVERAGEIF('QA_Images'!$A$2:$A$58,A76,'QA_Images'!$R$2:$R$58)/100,IF(D76="FULL",1,IF(D76="PARTIAL",0.5,IF(D76="FAIL",0,""))))</f>
        <v/>
      </c>
      <c r="F76" s="5">
        <f>IF(E76="",0,C76*E76)</f>
        <v/>
      </c>
      <c r="G76" s="5">
        <f>IF(B76="I1",20*AVERAGEIF('QA_Images'!$A$2:$A$58,A76,'QA_Images'!$S$2:$S$58)/100,IF(D76="NOT_CHECKED",0,C76))</f>
        <v/>
      </c>
      <c r="H76" s="2" t="inlineStr">
        <is>
          <t>HTML accurately states the motif and gallery-supported components, but repeats generic positioning language instead of adding buyer-use detail.</t>
        </is>
      </c>
      <c r="I76" s="2" t="inlineStr">
        <is>
          <t>evidence_batch_015_147; source_snapshot; live_source_comparison; customizer_audit; serp_evidence</t>
        </is>
      </c>
      <c r="J76" s="2" t="inlineStr">
        <is>
          <t>ISSUE-0007</t>
        </is>
      </c>
    </row>
    <row r="77" ht="42" customHeight="1">
      <c r="A77" s="3" t="inlineStr">
        <is>
          <t>jeminise.com+fantasy-winged-dragon-comforter-set-with-volcanic-eruption-and-bedroom-258009c125-258009c125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IF(B77="I1",AVERAGEIF('QA_Images'!$A$2:$A$58,A77,'QA_Images'!$R$2:$R$58)/100,IF(D77="FULL",1,IF(D77="PARTIAL",0.5,IF(D77="FAIL",0,""))))</f>
        <v/>
      </c>
      <c r="F77" s="7">
        <f>IF(E77="",0,C77*E77)</f>
        <v/>
      </c>
      <c r="G77" s="7">
        <f>IF(B77="I1",20*AVERAGEIF('QA_Images'!$A$2:$A$58,A77,'QA_Images'!$S$2:$S$58)/100,IF(D77="NOT_CHECKED",0,C77))</f>
        <v/>
      </c>
      <c r="H77" s="3" t="inlineStr">
        <is>
          <t>Derived from all QA_Images rows for this product.</t>
        </is>
      </c>
      <c r="I77" s="3" t="inlineStr">
        <is>
          <t>evidence_batch_015_147; source_snapshot; live_source_comparison; customizer_audit; serp_evidence</t>
        </is>
      </c>
      <c r="J77" s="3" t="inlineStr">
        <is>
          <t>ISSUE-0007</t>
        </is>
      </c>
    </row>
    <row r="78" ht="42" customHeight="1">
      <c r="A78" s="2" t="inlineStr">
        <is>
          <t>jeminise.com+fantasy-winged-dragon-comforter-set-with-volcanic-eruption-and-bedroom-258009c125-258009c125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IF(B78="I1",AVERAGEIF('QA_Images'!$A$2:$A$58,A78,'QA_Images'!$R$2:$R$58)/100,IF(D78="FULL",1,IF(D78="PARTIAL",0.5,IF(D78="FAIL",0,""))))</f>
        <v/>
      </c>
      <c r="F78" s="5">
        <f>IF(E78="",0,C78*E78)</f>
        <v/>
      </c>
      <c r="G78" s="5">
        <f>IF(B78="I1",20*AVERAGEIF('QA_Images'!$A$2:$A$58,A78,'QA_Images'!$S$2:$S$58)/100,IF(D78="NOT_CHECKED",0,C78))</f>
        <v/>
      </c>
      <c r="H78" s="2" t="inlineStr">
        <is>
          <t>Evidence links and revision are traceable; the absent Shopify admin export remains separated as a limitation.</t>
        </is>
      </c>
      <c r="I78" s="2" t="inlineStr">
        <is>
          <t>evidence_batch_015_147; source_snapshot; live_source_comparison; customizer_audit; serp_evidence</t>
        </is>
      </c>
      <c r="J78" s="2" t="inlineStr">
        <is>
          <t>ISSUE-0007</t>
        </is>
      </c>
    </row>
    <row r="79" ht="42" customHeight="1">
      <c r="A79" s="3" t="inlineStr">
        <is>
          <t>jeminise.com+floral-nature-cardinal-within-ornate-oval-frame-patchwork-winter-quilt-88ef309589-88ef309589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IF(B79="I1",AVERAGEIF('QA_Images'!$A$2:$A$58,A79,'QA_Images'!$R$2:$R$58)/100,IF(D79="FULL",1,IF(D79="PARTIAL",0.5,IF(D79="FAIL",0,""))))</f>
        <v/>
      </c>
      <c r="F79" s="7">
        <f>IF(E79="",0,C79*E79)</f>
        <v/>
      </c>
      <c r="G79" s="7">
        <f>IF(B79="I1",20*AVERAGEIF('QA_Images'!$A$2:$A$58,A79,'QA_Images'!$S$2:$S$58)/100,IF(D79="NOT_CHECKED",0,C79))</f>
        <v/>
      </c>
      <c r="H79" s="3" t="inlineStr">
        <is>
          <t>Product key, handle, ID, URL and canonical match the frozen r3 workbook and retained live comparison.</t>
        </is>
      </c>
      <c r="I79" s="3" t="inlineStr">
        <is>
          <t>evidence_batch_015_148; source_snapshot; live_source_comparison; customizer_audit; serp_evidence</t>
        </is>
      </c>
      <c r="J79" s="3" t="inlineStr">
        <is>
          <t>ISSUE-0008</t>
        </is>
      </c>
    </row>
    <row r="80" ht="42" customHeight="1">
      <c r="A80" s="2" t="inlineStr">
        <is>
          <t>jeminise.com+floral-nature-cardinal-within-ornate-oval-frame-patchwork-winter-quilt-88ef309589-88ef309589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IF(B80="I1",AVERAGEIF('QA_Images'!$A$2:$A$58,A80,'QA_Images'!$R$2:$R$58)/100,IF(D80="FULL",1,IF(D80="PARTIAL",0.5,IF(D80="FAIL",0,""))))</f>
        <v/>
      </c>
      <c r="F80" s="5">
        <f>IF(E80="",0,C80*E80)</f>
        <v/>
      </c>
      <c r="G80" s="5">
        <f>IF(B80="I1",20*AVERAGEIF('QA_Images'!$A$2:$A$58,A80,'QA_Images'!$S$2:$S$58)/100,IF(D80="NOT_CHECKED",0,C80))</f>
        <v/>
      </c>
      <c r="H80" s="2" t="inlineStr">
        <is>
          <t>Visible design facts are supported by direct gallery assets; static customizer configuration is present. Admin fulfillment mapping was not supplied.</t>
        </is>
      </c>
      <c r="I80" s="2" t="inlineStr">
        <is>
          <t>evidence_batch_015_148; source_snapshot; live_source_comparison; customizer_audit; serp_evidence</t>
        </is>
      </c>
      <c r="J80" s="2" t="inlineStr">
        <is>
          <t>ISSUE-0008</t>
        </is>
      </c>
    </row>
    <row r="81" ht="42" customHeight="1">
      <c r="A81" s="3" t="inlineStr">
        <is>
          <t>jeminise.com+floral-nature-cardinal-within-ornate-oval-frame-patchwork-winter-quilt-88ef309589-88ef309589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IF(B81="I1",AVERAGEIF('QA_Images'!$A$2:$A$58,A81,'QA_Images'!$R$2:$R$58)/100,IF(D81="FULL",1,IF(D81="PARTIAL",0.5,IF(D81="FAIL",0,""))))</f>
        <v/>
      </c>
      <c r="F81" s="7">
        <f>IF(E81="",0,C81*E81)</f>
        <v/>
      </c>
      <c r="G81" s="7">
        <f>IF(B81="I1",20*AVERAGEIF('QA_Images'!$A$2:$A$58,A81,'QA_Images'!$S$2:$S$58)/100,IF(D81="NOT_CHECKED",0,C81))</f>
        <v/>
      </c>
      <c r="H81" s="3" t="inlineStr">
        <is>
          <t>Product-specific long-tail is relevant, but demand support is only public SERP evidence.</t>
        </is>
      </c>
      <c r="I81" s="3" t="inlineStr">
        <is>
          <t>evidence_batch_015_148; source_snapshot; live_source_comparison; customizer_audit; serp_evidence</t>
        </is>
      </c>
      <c r="J81" s="3" t="inlineStr">
        <is>
          <t>ISSUE-0008</t>
        </is>
      </c>
    </row>
    <row r="82" ht="42" customHeight="1">
      <c r="A82" s="2" t="inlineStr">
        <is>
          <t>jeminise.com+floral-nature-cardinal-within-ornate-oval-frame-patchwork-winter-quilt-88ef309589-88ef309589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IF(B82="I1",AVERAGEIF('QA_Images'!$A$2:$A$58,A82,'QA_Images'!$R$2:$R$58)/100,IF(D82="FULL",1,IF(D82="PARTIAL",0.5,IF(D82="FAIL",0,""))))</f>
        <v/>
      </c>
      <c r="F82" s="5">
        <f>IF(E82="",0,C82*E82)</f>
        <v/>
      </c>
      <c r="G82" s="5">
        <f>IF(B82="I1",20*AVERAGEIF('QA_Images'!$A$2:$A$58,A82,'QA_Images'!$S$2:$S$58)/100,IF(D82="NOT_CHECKED",0,C82))</f>
        <v/>
      </c>
      <c r="H82" s="2" t="inlineStr">
        <is>
          <t>Primary queries distinguish motif/color and product type within the batch cluster.</t>
        </is>
      </c>
      <c r="I82" s="2" t="inlineStr">
        <is>
          <t>evidence_batch_015_148; source_snapshot; live_source_comparison; customizer_audit; serp_evidence</t>
        </is>
      </c>
      <c r="J82" s="2" t="inlineStr">
        <is>
          <t>ISSUE-0008</t>
        </is>
      </c>
    </row>
    <row r="83" ht="42" customHeight="1">
      <c r="A83" s="3" t="inlineStr">
        <is>
          <t>jeminise.com+floral-nature-cardinal-within-ornate-oval-frame-patchwork-winter-quilt-88ef309589-88ef309589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IF(B83="I1",AVERAGEIF('QA_Images'!$A$2:$A$58,A83,'QA_Images'!$R$2:$R$58)/100,IF(D83="FULL",1,IF(D83="PARTIAL",0.5,IF(D83="FAIL",0,""))))</f>
        <v/>
      </c>
      <c r="F83" s="7">
        <f>IF(E83="",0,C83*E83)</f>
        <v/>
      </c>
      <c r="G83" s="7">
        <f>IF(B83="I1",20*AVERAGEIF('QA_Images'!$A$2:$A$58,A83,'QA_Images'!$S$2:$S$58)/100,IF(D83="NOT_CHECKED",0,C83))</f>
        <v/>
      </c>
      <c r="H83" s="3" t="inlineStr">
        <is>
          <t>SERP_ONLY is honestly labelled; no volume, ranking or demand magnitude claim is used.</t>
        </is>
      </c>
      <c r="I83" s="3" t="inlineStr">
        <is>
          <t>evidence_batch_015_148; source_snapshot; live_source_comparison; customizer_audit; serp_evidence</t>
        </is>
      </c>
      <c r="J83" s="3" t="inlineStr">
        <is>
          <t>ISSUE-0008</t>
        </is>
      </c>
    </row>
    <row r="84" ht="42" customHeight="1">
      <c r="A84" s="2" t="inlineStr">
        <is>
          <t>jeminise.com+floral-nature-cardinal-within-ornate-oval-frame-patchwork-winter-quilt-88ef309589-88ef309589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IF(B84="I1",AVERAGEIF('QA_Images'!$A$2:$A$58,A84,'QA_Images'!$R$2:$R$58)/100,IF(D84="FULL",1,IF(D84="PARTIAL",0.5,IF(D84="FAIL",0,""))))</f>
        <v/>
      </c>
      <c r="F84" s="5">
        <f>IF(E84="",0,C84*E84)</f>
        <v/>
      </c>
      <c r="G84" s="5">
        <f>IF(B84="I1",20*AVERAGEIF('QA_Images'!$A$2:$A$58,A84,'QA_Images'!$S$2:$S$58)/100,IF(D84="NOT_CHECKED",0,C84))</f>
        <v/>
      </c>
      <c r="H84" s="2" t="inlineStr">
        <is>
          <t>SEO title is concise English and matches the visible design/product type.</t>
        </is>
      </c>
      <c r="I84" s="2" t="inlineStr">
        <is>
          <t>evidence_batch_015_148; source_snapshot; live_source_comparison; customizer_audit; serp_evidence</t>
        </is>
      </c>
      <c r="J84" s="2" t="inlineStr">
        <is>
          <t>ISSUE-0008</t>
        </is>
      </c>
    </row>
    <row r="85" ht="42" customHeight="1">
      <c r="A85" s="3" t="inlineStr">
        <is>
          <t>jeminise.com+floral-nature-cardinal-within-ornate-oval-frame-patchwork-winter-quilt-88ef309589-88ef309589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IF(B85="I1",AVERAGEIF('QA_Images'!$A$2:$A$58,A85,'QA_Images'!$R$2:$R$58)/100,IF(D85="FULL",1,IF(D85="PARTIAL",0.5,IF(D85="FAIL",0,""))))</f>
        <v/>
      </c>
      <c r="F85" s="7">
        <f>IF(E85="",0,C85*E85)</f>
        <v/>
      </c>
      <c r="G85" s="7">
        <f>IF(B85="I1",20*AVERAGEIF('QA_Images'!$A$2:$A$58,A85,'QA_Images'!$S$2:$S$58)/100,IF(D85="NOT_CHECKED",0,C85))</f>
        <v/>
      </c>
      <c r="H85" s="3" t="inlineStr">
        <is>
          <t>Proposed product title is a natural, product-specific H1 candidate.</t>
        </is>
      </c>
      <c r="I85" s="3" t="inlineStr">
        <is>
          <t>evidence_batch_015_148; source_snapshot; live_source_comparison; customizer_audit; serp_evidence</t>
        </is>
      </c>
      <c r="J85" s="3" t="inlineStr">
        <is>
          <t>ISSUE-0008</t>
        </is>
      </c>
    </row>
    <row r="86" ht="42" customHeight="1">
      <c r="A86" s="2" t="inlineStr">
        <is>
          <t>jeminise.com+floral-nature-cardinal-within-ornate-oval-frame-patchwork-winter-quilt-88ef309589-88ef309589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IF(B86="I1",AVERAGEIF('QA_Images'!$A$2:$A$58,A86,'QA_Images'!$R$2:$R$58)/100,IF(D86="FULL",1,IF(D86="PARTIAL",0.5,IF(D86="FAIL",0,""))))</f>
        <v/>
      </c>
      <c r="F86" s="5">
        <f>IF(E86="",0,C86*E86)</f>
        <v/>
      </c>
      <c r="G86" s="5">
        <f>IF(B86="I1",20*AVERAGEIF('QA_Images'!$A$2:$A$58,A86,'QA_Images'!$S$2:$S$58)/100,IF(D86="NOT_CHECKED",0,C86))</f>
        <v/>
      </c>
      <c r="H86" s="2" t="inlineStr">
        <is>
          <t>SET HTML is customer-facing and contains no draft, import or QA workflow language.</t>
        </is>
      </c>
      <c r="I86" s="2" t="inlineStr">
        <is>
          <t>evidence_batch_015_148; source_snapshot; live_source_comparison; customizer_audit; serp_evidence</t>
        </is>
      </c>
      <c r="J86" s="2" t="inlineStr">
        <is>
          <t>ISSUE-0008</t>
        </is>
      </c>
    </row>
    <row r="87" ht="42" customHeight="1">
      <c r="A87" s="3" t="inlineStr">
        <is>
          <t>jeminise.com+floral-nature-cardinal-within-ornate-oval-frame-patchwork-winter-quilt-88ef309589-88ef309589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IF(B87="I1",AVERAGEIF('QA_Images'!$A$2:$A$58,A87,'QA_Images'!$R$2:$R$58)/100,IF(D87="FULL",1,IF(D87="PARTIAL",0.5,IF(D87="FAIL",0,""))))</f>
        <v/>
      </c>
      <c r="F87" s="7">
        <f>IF(E87="",0,C87*E87)</f>
        <v/>
      </c>
      <c r="G87" s="7">
        <f>IF(B87="I1",20*AVERAGEIF('QA_Images'!$A$2:$A$58,A87,'QA_Images'!$S$2:$S$58)/100,IF(D87="NOT_CHECKED",0,C87))</f>
        <v/>
      </c>
      <c r="H87" s="3" t="inlineStr">
        <is>
          <t>HTML accurately states the motif and gallery-supported components, but repeats generic positioning language instead of adding buyer-use detail.</t>
        </is>
      </c>
      <c r="I87" s="3" t="inlineStr">
        <is>
          <t>evidence_batch_015_148; source_snapshot; live_source_comparison; customizer_audit; serp_evidence</t>
        </is>
      </c>
      <c r="J87" s="3" t="inlineStr">
        <is>
          <t>ISSUE-0008</t>
        </is>
      </c>
    </row>
    <row r="88" ht="42" customHeight="1">
      <c r="A88" s="2" t="inlineStr">
        <is>
          <t>jeminise.com+floral-nature-cardinal-within-ornate-oval-frame-patchwork-winter-quilt-88ef309589-88ef309589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IF(B88="I1",AVERAGEIF('QA_Images'!$A$2:$A$58,A88,'QA_Images'!$R$2:$R$58)/100,IF(D88="FULL",1,IF(D88="PARTIAL",0.5,IF(D88="FAIL",0,""))))</f>
        <v/>
      </c>
      <c r="F88" s="5">
        <f>IF(E88="",0,C88*E88)</f>
        <v/>
      </c>
      <c r="G88" s="5">
        <f>IF(B88="I1",20*AVERAGEIF('QA_Images'!$A$2:$A$58,A88,'QA_Images'!$S$2:$S$58)/100,IF(D88="NOT_CHECKED",0,C88))</f>
        <v/>
      </c>
      <c r="H88" s="2" t="inlineStr">
        <is>
          <t>Derived from all QA_Images rows for this product.</t>
        </is>
      </c>
      <c r="I88" s="2" t="inlineStr">
        <is>
          <t>evidence_batch_015_148; source_snapshot; live_source_comparison; customizer_audit; serp_evidence</t>
        </is>
      </c>
      <c r="J88" s="2" t="inlineStr">
        <is>
          <t>ISSUE-0008</t>
        </is>
      </c>
    </row>
    <row r="89" ht="42" customHeight="1">
      <c r="A89" s="3" t="inlineStr">
        <is>
          <t>jeminise.com+floral-nature-cardinal-within-ornate-oval-frame-patchwork-winter-quilt-88ef309589-88ef309589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IF(B89="I1",AVERAGEIF('QA_Images'!$A$2:$A$58,A89,'QA_Images'!$R$2:$R$58)/100,IF(D89="FULL",1,IF(D89="PARTIAL",0.5,IF(D89="FAIL",0,""))))</f>
        <v/>
      </c>
      <c r="F89" s="7">
        <f>IF(E89="",0,C89*E89)</f>
        <v/>
      </c>
      <c r="G89" s="7">
        <f>IF(B89="I1",20*AVERAGEIF('QA_Images'!$A$2:$A$58,A89,'QA_Images'!$S$2:$S$58)/100,IF(D89="NOT_CHECKED",0,C89))</f>
        <v/>
      </c>
      <c r="H89" s="3" t="inlineStr">
        <is>
          <t>Evidence links and revision are traceable; the absent Shopify admin export remains separated as a limitation.</t>
        </is>
      </c>
      <c r="I89" s="3" t="inlineStr">
        <is>
          <t>evidence_batch_015_148; source_snapshot; live_source_comparison; customizer_audit; serp_evidence</t>
        </is>
      </c>
      <c r="J89" s="3" t="inlineStr">
        <is>
          <t>ISSUE-0008</t>
        </is>
      </c>
    </row>
    <row r="90" ht="42" customHeight="1">
      <c r="A90" s="2" t="inlineStr">
        <is>
          <t>jeminise.com+folklore-tree-of-life-in-celtic-knot-quilt-40ab1f6113-40ab1f6113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IF(B90="I1",AVERAGEIF('QA_Images'!$A$2:$A$58,A90,'QA_Images'!$R$2:$R$58)/100,IF(D90="FULL",1,IF(D90="PARTIAL",0.5,IF(D90="FAIL",0,""))))</f>
        <v/>
      </c>
      <c r="F90" s="5">
        <f>IF(E90="",0,C90*E90)</f>
        <v/>
      </c>
      <c r="G90" s="5">
        <f>IF(B90="I1",20*AVERAGEIF('QA_Images'!$A$2:$A$58,A90,'QA_Images'!$S$2:$S$58)/100,IF(D90="NOT_CHECKED",0,C90))</f>
        <v/>
      </c>
      <c r="H90" s="2" t="inlineStr">
        <is>
          <t>Product key, handle, ID, URL and canonical match the frozen r3 workbook and retained live comparison.</t>
        </is>
      </c>
      <c r="I90" s="2" t="inlineStr">
        <is>
          <t>evidence_batch_015_149; source_snapshot; live_source_comparison; customizer_audit; serp_evidence</t>
        </is>
      </c>
      <c r="J90" s="2" t="inlineStr">
        <is>
          <t>ISSUE-0009</t>
        </is>
      </c>
    </row>
    <row r="91" ht="42" customHeight="1">
      <c r="A91" s="3" t="inlineStr">
        <is>
          <t>jeminise.com+folklore-tree-of-life-in-celtic-knot-quilt-40ab1f6113-40ab1f6113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IF(B91="I1",AVERAGEIF('QA_Images'!$A$2:$A$58,A91,'QA_Images'!$R$2:$R$58)/100,IF(D91="FULL",1,IF(D91="PARTIAL",0.5,IF(D91="FAIL",0,""))))</f>
        <v/>
      </c>
      <c r="F91" s="7">
        <f>IF(E91="",0,C91*E91)</f>
        <v/>
      </c>
      <c r="G91" s="7">
        <f>IF(B91="I1",20*AVERAGEIF('QA_Images'!$A$2:$A$58,A91,'QA_Images'!$S$2:$S$58)/100,IF(D91="NOT_CHECKED",0,C91))</f>
        <v/>
      </c>
      <c r="H91" s="3" t="inlineStr">
        <is>
          <t>Visible design facts are supported by direct gallery assets; static customizer configuration is present. Admin fulfillment mapping was not supplied.</t>
        </is>
      </c>
      <c r="I91" s="3" t="inlineStr">
        <is>
          <t>evidence_batch_015_149; source_snapshot; live_source_comparison; customizer_audit; serp_evidence</t>
        </is>
      </c>
      <c r="J91" s="3" t="inlineStr">
        <is>
          <t>ISSUE-0009</t>
        </is>
      </c>
    </row>
    <row r="92" ht="42" customHeight="1">
      <c r="A92" s="2" t="inlineStr">
        <is>
          <t>jeminise.com+folklore-tree-of-life-in-celtic-knot-quilt-40ab1f6113-40ab1f6113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IF(B92="I1",AVERAGEIF('QA_Images'!$A$2:$A$58,A92,'QA_Images'!$R$2:$R$58)/100,IF(D92="FULL",1,IF(D92="PARTIAL",0.5,IF(D92="FAIL",0,""))))</f>
        <v/>
      </c>
      <c r="F92" s="5">
        <f>IF(E92="",0,C92*E92)</f>
        <v/>
      </c>
      <c r="G92" s="5">
        <f>IF(B92="I1",20*AVERAGEIF('QA_Images'!$A$2:$A$58,A92,'QA_Images'!$S$2:$S$58)/100,IF(D92="NOT_CHECKED",0,C92))</f>
        <v/>
      </c>
      <c r="H92" s="2" t="inlineStr">
        <is>
          <t>Product-specific long-tail is relevant, but demand support is only public SERP evidence.</t>
        </is>
      </c>
      <c r="I92" s="2" t="inlineStr">
        <is>
          <t>evidence_batch_015_149; source_snapshot; live_source_comparison; customizer_audit; serp_evidence</t>
        </is>
      </c>
      <c r="J92" s="2" t="inlineStr">
        <is>
          <t>ISSUE-0009</t>
        </is>
      </c>
    </row>
    <row r="93" ht="42" customHeight="1">
      <c r="A93" s="3" t="inlineStr">
        <is>
          <t>jeminise.com+folklore-tree-of-life-in-celtic-knot-quilt-40ab1f6113-40ab1f6113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IF(B93="I1",AVERAGEIF('QA_Images'!$A$2:$A$58,A93,'QA_Images'!$R$2:$R$58)/100,IF(D93="FULL",1,IF(D93="PARTIAL",0.5,IF(D93="FAIL",0,""))))</f>
        <v/>
      </c>
      <c r="F93" s="7">
        <f>IF(E93="",0,C93*E93)</f>
        <v/>
      </c>
      <c r="G93" s="7">
        <f>IF(B93="I1",20*AVERAGEIF('QA_Images'!$A$2:$A$58,A93,'QA_Images'!$S$2:$S$58)/100,IF(D93="NOT_CHECKED",0,C93))</f>
        <v/>
      </c>
      <c r="H93" s="3" t="inlineStr">
        <is>
          <t>Primary queries distinguish motif/color and product type within the batch cluster.</t>
        </is>
      </c>
      <c r="I93" s="3" t="inlineStr">
        <is>
          <t>evidence_batch_015_149; source_snapshot; live_source_comparison; customizer_audit; serp_evidence</t>
        </is>
      </c>
      <c r="J93" s="3" t="inlineStr">
        <is>
          <t>ISSUE-0009</t>
        </is>
      </c>
    </row>
    <row r="94" ht="42" customHeight="1">
      <c r="A94" s="2" t="inlineStr">
        <is>
          <t>jeminise.com+folklore-tree-of-life-in-celtic-knot-quilt-40ab1f6113-40ab1f6113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IF(B94="I1",AVERAGEIF('QA_Images'!$A$2:$A$58,A94,'QA_Images'!$R$2:$R$58)/100,IF(D94="FULL",1,IF(D94="PARTIAL",0.5,IF(D94="FAIL",0,""))))</f>
        <v/>
      </c>
      <c r="F94" s="5">
        <f>IF(E94="",0,C94*E94)</f>
        <v/>
      </c>
      <c r="G94" s="5">
        <f>IF(B94="I1",20*AVERAGEIF('QA_Images'!$A$2:$A$58,A94,'QA_Images'!$S$2:$S$58)/100,IF(D94="NOT_CHECKED",0,C94))</f>
        <v/>
      </c>
      <c r="H94" s="2" t="inlineStr">
        <is>
          <t>SERP_ONLY is honestly labelled; no volume, ranking or demand magnitude claim is used.</t>
        </is>
      </c>
      <c r="I94" s="2" t="inlineStr">
        <is>
          <t>evidence_batch_015_149; source_snapshot; live_source_comparison; customizer_audit; serp_evidence</t>
        </is>
      </c>
      <c r="J94" s="2" t="inlineStr">
        <is>
          <t>ISSUE-0009</t>
        </is>
      </c>
    </row>
    <row r="95" ht="42" customHeight="1">
      <c r="A95" s="3" t="inlineStr">
        <is>
          <t>jeminise.com+folklore-tree-of-life-in-celtic-knot-quilt-40ab1f6113-40ab1f6113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IF(B95="I1",AVERAGEIF('QA_Images'!$A$2:$A$58,A95,'QA_Images'!$R$2:$R$58)/100,IF(D95="FULL",1,IF(D95="PARTIAL",0.5,IF(D95="FAIL",0,""))))</f>
        <v/>
      </c>
      <c r="F95" s="7">
        <f>IF(E95="",0,C95*E95)</f>
        <v/>
      </c>
      <c r="G95" s="7">
        <f>IF(B95="I1",20*AVERAGEIF('QA_Images'!$A$2:$A$58,A95,'QA_Images'!$S$2:$S$58)/100,IF(D95="NOT_CHECKED",0,C95))</f>
        <v/>
      </c>
      <c r="H95" s="3" t="inlineStr">
        <is>
          <t>SEO title is concise English and matches the visible design/product type.</t>
        </is>
      </c>
      <c r="I95" s="3" t="inlineStr">
        <is>
          <t>evidence_batch_015_149; source_snapshot; live_source_comparison; customizer_audit; serp_evidence</t>
        </is>
      </c>
      <c r="J95" s="3" t="inlineStr">
        <is>
          <t>ISSUE-0009</t>
        </is>
      </c>
    </row>
    <row r="96" ht="42" customHeight="1">
      <c r="A96" s="2" t="inlineStr">
        <is>
          <t>jeminise.com+folklore-tree-of-life-in-celtic-knot-quilt-40ab1f6113-40ab1f6113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IF(B96="I1",AVERAGEIF('QA_Images'!$A$2:$A$58,A96,'QA_Images'!$R$2:$R$58)/100,IF(D96="FULL",1,IF(D96="PARTIAL",0.5,IF(D96="FAIL",0,""))))</f>
        <v/>
      </c>
      <c r="F96" s="5">
        <f>IF(E96="",0,C96*E96)</f>
        <v/>
      </c>
      <c r="G96" s="5">
        <f>IF(B96="I1",20*AVERAGEIF('QA_Images'!$A$2:$A$58,A96,'QA_Images'!$S$2:$S$58)/100,IF(D96="NOT_CHECKED",0,C96))</f>
        <v/>
      </c>
      <c r="H96" s="2" t="inlineStr">
        <is>
          <t>Proposed product title is a natural, product-specific H1 candidate.</t>
        </is>
      </c>
      <c r="I96" s="2" t="inlineStr">
        <is>
          <t>evidence_batch_015_149; source_snapshot; live_source_comparison; customizer_audit; serp_evidence</t>
        </is>
      </c>
      <c r="J96" s="2" t="inlineStr">
        <is>
          <t>ISSUE-0009</t>
        </is>
      </c>
    </row>
    <row r="97" ht="42" customHeight="1">
      <c r="A97" s="3" t="inlineStr">
        <is>
          <t>jeminise.com+folklore-tree-of-life-in-celtic-knot-quilt-40ab1f6113-40ab1f6113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IF(B97="I1",AVERAGEIF('QA_Images'!$A$2:$A$58,A97,'QA_Images'!$R$2:$R$58)/100,IF(D97="FULL",1,IF(D97="PARTIAL",0.5,IF(D97="FAIL",0,""))))</f>
        <v/>
      </c>
      <c r="F97" s="7">
        <f>IF(E97="",0,C97*E97)</f>
        <v/>
      </c>
      <c r="G97" s="7">
        <f>IF(B97="I1",20*AVERAGEIF('QA_Images'!$A$2:$A$58,A97,'QA_Images'!$S$2:$S$58)/100,IF(D97="NOT_CHECKED",0,C97))</f>
        <v/>
      </c>
      <c r="H97" s="3" t="inlineStr">
        <is>
          <t>SET HTML is customer-facing and contains no draft, import or QA workflow language.</t>
        </is>
      </c>
      <c r="I97" s="3" t="inlineStr">
        <is>
          <t>evidence_batch_015_149; source_snapshot; live_source_comparison; customizer_audit; serp_evidence</t>
        </is>
      </c>
      <c r="J97" s="3" t="inlineStr">
        <is>
          <t>ISSUE-0009</t>
        </is>
      </c>
    </row>
    <row r="98" ht="42" customHeight="1">
      <c r="A98" s="2" t="inlineStr">
        <is>
          <t>jeminise.com+folklore-tree-of-life-in-celtic-knot-quilt-40ab1f6113-40ab1f6113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IF(B98="I1",AVERAGEIF('QA_Images'!$A$2:$A$58,A98,'QA_Images'!$R$2:$R$58)/100,IF(D98="FULL",1,IF(D98="PARTIAL",0.5,IF(D98="FAIL",0,""))))</f>
        <v/>
      </c>
      <c r="F98" s="5">
        <f>IF(E98="",0,C98*E98)</f>
        <v/>
      </c>
      <c r="G98" s="5">
        <f>IF(B98="I1",20*AVERAGEIF('QA_Images'!$A$2:$A$58,A98,'QA_Images'!$S$2:$S$58)/100,IF(D98="NOT_CHECKED",0,C98))</f>
        <v/>
      </c>
      <c r="H98" s="2" t="inlineStr">
        <is>
          <t>HTML accurately states the motif and gallery-supported components, but repeats generic positioning language instead of adding buyer-use detail.</t>
        </is>
      </c>
      <c r="I98" s="2" t="inlineStr">
        <is>
          <t>evidence_batch_015_149; source_snapshot; live_source_comparison; customizer_audit; serp_evidence</t>
        </is>
      </c>
      <c r="J98" s="2" t="inlineStr">
        <is>
          <t>ISSUE-0009</t>
        </is>
      </c>
    </row>
    <row r="99" ht="42" customHeight="1">
      <c r="A99" s="3" t="inlineStr">
        <is>
          <t>jeminise.com+folklore-tree-of-life-in-celtic-knot-quilt-40ab1f6113-40ab1f6113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IF(B99="I1",AVERAGEIF('QA_Images'!$A$2:$A$58,A99,'QA_Images'!$R$2:$R$58)/100,IF(D99="FULL",1,IF(D99="PARTIAL",0.5,IF(D99="FAIL",0,""))))</f>
        <v/>
      </c>
      <c r="F99" s="7">
        <f>IF(E99="",0,C99*E99)</f>
        <v/>
      </c>
      <c r="G99" s="7">
        <f>IF(B99="I1",20*AVERAGEIF('QA_Images'!$A$2:$A$58,A99,'QA_Images'!$S$2:$S$58)/100,IF(D99="NOT_CHECKED",0,C99))</f>
        <v/>
      </c>
      <c r="H99" s="3" t="inlineStr">
        <is>
          <t>Derived from all QA_Images rows for this product.</t>
        </is>
      </c>
      <c r="I99" s="3" t="inlineStr">
        <is>
          <t>evidence_batch_015_149; source_snapshot; live_source_comparison; customizer_audit; serp_evidence</t>
        </is>
      </c>
      <c r="J99" s="3" t="inlineStr">
        <is>
          <t>ISSUE-0009</t>
        </is>
      </c>
    </row>
    <row r="100" ht="42" customHeight="1">
      <c r="A100" s="2" t="inlineStr">
        <is>
          <t>jeminise.com+folklore-tree-of-life-in-celtic-knot-quilt-40ab1f6113-40ab1f6113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IF(B100="I1",AVERAGEIF('QA_Images'!$A$2:$A$58,A100,'QA_Images'!$R$2:$R$58)/100,IF(D100="FULL",1,IF(D100="PARTIAL",0.5,IF(D100="FAIL",0,""))))</f>
        <v/>
      </c>
      <c r="F100" s="5">
        <f>IF(E100="",0,C100*E100)</f>
        <v/>
      </c>
      <c r="G100" s="5">
        <f>IF(B100="I1",20*AVERAGEIF('QA_Images'!$A$2:$A$58,A100,'QA_Images'!$S$2:$S$58)/100,IF(D100="NOT_CHECKED",0,C100))</f>
        <v/>
      </c>
      <c r="H100" s="2" t="inlineStr">
        <is>
          <t>Evidence links and revision are traceable; the absent Shopify admin export remains separated as a limitation.</t>
        </is>
      </c>
      <c r="I100" s="2" t="inlineStr">
        <is>
          <t>evidence_batch_015_149; source_snapshot; live_source_comparison; customizer_audit; serp_evidence</t>
        </is>
      </c>
      <c r="J100" s="2" t="inlineStr">
        <is>
          <t>ISSUE-0009</t>
        </is>
      </c>
    </row>
    <row r="101" ht="42" customHeight="1">
      <c r="A101" s="3" t="inlineStr">
        <is>
          <t>jeminise.com+fox-patchwork-pattern-quilt-set-animal-quilt-set-patchwork-style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IF(B101="I1",AVERAGEIF('QA_Images'!$A$2:$A$58,A101,'QA_Images'!$R$2:$R$58)/100,IF(D101="FULL",1,IF(D101="PARTIAL",0.5,IF(D101="FAIL",0,""))))</f>
        <v/>
      </c>
      <c r="F101" s="7">
        <f>IF(E101="",0,C101*E101)</f>
        <v/>
      </c>
      <c r="G101" s="7">
        <f>IF(B101="I1",20*AVERAGEIF('QA_Images'!$A$2:$A$58,A101,'QA_Images'!$S$2:$S$58)/100,IF(D101="NOT_CHECKED",0,C101))</f>
        <v/>
      </c>
      <c r="H101" s="3" t="inlineStr">
        <is>
          <t>Product key, handle, ID, URL and canonical match the frozen r3 workbook and retained live comparison.</t>
        </is>
      </c>
      <c r="I101" s="3" t="inlineStr">
        <is>
          <t>evidence_batch_015_150; source_snapshot; live_source_comparison; customizer_audit; serp_evidence</t>
        </is>
      </c>
      <c r="J101" s="3" t="inlineStr">
        <is>
          <t>ISSUE-0010</t>
        </is>
      </c>
    </row>
    <row r="102" ht="42" customHeight="1">
      <c r="A102" s="2" t="inlineStr">
        <is>
          <t>jeminise.com+fox-patchwork-pattern-quilt-set-animal-quilt-set-patchwork-style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IF(B102="I1",AVERAGEIF('QA_Images'!$A$2:$A$58,A102,'QA_Images'!$R$2:$R$58)/100,IF(D102="FULL",1,IF(D102="PARTIAL",0.5,IF(D102="FAIL",0,""))))</f>
        <v/>
      </c>
      <c r="F102" s="5">
        <f>IF(E102="",0,C102*E102)</f>
        <v/>
      </c>
      <c r="G102" s="5">
        <f>IF(B102="I1",20*AVERAGEIF('QA_Images'!$A$2:$A$58,A102,'QA_Images'!$S$2:$S$58)/100,IF(D102="NOT_CHECKED",0,C102))</f>
        <v/>
      </c>
      <c r="H102" s="2" t="inlineStr">
        <is>
          <t>Visible design facts are supported by direct gallery assets; static customizer configuration is present. Admin fulfillment mapping was not supplied.</t>
        </is>
      </c>
      <c r="I102" s="2" t="inlineStr">
        <is>
          <t>evidence_batch_015_150; source_snapshot; live_source_comparison; customizer_audit; serp_evidence</t>
        </is>
      </c>
      <c r="J102" s="2" t="inlineStr">
        <is>
          <t>ISSUE-0010</t>
        </is>
      </c>
    </row>
    <row r="103" ht="42" customHeight="1">
      <c r="A103" s="3" t="inlineStr">
        <is>
          <t>jeminise.com+fox-patchwork-pattern-quilt-set-animal-quilt-set-patchwork-style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IF(B103="I1",AVERAGEIF('QA_Images'!$A$2:$A$58,A103,'QA_Images'!$R$2:$R$58)/100,IF(D103="FULL",1,IF(D103="PARTIAL",0.5,IF(D103="FAIL",0,""))))</f>
        <v/>
      </c>
      <c r="F103" s="7">
        <f>IF(E103="",0,C103*E103)</f>
        <v/>
      </c>
      <c r="G103" s="7">
        <f>IF(B103="I1",20*AVERAGEIF('QA_Images'!$A$2:$A$58,A103,'QA_Images'!$S$2:$S$58)/100,IF(D103="NOT_CHECKED",0,C103))</f>
        <v/>
      </c>
      <c r="H103" s="3" t="inlineStr">
        <is>
          <t>Product-specific long-tail is relevant, but demand support is only public SERP evidence.</t>
        </is>
      </c>
      <c r="I103" s="3" t="inlineStr">
        <is>
          <t>evidence_batch_015_150; source_snapshot; live_source_comparison; customizer_audit; serp_evidence</t>
        </is>
      </c>
      <c r="J103" s="3" t="inlineStr">
        <is>
          <t>ISSUE-0010</t>
        </is>
      </c>
    </row>
    <row r="104" ht="42" customHeight="1">
      <c r="A104" s="2" t="inlineStr">
        <is>
          <t>jeminise.com+fox-patchwork-pattern-quilt-set-animal-quilt-set-patchwork-style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IF(B104="I1",AVERAGEIF('QA_Images'!$A$2:$A$58,A104,'QA_Images'!$R$2:$R$58)/100,IF(D104="FULL",1,IF(D104="PARTIAL",0.5,IF(D104="FAIL",0,""))))</f>
        <v/>
      </c>
      <c r="F104" s="5">
        <f>IF(E104="",0,C104*E104)</f>
        <v/>
      </c>
      <c r="G104" s="5">
        <f>IF(B104="I1",20*AVERAGEIF('QA_Images'!$A$2:$A$58,A104,'QA_Images'!$S$2:$S$58)/100,IF(D104="NOT_CHECKED",0,C104))</f>
        <v/>
      </c>
      <c r="H104" s="2" t="inlineStr">
        <is>
          <t>Primary queries distinguish motif/color and product type within the batch cluster.</t>
        </is>
      </c>
      <c r="I104" s="2" t="inlineStr">
        <is>
          <t>evidence_batch_015_150; source_snapshot; live_source_comparison; customizer_audit; serp_evidence</t>
        </is>
      </c>
      <c r="J104" s="2" t="inlineStr">
        <is>
          <t>ISSUE-0010</t>
        </is>
      </c>
    </row>
    <row r="105" ht="42" customHeight="1">
      <c r="A105" s="3" t="inlineStr">
        <is>
          <t>jeminise.com+fox-patchwork-pattern-quilt-set-animal-quilt-set-patchwork-style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IF(B105="I1",AVERAGEIF('QA_Images'!$A$2:$A$58,A105,'QA_Images'!$R$2:$R$58)/100,IF(D105="FULL",1,IF(D105="PARTIAL",0.5,IF(D105="FAIL",0,""))))</f>
        <v/>
      </c>
      <c r="F105" s="7">
        <f>IF(E105="",0,C105*E105)</f>
        <v/>
      </c>
      <c r="G105" s="7">
        <f>IF(B105="I1",20*AVERAGEIF('QA_Images'!$A$2:$A$58,A105,'QA_Images'!$S$2:$S$58)/100,IF(D105="NOT_CHECKED",0,C105))</f>
        <v/>
      </c>
      <c r="H105" s="3" t="inlineStr">
        <is>
          <t>SERP_ONLY is honestly labelled; no volume, ranking or demand magnitude claim is used.</t>
        </is>
      </c>
      <c r="I105" s="3" t="inlineStr">
        <is>
          <t>evidence_batch_015_150; source_snapshot; live_source_comparison; customizer_audit; serp_evidence</t>
        </is>
      </c>
      <c r="J105" s="3" t="inlineStr">
        <is>
          <t>ISSUE-0010</t>
        </is>
      </c>
    </row>
    <row r="106" ht="42" customHeight="1">
      <c r="A106" s="2" t="inlineStr">
        <is>
          <t>jeminise.com+fox-patchwork-pattern-quilt-set-animal-quilt-set-patchwork-style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IF(B106="I1",AVERAGEIF('QA_Images'!$A$2:$A$58,A106,'QA_Images'!$R$2:$R$58)/100,IF(D106="FULL",1,IF(D106="PARTIAL",0.5,IF(D106="FAIL",0,""))))</f>
        <v/>
      </c>
      <c r="F106" s="5">
        <f>IF(E106="",0,C106*E106)</f>
        <v/>
      </c>
      <c r="G106" s="5">
        <f>IF(B106="I1",20*AVERAGEIF('QA_Images'!$A$2:$A$58,A106,'QA_Images'!$S$2:$S$58)/100,IF(D106="NOT_CHECKED",0,C106))</f>
        <v/>
      </c>
      <c r="H106" s="2" t="inlineStr">
        <is>
          <t>SEO title is concise English and matches the visible design/product type.</t>
        </is>
      </c>
      <c r="I106" s="2" t="inlineStr">
        <is>
          <t>evidence_batch_015_150; source_snapshot; live_source_comparison; customizer_audit; serp_evidence</t>
        </is>
      </c>
      <c r="J106" s="2" t="inlineStr">
        <is>
          <t>ISSUE-0010</t>
        </is>
      </c>
    </row>
    <row r="107" ht="42" customHeight="1">
      <c r="A107" s="3" t="inlineStr">
        <is>
          <t>jeminise.com+fox-patchwork-pattern-quilt-set-animal-quilt-set-patchwork-style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IF(B107="I1",AVERAGEIF('QA_Images'!$A$2:$A$58,A107,'QA_Images'!$R$2:$R$58)/100,IF(D107="FULL",1,IF(D107="PARTIAL",0.5,IF(D107="FAIL",0,""))))</f>
        <v/>
      </c>
      <c r="F107" s="7">
        <f>IF(E107="",0,C107*E107)</f>
        <v/>
      </c>
      <c r="G107" s="7">
        <f>IF(B107="I1",20*AVERAGEIF('QA_Images'!$A$2:$A$58,A107,'QA_Images'!$S$2:$S$58)/100,IF(D107="NOT_CHECKED",0,C107))</f>
        <v/>
      </c>
      <c r="H107" s="3" t="inlineStr">
        <is>
          <t>Proposed product title is a natural, product-specific H1 candidate.</t>
        </is>
      </c>
      <c r="I107" s="3" t="inlineStr">
        <is>
          <t>evidence_batch_015_150; source_snapshot; live_source_comparison; customizer_audit; serp_evidence</t>
        </is>
      </c>
      <c r="J107" s="3" t="inlineStr">
        <is>
          <t>ISSUE-0010</t>
        </is>
      </c>
    </row>
    <row r="108" ht="42" customHeight="1">
      <c r="A108" s="2" t="inlineStr">
        <is>
          <t>jeminise.com+fox-patchwork-pattern-quilt-set-animal-quilt-set-patchwork-style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IF(B108="I1",AVERAGEIF('QA_Images'!$A$2:$A$58,A108,'QA_Images'!$R$2:$R$58)/100,IF(D108="FULL",1,IF(D108="PARTIAL",0.5,IF(D108="FAIL",0,""))))</f>
        <v/>
      </c>
      <c r="F108" s="5">
        <f>IF(E108="",0,C108*E108)</f>
        <v/>
      </c>
      <c r="G108" s="5">
        <f>IF(B108="I1",20*AVERAGEIF('QA_Images'!$A$2:$A$58,A108,'QA_Images'!$S$2:$S$58)/100,IF(D108="NOT_CHECKED",0,C108))</f>
        <v/>
      </c>
      <c r="H108" s="2" t="inlineStr">
        <is>
          <t>SET HTML is customer-facing and contains no draft, import or QA workflow language.</t>
        </is>
      </c>
      <c r="I108" s="2" t="inlineStr">
        <is>
          <t>evidence_batch_015_150; source_snapshot; live_source_comparison; customizer_audit; serp_evidence</t>
        </is>
      </c>
      <c r="J108" s="2" t="inlineStr">
        <is>
          <t>ISSUE-0010</t>
        </is>
      </c>
    </row>
    <row r="109" ht="42" customHeight="1">
      <c r="A109" s="3" t="inlineStr">
        <is>
          <t>jeminise.com+fox-patchwork-pattern-quilt-set-animal-quilt-set-patchwork-style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IF(B109="I1",AVERAGEIF('QA_Images'!$A$2:$A$58,A109,'QA_Images'!$R$2:$R$58)/100,IF(D109="FULL",1,IF(D109="PARTIAL",0.5,IF(D109="FAIL",0,""))))</f>
        <v/>
      </c>
      <c r="F109" s="7">
        <f>IF(E109="",0,C109*E109)</f>
        <v/>
      </c>
      <c r="G109" s="7">
        <f>IF(B109="I1",20*AVERAGEIF('QA_Images'!$A$2:$A$58,A109,'QA_Images'!$S$2:$S$58)/100,IF(D109="NOT_CHECKED",0,C109))</f>
        <v/>
      </c>
      <c r="H109" s="3" t="inlineStr">
        <is>
          <t>HTML accurately states the motif and gallery-supported components, but repeats generic positioning language instead of adding buyer-use detail.</t>
        </is>
      </c>
      <c r="I109" s="3" t="inlineStr">
        <is>
          <t>evidence_batch_015_150; source_snapshot; live_source_comparison; customizer_audit; serp_evidence</t>
        </is>
      </c>
      <c r="J109" s="3" t="inlineStr">
        <is>
          <t>ISSUE-0010</t>
        </is>
      </c>
    </row>
    <row r="110" ht="42" customHeight="1">
      <c r="A110" s="2" t="inlineStr">
        <is>
          <t>jeminise.com+fox-patchwork-pattern-quilt-set-animal-quilt-set-patchwork-style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IF(B110="I1",AVERAGEIF('QA_Images'!$A$2:$A$58,A110,'QA_Images'!$R$2:$R$58)/100,IF(D110="FULL",1,IF(D110="PARTIAL",0.5,IF(D110="FAIL",0,""))))</f>
        <v/>
      </c>
      <c r="F110" s="5">
        <f>IF(E110="",0,C110*E110)</f>
        <v/>
      </c>
      <c r="G110" s="5">
        <f>IF(B110="I1",20*AVERAGEIF('QA_Images'!$A$2:$A$58,A110,'QA_Images'!$S$2:$S$58)/100,IF(D110="NOT_CHECKED",0,C110))</f>
        <v/>
      </c>
      <c r="H110" s="2" t="inlineStr">
        <is>
          <t>Derived from all QA_Images rows for this product.</t>
        </is>
      </c>
      <c r="I110" s="2" t="inlineStr">
        <is>
          <t>evidence_batch_015_150; source_snapshot; live_source_comparison; customizer_audit; serp_evidence</t>
        </is>
      </c>
      <c r="J110" s="2" t="inlineStr">
        <is>
          <t>ISSUE-0010</t>
        </is>
      </c>
    </row>
    <row r="111" ht="42" customHeight="1">
      <c r="A111" s="3" t="inlineStr">
        <is>
          <t>jeminise.com+fox-patchwork-pattern-quilt-set-animal-quilt-set-patchwork-style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IF(B111="I1",AVERAGEIF('QA_Images'!$A$2:$A$58,A111,'QA_Images'!$R$2:$R$58)/100,IF(D111="FULL",1,IF(D111="PARTIAL",0.5,IF(D111="FAIL",0,""))))</f>
        <v/>
      </c>
      <c r="F111" s="7">
        <f>IF(E111="",0,C111*E111)</f>
        <v/>
      </c>
      <c r="G111" s="7">
        <f>IF(B111="I1",20*AVERAGEIF('QA_Images'!$A$2:$A$58,A111,'QA_Images'!$S$2:$S$58)/100,IF(D111="NOT_CHECKED",0,C111))</f>
        <v/>
      </c>
      <c r="H111" s="3" t="inlineStr">
        <is>
          <t>Evidence links and revision are traceable; the absent Shopify admin export remains separated as a limitation.</t>
        </is>
      </c>
      <c r="I111" s="3" t="inlineStr">
        <is>
          <t>evidence_batch_015_150; source_snapshot; live_source_comparison; customizer_audit; serp_evidence</t>
        </is>
      </c>
      <c r="J111" s="3" t="inlineStr">
        <is>
          <t>ISSUE-0010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jeminise.com+fantasy-fire-dragon-comforter-set-with-glowing-lava-and-bedroom-setting-c7ca9ae893-c7ca9ae893</t>
        </is>
      </c>
      <c r="B2" s="2" t="inlineStr">
        <is>
          <t>img_f9ec9b4cf8d5de5e</t>
        </is>
      </c>
      <c r="C2" s="4" t="inlineStr">
        <is>
          <t>https://cdn.shopify.com/s/files/1/0792/5098/1063/files/c4d0fd722455bba238bd299b941b3a17d42c91a26bd18c6f1208c8a0c855db71.jpg?v=1785046575</t>
        </is>
      </c>
      <c r="D2" s="4" t="inlineStr">
        <is>
          <t>https://cdn.shopify.com/s/files/1/0792/5098/1063/files/c4d0fd722455bba238bd299b941b3a17d42c91a26bd18c6f1208c8a0c855db71.jpg?v=1785046575</t>
        </is>
      </c>
      <c r="E2" s="2" t="inlineStr">
        <is>
          <t>47531805311175</t>
        </is>
      </c>
      <c r="F2" s="2" t="inlineStr"/>
      <c r="G2" s="2" t="inlineStr">
        <is>
          <t>GALLERY</t>
        </is>
      </c>
      <c r="H2" s="2" t="inlineStr">
        <is>
          <t>DIRECT_DOWNLOADED_GALLERY_ASSET_REVIEW</t>
        </is>
      </c>
      <c r="I2" s="2" t="inlineStr">
        <is>
          <t>2026-09-08T09:37:57+07:00</t>
        </is>
      </c>
      <c r="J2" s="2" t="inlineStr">
        <is>
          <t>Bedroom mockup of red and black fire dragon quilt with glowing lava artwork with matching shams.</t>
        </is>
      </c>
      <c r="K2" s="2" t="inlineStr">
        <is>
          <t>Bedroom mockup of red and black fire dragon quilt with glowing lava artwork with matching shams.</t>
        </is>
      </c>
      <c r="L2" s="2" t="inlineStr">
        <is>
          <t>SET</t>
        </is>
      </c>
      <c r="M2" s="2" t="inlineStr">
        <is>
          <t>Red fire dragon lava quilt set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/>
      <c r="X2" s="2" t="inlineStr">
        <is>
          <t>D:\Shopify_Workspace\jeminise_seo\seo_runs\jeminise.com\20260906_234129\qa\20260908_015000\images\141_01.jpg; seo_runs\jeminise.com\20260906_234129\evidence\images\141_fantasy-fire-dragon-comforter-set-with-glowing-lava-and-bedroom-setting-c7ca9ae893-c7ca9ae893\image_01_47531805311175.jpg; seo_runs\jeminise.com\20260906_234129\evidence\contact_sheets\141_fantasy-fire-dragon-comforter-set-with-glowing-lava-and-bedroom-setting-c7ca9ae893-c7ca9ae893.jpg</t>
        </is>
      </c>
    </row>
    <row r="3" ht="66" customHeight="1">
      <c r="A3" s="3" t="inlineStr">
        <is>
          <t>jeminise.com+fantasy-fire-dragon-comforter-set-with-glowing-lava-and-bedroom-setting-c7ca9ae893-c7ca9ae893</t>
        </is>
      </c>
      <c r="B3" s="3" t="inlineStr">
        <is>
          <t>img_85448c4c2f906198</t>
        </is>
      </c>
      <c r="C3" s="4" t="inlineStr">
        <is>
          <t>https://cdn.shopify.com/s/files/1/0792/5098/1063/files/f09df1eb9c381b597162462476a57f97246e4c07fc06b3d721f64d0bc64855de.jpg?v=1785046575</t>
        </is>
      </c>
      <c r="D3" s="4" t="inlineStr">
        <is>
          <t>https://cdn.shopify.com/s/files/1/0792/5098/1063/files/f09df1eb9c381b597162462476a57f97246e4c07fc06b3d721f64d0bc64855de.jpg?v=1785046575</t>
        </is>
      </c>
      <c r="E3" s="3" t="inlineStr">
        <is>
          <t>47531805343943</t>
        </is>
      </c>
      <c r="F3" s="3" t="inlineStr"/>
      <c r="G3" s="3" t="inlineStr">
        <is>
          <t>GALLERY</t>
        </is>
      </c>
      <c r="H3" s="3" t="inlineStr">
        <is>
          <t>DIRECT_DOWNLOADED_GALLERY_ASSET_REVIEW</t>
        </is>
      </c>
      <c r="I3" s="3" t="inlineStr">
        <is>
          <t>2026-09-08T09:37:57+07:00</t>
        </is>
      </c>
      <c r="J3" s="3" t="inlineStr">
        <is>
          <t>Close-up view of red and black fire dragon quilt with glowing lava artwork showing quilt stitching texture.</t>
        </is>
      </c>
      <c r="K3" s="3" t="inlineStr">
        <is>
          <t>Close-up view of red and black fire dragon quilt with glowing lava artwork showing quilt stitching texture.</t>
        </is>
      </c>
      <c r="L3" s="3" t="inlineStr">
        <is>
          <t>SET</t>
        </is>
      </c>
      <c r="M3" s="3" t="inlineStr">
        <is>
          <t>Red fire dragon lava quilt set close-up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/>
      <c r="X3" s="3" t="inlineStr">
        <is>
          <t>D:\Shopify_Workspace\jeminise_seo\seo_runs\jeminise.com\20260906_234129\qa\20260908_015000\images\141_02.jpg; seo_runs\jeminise.com\20260906_234129\evidence\images\141_fantasy-fire-dragon-comforter-set-with-glowing-lava-and-bedroom-setting-c7ca9ae893-c7ca9ae893\image_02_47531805343943.jpg; seo_runs\jeminise.com\20260906_234129\evidence\contact_sheets\141_fantasy-fire-dragon-comforter-set-with-glowing-lava-and-bedroom-setting-c7ca9ae893-c7ca9ae893.jpg</t>
        </is>
      </c>
    </row>
    <row r="4" ht="66" customHeight="1">
      <c r="A4" s="2" t="inlineStr">
        <is>
          <t>jeminise.com+fantasy-fire-dragon-comforter-set-with-glowing-lava-and-bedroom-setting-c7ca9ae893-c7ca9ae893</t>
        </is>
      </c>
      <c r="B4" s="2" t="inlineStr">
        <is>
          <t>img_ad1b60aafcc53cb3</t>
        </is>
      </c>
      <c r="C4" s="4" t="inlineStr">
        <is>
          <t>https://cdn.shopify.com/s/files/1/0792/5098/1063/files/b2c6bd3e9c7f7e57cdd3687e983bfe44375c5813193290cea46f99c5e92a94e5.jpg?v=1785046575</t>
        </is>
      </c>
      <c r="D4" s="4" t="inlineStr">
        <is>
          <t>https://cdn.shopify.com/s/files/1/0792/5098/1063/files/b2c6bd3e9c7f7e57cdd3687e983bfe44375c5813193290cea46f99c5e92a94e5.jpg?v=1785046575</t>
        </is>
      </c>
      <c r="E4" s="2" t="inlineStr">
        <is>
          <t>47531805376711</t>
        </is>
      </c>
      <c r="F4" s="2" t="inlineStr"/>
      <c r="G4" s="2" t="inlineStr">
        <is>
          <t>GALLERY</t>
        </is>
      </c>
      <c r="H4" s="2" t="inlineStr">
        <is>
          <t>DIRECT_DOWNLOADED_GALLERY_ASSET_REVIEW</t>
        </is>
      </c>
      <c r="I4" s="2" t="inlineStr">
        <is>
          <t>2026-09-08T09:37:57+07:00</t>
        </is>
      </c>
      <c r="J4" s="2" t="inlineStr">
        <is>
          <t>Pillow sham mockup showing red and black fire dragon quilt with glowing lava artwork.</t>
        </is>
      </c>
      <c r="K4" s="2" t="inlineStr">
        <is>
          <t>Pillow sham mockup showing red and black fire dragon quilt with glowing lava artwork.</t>
        </is>
      </c>
      <c r="L4" s="2" t="inlineStr">
        <is>
          <t>SET</t>
        </is>
      </c>
      <c r="M4" s="2" t="inlineStr">
        <is>
          <t>Red fire dragon lava quilt set pillow sham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/>
      <c r="X4" s="2" t="inlineStr">
        <is>
          <t>D:\Shopify_Workspace\jeminise_seo\seo_runs\jeminise.com\20260906_234129\qa\20260908_015000\images\141_03.jpg; seo_runs\jeminise.com\20260906_234129\evidence\images\141_fantasy-fire-dragon-comforter-set-with-glowing-lava-and-bedroom-setting-c7ca9ae893-c7ca9ae893\image_03_47531805376711.jpg; seo_runs\jeminise.com\20260906_234129\evidence\contact_sheets\141_fantasy-fire-dragon-comforter-set-with-glowing-lava-and-bedroom-setting-c7ca9ae893-c7ca9ae893.jpg</t>
        </is>
      </c>
    </row>
    <row r="5" ht="66" customHeight="1">
      <c r="A5" s="3" t="inlineStr">
        <is>
          <t>jeminise.com+fantasy-fire-dragon-comforter-set-with-glowing-lava-and-bedroom-setting-c7ca9ae893-c7ca9ae893</t>
        </is>
      </c>
      <c r="B5" s="3" t="inlineStr">
        <is>
          <t>img_c393a93681a3f650</t>
        </is>
      </c>
      <c r="C5" s="4" t="inlineStr">
        <is>
          <t>https://cdn.shopify.com/s/files/1/0792/5098/1063/files/fe57b5826ec2d6c98cd7be8065d8fa25e380acda4678fa02dd4184764eadd193.jpg?v=1785046575</t>
        </is>
      </c>
      <c r="D5" s="4" t="inlineStr">
        <is>
          <t>https://cdn.shopify.com/s/files/1/0792/5098/1063/files/fe57b5826ec2d6c98cd7be8065d8fa25e380acda4678fa02dd4184764eadd193.jpg?v=1785046575</t>
        </is>
      </c>
      <c r="E5" s="3" t="inlineStr">
        <is>
          <t>47531805409479</t>
        </is>
      </c>
      <c r="F5" s="3" t="inlineStr"/>
      <c r="G5" s="3" t="inlineStr">
        <is>
          <t>GALLERY</t>
        </is>
      </c>
      <c r="H5" s="3" t="inlineStr">
        <is>
          <t>DIRECT_DOWNLOADED_GALLERY_ASSET_REVIEW</t>
        </is>
      </c>
      <c r="I5" s="3" t="inlineStr">
        <is>
          <t>2026-09-08T09:37:57+07:00</t>
        </is>
      </c>
      <c r="J5" s="3" t="inlineStr">
        <is>
          <t>Room mockup of red and black fire dragon quilt with glowing lava artwork on a modern bed.</t>
        </is>
      </c>
      <c r="K5" s="3" t="inlineStr">
        <is>
          <t>Room mockup of red and black fire dragon quilt with glowing lava artwork on a modern bed.</t>
        </is>
      </c>
      <c r="L5" s="3" t="inlineStr">
        <is>
          <t>SET</t>
        </is>
      </c>
      <c r="M5" s="3" t="inlineStr">
        <is>
          <t>Red fire dragon lava quilt set bedding set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/>
      <c r="X5" s="3" t="inlineStr">
        <is>
          <t>D:\Shopify_Workspace\jeminise_seo\seo_runs\jeminise.com\20260906_234129\qa\20260908_015000\images\141_04.jpg; seo_runs\jeminise.com\20260906_234129\evidence\images\141_fantasy-fire-dragon-comforter-set-with-glowing-lava-and-bedroom-setting-c7ca9ae893-c7ca9ae893\image_04_47531805409479.jpg; seo_runs\jeminise.com\20260906_234129\evidence\contact_sheets\141_fantasy-fire-dragon-comforter-set-with-glowing-lava-and-bedroom-setting-c7ca9ae893-c7ca9ae893.jpg</t>
        </is>
      </c>
    </row>
    <row r="6" ht="66" customHeight="1">
      <c r="A6" s="2" t="inlineStr">
        <is>
          <t>jeminise.com+fantasy-fire-dragon-comforter-set-with-glowing-lava-and-bedroom-setting-c7ca9ae893-c7ca9ae893</t>
        </is>
      </c>
      <c r="B6" s="2" t="inlineStr">
        <is>
          <t>img_52706eaa463787a6</t>
        </is>
      </c>
      <c r="C6" s="4" t="inlineStr">
        <is>
          <t>https://cdn.shopify.com/s/files/1/0792/5098/1063/files/13ca346a65b97208e6bea0169897bc90ded4dc1afe3b20713f75ccbb77634e18.jpg?v=1785046575</t>
        </is>
      </c>
      <c r="D6" s="4" t="inlineStr">
        <is>
          <t>https://cdn.shopify.com/s/files/1/0792/5098/1063/files/13ca346a65b97208e6bea0169897bc90ded4dc1afe3b20713f75ccbb77634e18.jpg?v=1785046575</t>
        </is>
      </c>
      <c r="E6" s="2" t="inlineStr">
        <is>
          <t>47531805442247</t>
        </is>
      </c>
      <c r="F6" s="2" t="inlineStr"/>
      <c r="G6" s="2" t="inlineStr">
        <is>
          <t>GALLERY</t>
        </is>
      </c>
      <c r="H6" s="2" t="inlineStr">
        <is>
          <t>DIRECT_DOWNLOADED_GALLERY_ASSET_REVIEW</t>
        </is>
      </c>
      <c r="I6" s="2" t="inlineStr">
        <is>
          <t>2026-09-08T09:37:57+07:00</t>
        </is>
      </c>
      <c r="J6" s="2" t="inlineStr">
        <is>
          <t>Three-piece bedding set panel listing one premium quilt and two optional standard shams.</t>
        </is>
      </c>
      <c r="K6" s="2" t="inlineStr">
        <is>
          <t>Three-piece bedding set panel listing one premium quilt and two optional standard shams.</t>
        </is>
      </c>
      <c r="L6" s="2" t="inlineStr">
        <is>
          <t>SET</t>
        </is>
      </c>
      <c r="M6" s="2" t="inlineStr">
        <is>
          <t>Three piece quilt set information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/>
      <c r="X6" s="2" t="inlineStr">
        <is>
          <t>D:\Shopify_Workspace\jeminise_seo\seo_runs\jeminise.com\20260906_234129\qa\20260908_015000\images\141_05.jpg; seo_runs\jeminise.com\20260906_234129\evidence\images\141_fantasy-fire-dragon-comforter-set-with-glowing-lava-and-bedroom-setting-c7ca9ae893-c7ca9ae893\image_05_47531805442247.jpg; seo_runs\jeminise.com\20260906_234129\evidence\contact_sheets\141_fantasy-fire-dragon-comforter-set-with-glowing-lava-and-bedroom-setting-c7ca9ae893-c7ca9ae893.jpg</t>
        </is>
      </c>
    </row>
    <row r="7" ht="66" customHeight="1">
      <c r="A7" s="3" t="inlineStr">
        <is>
          <t>jeminise.com+fantasy-mythical-dragon-comforter-set-with-winged-dragon-and-bedroom-setting-bcfc28e9d3-bcfc28e9d3</t>
        </is>
      </c>
      <c r="B7" s="3" t="inlineStr">
        <is>
          <t>img_2eed8110ba94b2d9</t>
        </is>
      </c>
      <c r="C7" s="4" t="inlineStr">
        <is>
          <t>https://cdn.shopify.com/s/files/1/0792/5098/1063/files/eae477fdaa97e3fdca2ab3391d0017b16b984464bea16f0ed965f5f3ba5c7467.jpg?v=1785046274</t>
        </is>
      </c>
      <c r="D7" s="4" t="inlineStr">
        <is>
          <t>https://cdn.shopify.com/s/files/1/0792/5098/1063/files/eae477fdaa97e3fdca2ab3391d0017b16b984464bea16f0ed965f5f3ba5c7467.jpg?v=1785046274</t>
        </is>
      </c>
      <c r="E7" s="3" t="inlineStr">
        <is>
          <t>47531748327623</t>
        </is>
      </c>
      <c r="F7" s="3" t="inlineStr"/>
      <c r="G7" s="3" t="inlineStr">
        <is>
          <t>GALLERY</t>
        </is>
      </c>
      <c r="H7" s="3" t="inlineStr">
        <is>
          <t>DIRECT_DOWNLOADED_GALLERY_ASSET_REVIEW</t>
        </is>
      </c>
      <c r="I7" s="3" t="inlineStr">
        <is>
          <t>2026-09-08T09:37:57+07:00</t>
        </is>
      </c>
      <c r="J7" s="3" t="inlineStr">
        <is>
          <t>Bedroom mockup of teal winged dragon quilt with dark fantasy background and glowing lights with matching shams.</t>
        </is>
      </c>
      <c r="K7" s="3" t="inlineStr">
        <is>
          <t>Bedroom mockup of teal winged dragon quilt with dark fantasy background and glowing lights with matching shams.</t>
        </is>
      </c>
      <c r="L7" s="3" t="inlineStr">
        <is>
          <t>SET</t>
        </is>
      </c>
      <c r="M7" s="3" t="inlineStr">
        <is>
          <t>Teal winged dragon quilt set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/>
      <c r="X7" s="3" t="inlineStr">
        <is>
          <t>D:\Shopify_Workspace\jeminise_seo\seo_runs\jeminise.com\20260906_234129\qa\20260908_015000\images\142_01.jpg; seo_runs\jeminise.com\20260906_234129\evidence\images\142_fantasy-mythical-dragon-comforter-set-with-winged-dragon-and-bedroom-setting-bcfc28e9d3-bcfc28e9d3\image_01_47531748327623.jpg; seo_runs\jeminise.com\20260906_234129\evidence\contact_sheets\142_fantasy-mythical-dragon-comforter-set-with-winged-dragon-and-bedroom-setting-bcfc28e9d3-bcfc28e9d3.jpg</t>
        </is>
      </c>
    </row>
    <row r="8" ht="66" customHeight="1">
      <c r="A8" s="2" t="inlineStr">
        <is>
          <t>jeminise.com+fantasy-mythical-dragon-comforter-set-with-winged-dragon-and-bedroom-setting-bcfc28e9d3-bcfc28e9d3</t>
        </is>
      </c>
      <c r="B8" s="2" t="inlineStr">
        <is>
          <t>img_eb49ffdad78a94d5</t>
        </is>
      </c>
      <c r="C8" s="4" t="inlineStr">
        <is>
          <t>https://cdn.shopify.com/s/files/1/0792/5098/1063/files/c59f0eee835c7b4f3cb36fdf8e0d437e7b3f3e4e5e8ce957e4e83f61677ad5e4.jpg?v=1785046273</t>
        </is>
      </c>
      <c r="D8" s="4" t="inlineStr">
        <is>
          <t>https://cdn.shopify.com/s/files/1/0792/5098/1063/files/c59f0eee835c7b4f3cb36fdf8e0d437e7b3f3e4e5e8ce957e4e83f61677ad5e4.jpg?v=1785046273</t>
        </is>
      </c>
      <c r="E8" s="2" t="inlineStr">
        <is>
          <t>47531748360391</t>
        </is>
      </c>
      <c r="F8" s="2" t="inlineStr"/>
      <c r="G8" s="2" t="inlineStr">
        <is>
          <t>GALLERY</t>
        </is>
      </c>
      <c r="H8" s="2" t="inlineStr">
        <is>
          <t>DIRECT_DOWNLOADED_GALLERY_ASSET_REVIEW</t>
        </is>
      </c>
      <c r="I8" s="2" t="inlineStr">
        <is>
          <t>2026-09-08T09:37:57+07:00</t>
        </is>
      </c>
      <c r="J8" s="2" t="inlineStr">
        <is>
          <t>Close-up view of teal winged dragon quilt with dark fantasy background and glowing lights showing quilt stitching texture.</t>
        </is>
      </c>
      <c r="K8" s="2" t="inlineStr">
        <is>
          <t>Close-up view of teal winged dragon quilt with dark fantasy background and glowing lights showing quilt stitching texture.</t>
        </is>
      </c>
      <c r="L8" s="2" t="inlineStr">
        <is>
          <t>SET</t>
        </is>
      </c>
      <c r="M8" s="2" t="inlineStr">
        <is>
          <t>Teal winged dragon quilt set close-up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/>
      <c r="X8" s="2" t="inlineStr">
        <is>
          <t>D:\Shopify_Workspace\jeminise_seo\seo_runs\jeminise.com\20260906_234129\qa\20260908_015000\images\142_02.jpg; seo_runs\jeminise.com\20260906_234129\evidence\images\142_fantasy-mythical-dragon-comforter-set-with-winged-dragon-and-bedroom-setting-bcfc28e9d3-bcfc28e9d3\image_02_47531748360391.jpg; seo_runs\jeminise.com\20260906_234129\evidence\contact_sheets\142_fantasy-mythical-dragon-comforter-set-with-winged-dragon-and-bedroom-setting-bcfc28e9d3-bcfc28e9d3.jpg</t>
        </is>
      </c>
    </row>
    <row r="9" ht="66" customHeight="1">
      <c r="A9" s="3" t="inlineStr">
        <is>
          <t>jeminise.com+fantasy-mythical-dragon-comforter-set-with-winged-dragon-and-bedroom-setting-bcfc28e9d3-bcfc28e9d3</t>
        </is>
      </c>
      <c r="B9" s="3" t="inlineStr">
        <is>
          <t>img_0b596dd1935158ab</t>
        </is>
      </c>
      <c r="C9" s="4" t="inlineStr">
        <is>
          <t>https://cdn.shopify.com/s/files/1/0792/5098/1063/files/c9684a0dee9fa97e8e6c03ccbe71405e116e4882e73c703dff22e1ddca95c88c.jpg?v=1785046273</t>
        </is>
      </c>
      <c r="D9" s="4" t="inlineStr">
        <is>
          <t>https://cdn.shopify.com/s/files/1/0792/5098/1063/files/c9684a0dee9fa97e8e6c03ccbe71405e116e4882e73c703dff22e1ddca95c88c.jpg?v=1785046273</t>
        </is>
      </c>
      <c r="E9" s="3" t="inlineStr">
        <is>
          <t>47531748393159</t>
        </is>
      </c>
      <c r="F9" s="3" t="inlineStr"/>
      <c r="G9" s="3" t="inlineStr">
        <is>
          <t>GALLERY</t>
        </is>
      </c>
      <c r="H9" s="3" t="inlineStr">
        <is>
          <t>DIRECT_DOWNLOADED_GALLERY_ASSET_REVIEW</t>
        </is>
      </c>
      <c r="I9" s="3" t="inlineStr">
        <is>
          <t>2026-09-08T09:37:57+07:00</t>
        </is>
      </c>
      <c r="J9" s="3" t="inlineStr">
        <is>
          <t>Pillow sham mockup showing teal winged dragon quilt with dark fantasy background and glowing lights.</t>
        </is>
      </c>
      <c r="K9" s="3" t="inlineStr">
        <is>
          <t>Pillow sham mockup showing teal winged dragon quilt with dark fantasy background and glowing lights.</t>
        </is>
      </c>
      <c r="L9" s="3" t="inlineStr">
        <is>
          <t>SET</t>
        </is>
      </c>
      <c r="M9" s="3" t="inlineStr">
        <is>
          <t>Teal winged dragon quilt set pillow sham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/>
      <c r="X9" s="3" t="inlineStr">
        <is>
          <t>D:\Shopify_Workspace\jeminise_seo\seo_runs\jeminise.com\20260906_234129\qa\20260908_015000\images\142_03.jpg; seo_runs\jeminise.com\20260906_234129\evidence\images\142_fantasy-mythical-dragon-comforter-set-with-winged-dragon-and-bedroom-setting-bcfc28e9d3-bcfc28e9d3\image_03_47531748393159.jpg; seo_runs\jeminise.com\20260906_234129\evidence\contact_sheets\142_fantasy-mythical-dragon-comforter-set-with-winged-dragon-and-bedroom-setting-bcfc28e9d3-bcfc28e9d3.jpg</t>
        </is>
      </c>
    </row>
    <row r="10" ht="66" customHeight="1">
      <c r="A10" s="2" t="inlineStr">
        <is>
          <t>jeminise.com+fantasy-mythical-dragon-comforter-set-with-winged-dragon-and-bedroom-setting-bcfc28e9d3-bcfc28e9d3</t>
        </is>
      </c>
      <c r="B10" s="2" t="inlineStr">
        <is>
          <t>img_03224006e18aa35b</t>
        </is>
      </c>
      <c r="C10" s="4" t="inlineStr">
        <is>
          <t>https://cdn.shopify.com/s/files/1/0792/5098/1063/files/707cd06e0b165da8d2e4821aef36d30ebc3f9b5fc6a484d9f07c0aff99c3dbbd.jpg?v=1785046273</t>
        </is>
      </c>
      <c r="D10" s="4" t="inlineStr">
        <is>
          <t>https://cdn.shopify.com/s/files/1/0792/5098/1063/files/707cd06e0b165da8d2e4821aef36d30ebc3f9b5fc6a484d9f07c0aff99c3dbbd.jpg?v=1785046273</t>
        </is>
      </c>
      <c r="E10" s="2" t="inlineStr">
        <is>
          <t>47531748425927</t>
        </is>
      </c>
      <c r="F10" s="2" t="inlineStr"/>
      <c r="G10" s="2" t="inlineStr">
        <is>
          <t>GALLERY</t>
        </is>
      </c>
      <c r="H10" s="2" t="inlineStr">
        <is>
          <t>DIRECT_DOWNLOADED_GALLERY_ASSET_REVIEW</t>
        </is>
      </c>
      <c r="I10" s="2" t="inlineStr">
        <is>
          <t>2026-09-08T09:37:57+07:00</t>
        </is>
      </c>
      <c r="J10" s="2" t="inlineStr">
        <is>
          <t>Room mockup of teal winged dragon quilt with dark fantasy background and glowing lights on a modern bed.</t>
        </is>
      </c>
      <c r="K10" s="2" t="inlineStr">
        <is>
          <t>Room mockup of teal winged dragon quilt with dark fantasy background and glowing lights on a modern bed.</t>
        </is>
      </c>
      <c r="L10" s="2" t="inlineStr">
        <is>
          <t>SET</t>
        </is>
      </c>
      <c r="M10" s="2" t="inlineStr">
        <is>
          <t>Teal winged dragon quilt set bedding set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/>
      <c r="X10" s="2" t="inlineStr">
        <is>
          <t>D:\Shopify_Workspace\jeminise_seo\seo_runs\jeminise.com\20260906_234129\qa\20260908_015000\images\142_04.jpg; seo_runs\jeminise.com\20260906_234129\evidence\images\142_fantasy-mythical-dragon-comforter-set-with-winged-dragon-and-bedroom-setting-bcfc28e9d3-bcfc28e9d3\image_04_47531748425927.jpg; seo_runs\jeminise.com\20260906_234129\evidence\contact_sheets\142_fantasy-mythical-dragon-comforter-set-with-winged-dragon-and-bedroom-setting-bcfc28e9d3-bcfc28e9d3.jpg</t>
        </is>
      </c>
    </row>
    <row r="11" ht="66" customHeight="1">
      <c r="A11" s="3" t="inlineStr">
        <is>
          <t>jeminise.com+fantasy-mythical-dragon-comforter-set-with-winged-dragon-and-bedroom-setting-bcfc28e9d3-bcfc28e9d3</t>
        </is>
      </c>
      <c r="B11" s="3" t="inlineStr">
        <is>
          <t>img_5f3e9369fff40eaf</t>
        </is>
      </c>
      <c r="C11" s="4" t="inlineStr">
        <is>
          <t>https://cdn.shopify.com/s/files/1/0792/5098/1063/files/89e1d45303a5c6161ad8d3ef6a05bdf3f647c4a7f35aa2be9df22b354c1dea8d.jpg?v=1785046273</t>
        </is>
      </c>
      <c r="D11" s="4" t="inlineStr">
        <is>
          <t>https://cdn.shopify.com/s/files/1/0792/5098/1063/files/89e1d45303a5c6161ad8d3ef6a05bdf3f647c4a7f35aa2be9df22b354c1dea8d.jpg?v=1785046273</t>
        </is>
      </c>
      <c r="E11" s="3" t="inlineStr">
        <is>
          <t>47531748458695</t>
        </is>
      </c>
      <c r="F11" s="3" t="inlineStr"/>
      <c r="G11" s="3" t="inlineStr">
        <is>
          <t>GALLERY</t>
        </is>
      </c>
      <c r="H11" s="3" t="inlineStr">
        <is>
          <t>DIRECT_DOWNLOADED_GALLERY_ASSET_REVIEW</t>
        </is>
      </c>
      <c r="I11" s="3" t="inlineStr">
        <is>
          <t>2026-09-08T09:37:57+07:00</t>
        </is>
      </c>
      <c r="J11" s="3" t="inlineStr">
        <is>
          <t>Three-piece bedding set panel listing one premium quilt and two optional standard shams.</t>
        </is>
      </c>
      <c r="K11" s="3" t="inlineStr">
        <is>
          <t>Three-piece bedding set panel listing one premium quilt and two optional standard shams.</t>
        </is>
      </c>
      <c r="L11" s="3" t="inlineStr">
        <is>
          <t>SET</t>
        </is>
      </c>
      <c r="M11" s="3" t="inlineStr">
        <is>
          <t>Three piece quilt set information panel for teal winged mythical dragon quilt set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/>
      <c r="X11" s="3" t="inlineStr">
        <is>
          <t>D:\Shopify_Workspace\jeminise_seo\seo_runs\jeminise.com\20260906_234129\qa\20260908_015000\images\142_05.jpg; seo_runs\jeminise.com\20260906_234129\evidence\images\142_fantasy-mythical-dragon-comforter-set-with-winged-dragon-and-bedroom-setting-bcfc28e9d3-bcfc28e9d3\image_05_47531748458695.jpg; seo_runs\jeminise.com\20260906_234129\evidence\contact_sheets\142_fantasy-mythical-dragon-comforter-set-with-winged-dragon-and-bedroom-setting-bcfc28e9d3-bcfc28e9d3.jpg</t>
        </is>
      </c>
    </row>
    <row r="12" ht="66" customHeight="1">
      <c r="A12" s="2" t="inlineStr">
        <is>
          <t>jeminise.com+fantasy-nature-tree-of-life-quilt-set-with-entwined-golden-roots-and-bedroom-setting-9ad124a9ad-9ad124a9ad</t>
        </is>
      </c>
      <c r="B12" s="2" t="inlineStr">
        <is>
          <t>img_55f8cb10f6b0f890</t>
        </is>
      </c>
      <c r="C12" s="4" t="inlineStr">
        <is>
          <t>https://cdn.shopify.com/s/files/1/0792/5098/1063/files/e66d4264844973bf2fc3c9d45eddb2de13062133a35eb290dd2e57828457ae96.jpg?v=1785047641</t>
        </is>
      </c>
      <c r="D12" s="4" t="inlineStr">
        <is>
          <t>https://cdn.shopify.com/s/files/1/0792/5098/1063/files/e66d4264844973bf2fc3c9d45eddb2de13062133a35eb290dd2e57828457ae96.jpg?v=1785047641</t>
        </is>
      </c>
      <c r="E12" s="2" t="inlineStr">
        <is>
          <t>47532036194503</t>
        </is>
      </c>
      <c r="F12" s="2" t="inlineStr"/>
      <c r="G12" s="2" t="inlineStr">
        <is>
          <t>GALLERY</t>
        </is>
      </c>
      <c r="H12" s="2" t="inlineStr">
        <is>
          <t>DIRECT_DOWNLOADED_GALLERY_ASSET_REVIEW</t>
        </is>
      </c>
      <c r="I12" s="2" t="inlineStr">
        <is>
          <t>2026-09-08T09:37:57+07:00</t>
        </is>
      </c>
      <c r="J12" s="2" t="inlineStr">
        <is>
          <t>Bedroom mockup of golden roots Tree of Life quilt with teal leaf glow and ornate border with matching shams.</t>
        </is>
      </c>
      <c r="K12" s="2" t="inlineStr">
        <is>
          <t>Bedroom mockup of golden roots Tree of Life quilt with teal leaf glow and ornate border with matching shams.</t>
        </is>
      </c>
      <c r="L12" s="2" t="inlineStr">
        <is>
          <t>SET</t>
        </is>
      </c>
      <c r="M12" s="2" t="inlineStr">
        <is>
          <t>Golden roots Tree of Life quilt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/>
      <c r="X12" s="2" t="inlineStr">
        <is>
          <t>D:\Shopify_Workspace\jeminise_seo\seo_runs\jeminise.com\20260906_234129\qa\20260908_015000\images\143_01.jpg; seo_runs\jeminise.com\20260906_234129\evidence\images\143_fantasy-nature-tree-of-life-quilt-set-with-entwined-golden-roots-and-bedroom-setting-9ad124a9ad-9ad124a9ad\image_01_47532036194503.jpg; seo_runs\jeminise.com\20260906_234129\evidence\contact_sheets\143_fantasy-nature-tree-of-life-quilt-set-with-entwined-golden-roots-and-bedroom-setting-9ad124a9ad-9ad124a9ad.jpg</t>
        </is>
      </c>
    </row>
    <row r="13" ht="66" customHeight="1">
      <c r="A13" s="3" t="inlineStr">
        <is>
          <t>jeminise.com+fantasy-nature-tree-of-life-quilt-set-with-entwined-golden-roots-and-bedroom-setting-9ad124a9ad-9ad124a9ad</t>
        </is>
      </c>
      <c r="B13" s="3" t="inlineStr">
        <is>
          <t>img_351702461d1e55b9</t>
        </is>
      </c>
      <c r="C13" s="4" t="inlineStr">
        <is>
          <t>https://cdn.shopify.com/s/files/1/0792/5098/1063/files/66fae33da5e9f587f60cb41f931caedb4c51ead1b330fb858f8b88ea46f7e22d.jpg?v=1785047642</t>
        </is>
      </c>
      <c r="D13" s="4" t="inlineStr">
        <is>
          <t>https://cdn.shopify.com/s/files/1/0792/5098/1063/files/66fae33da5e9f587f60cb41f931caedb4c51ead1b330fb858f8b88ea46f7e22d.jpg?v=1785047642</t>
        </is>
      </c>
      <c r="E13" s="3" t="inlineStr">
        <is>
          <t>47532036227271</t>
        </is>
      </c>
      <c r="F13" s="3" t="inlineStr"/>
      <c r="G13" s="3" t="inlineStr">
        <is>
          <t>GALLERY</t>
        </is>
      </c>
      <c r="H13" s="3" t="inlineStr">
        <is>
          <t>DIRECT_DOWNLOADED_GALLERY_ASSET_REVIEW</t>
        </is>
      </c>
      <c r="I13" s="3" t="inlineStr">
        <is>
          <t>2026-09-08T09:37:57+07:00</t>
        </is>
      </c>
      <c r="J13" s="3" t="inlineStr">
        <is>
          <t>Room mockup of golden roots Tree of Life quilt with teal leaf glow and ornate border with premium printed craft callout and fabric inset.</t>
        </is>
      </c>
      <c r="K13" s="3" t="inlineStr">
        <is>
          <t>Room mockup of golden roots Tree of Life quilt with teal leaf glow and ornate border with premium printed craft callout and fabric inset.</t>
        </is>
      </c>
      <c r="L13" s="3" t="inlineStr">
        <is>
          <t>SET</t>
        </is>
      </c>
      <c r="M13" s="3" t="inlineStr">
        <is>
          <t>Golden roots Tree of Life quilt room mockup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/>
      <c r="X13" s="3" t="inlineStr">
        <is>
          <t>D:\Shopify_Workspace\jeminise_seo\seo_runs\jeminise.com\20260906_234129\qa\20260908_015000\images\143_02.jpg; seo_runs\jeminise.com\20260906_234129\evidence\images\143_fantasy-nature-tree-of-life-quilt-set-with-entwined-golden-roots-and-bedroom-setting-9ad124a9ad-9ad124a9ad\image_02_47532036227271.jpg; seo_runs\jeminise.com\20260906_234129\evidence\contact_sheets\143_fantasy-nature-tree-of-life-quilt-set-with-entwined-golden-roots-and-bedroom-setting-9ad124a9ad-9ad124a9ad.jpg</t>
        </is>
      </c>
    </row>
    <row r="14" ht="66" customHeight="1">
      <c r="A14" s="2" t="inlineStr">
        <is>
          <t>jeminise.com+fantasy-nature-tree-of-life-quilt-set-with-entwined-golden-roots-and-bedroom-setting-9ad124a9ad-9ad124a9ad</t>
        </is>
      </c>
      <c r="B14" s="2" t="inlineStr">
        <is>
          <t>img_354634d8fe0d5668</t>
        </is>
      </c>
      <c r="C14" s="4" t="inlineStr">
        <is>
          <t>https://cdn.shopify.com/s/files/1/0792/5098/1063/files/154e0978960240ef894684873b01b7474acc167faf78b0a25dad3220dceea9ff.jpg?v=1785047641</t>
        </is>
      </c>
      <c r="D14" s="4" t="inlineStr">
        <is>
          <t>https://cdn.shopify.com/s/files/1/0792/5098/1063/files/154e0978960240ef894684873b01b7474acc167faf78b0a25dad3220dceea9ff.jpg?v=1785047641</t>
        </is>
      </c>
      <c r="E14" s="2" t="inlineStr">
        <is>
          <t>47532036260039</t>
        </is>
      </c>
      <c r="F14" s="2" t="inlineStr"/>
      <c r="G14" s="2" t="inlineStr">
        <is>
          <t>GALLERY</t>
        </is>
      </c>
      <c r="H14" s="2" t="inlineStr">
        <is>
          <t>DIRECT_DOWNLOADED_GALLERY_ASSET_REVIEW</t>
        </is>
      </c>
      <c r="I14" s="2" t="inlineStr">
        <is>
          <t>2026-09-08T09:37:57+07:00</t>
        </is>
      </c>
      <c r="J14" s="2" t="inlineStr">
        <is>
          <t>Optional pillow shams panel showing golden roots Tree of Life quilt with teal leaf glow and ornate border.</t>
        </is>
      </c>
      <c r="K14" s="2" t="inlineStr">
        <is>
          <t>Optional pillow shams panel showing golden roots Tree of Life quilt with teal leaf glow and ornate border.</t>
        </is>
      </c>
      <c r="L14" s="2" t="inlineStr">
        <is>
          <t>SET</t>
        </is>
      </c>
      <c r="M14" s="2" t="inlineStr">
        <is>
          <t>Golden roots Tree of Life quilt pillow shams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/>
      <c r="X14" s="2" t="inlineStr">
        <is>
          <t>D:\Shopify_Workspace\jeminise_seo\seo_runs\jeminise.com\20260906_234129\qa\20260908_015000\images\143_03.jpg; seo_runs\jeminise.com\20260906_234129\evidence\images\143_fantasy-nature-tree-of-life-quilt-set-with-entwined-golden-roots-and-bedroom-setting-9ad124a9ad-9ad124a9ad\image_03_47532036260039.jpg; seo_runs\jeminise.com\20260906_234129\evidence\contact_sheets\143_fantasy-nature-tree-of-life-quilt-set-with-entwined-golden-roots-and-bedroom-setting-9ad124a9ad-9ad124a9ad.jpg</t>
        </is>
      </c>
    </row>
    <row r="15" ht="66" customHeight="1">
      <c r="A15" s="3" t="inlineStr">
        <is>
          <t>jeminise.com+fantasy-nature-tree-of-life-quilt-set-with-entwined-golden-roots-and-bedroom-setting-9ad124a9ad-9ad124a9ad</t>
        </is>
      </c>
      <c r="B15" s="3" t="inlineStr">
        <is>
          <t>img_7cabe95520d8fabd</t>
        </is>
      </c>
      <c r="C15" s="4" t="inlineStr">
        <is>
          <t>https://cdn.shopify.com/s/files/1/0792/5098/1063/files/dc2169ad0621c11be08d4052b8aa06015181b0f9bb4a084f774f76045a433ddb.jpg?v=1785047642</t>
        </is>
      </c>
      <c r="D15" s="4" t="inlineStr">
        <is>
          <t>https://cdn.shopify.com/s/files/1/0792/5098/1063/files/dc2169ad0621c11be08d4052b8aa06015181b0f9bb4a084f774f76045a433ddb.jpg?v=1785047642</t>
        </is>
      </c>
      <c r="E15" s="3" t="inlineStr">
        <is>
          <t>47532036292807</t>
        </is>
      </c>
      <c r="F15" s="3" t="inlineStr"/>
      <c r="G15" s="3" t="inlineStr">
        <is>
          <t>GALLERY</t>
        </is>
      </c>
      <c r="H15" s="3" t="inlineStr">
        <is>
          <t>DIRECT_DOWNLOADED_GALLERY_ASSET_REVIEW</t>
        </is>
      </c>
      <c r="I15" s="3" t="inlineStr">
        <is>
          <t>2026-09-08T09:37:57+07:00</t>
        </is>
      </c>
      <c r="J15" s="3" t="inlineStr">
        <is>
          <t>High-quality fabric panel showing golden roots Tree of Life quilt with teal leaf glow and ornate border with quilt detail and pillow mockup.</t>
        </is>
      </c>
      <c r="K15" s="3" t="inlineStr">
        <is>
          <t>High-quality fabric panel showing golden roots Tree of Life quilt with teal leaf glow and ornate border with quilt detail and pillow mockup.</t>
        </is>
      </c>
      <c r="L15" s="3" t="inlineStr">
        <is>
          <t>SET</t>
        </is>
      </c>
      <c r="M15" s="3" t="inlineStr">
        <is>
          <t>Golden roots Tree of Life quilt fabric detail panel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/>
      <c r="X15" s="3" t="inlineStr">
        <is>
          <t>D:\Shopify_Workspace\jeminise_seo\seo_runs\jeminise.com\20260906_234129\qa\20260908_015000\images\143_04.jpg; seo_runs\jeminise.com\20260906_234129\evidence\images\143_fantasy-nature-tree-of-life-quilt-set-with-entwined-golden-roots-and-bedroom-setting-9ad124a9ad-9ad124a9ad\image_04_47532036292807.jpg; seo_runs\jeminise.com\20260906_234129\evidence\contact_sheets\143_fantasy-nature-tree-of-life-quilt-set-with-entwined-golden-roots-and-bedroom-setting-9ad124a9ad-9ad124a9ad.jpg</t>
        </is>
      </c>
    </row>
    <row r="16" ht="66" customHeight="1">
      <c r="A16" s="2" t="inlineStr">
        <is>
          <t>jeminise.com+fantasy-nature-tree-of-life-quilt-set-with-entwined-golden-roots-and-bedroom-setting-9ad124a9ad-9ad124a9ad</t>
        </is>
      </c>
      <c r="B16" s="2" t="inlineStr">
        <is>
          <t>img_4970b3f07790d4e0</t>
        </is>
      </c>
      <c r="C16" s="4" t="inlineStr">
        <is>
          <t>https://cdn.shopify.com/s/files/1/0792/5098/1063/files/dd282aa42023e7ee29bff2dd25def8381c9a39ffc4a562db905c1ab836c0958e.jpg?v=1785047642</t>
        </is>
      </c>
      <c r="D16" s="4" t="inlineStr">
        <is>
          <t>https://cdn.shopify.com/s/files/1/0792/5098/1063/files/dd282aa42023e7ee29bff2dd25def8381c9a39ffc4a562db905c1ab836c0958e.jpg?v=1785047642</t>
        </is>
      </c>
      <c r="E16" s="2" t="inlineStr">
        <is>
          <t>47532036325575</t>
        </is>
      </c>
      <c r="F16" s="2" t="inlineStr"/>
      <c r="G16" s="2" t="inlineStr">
        <is>
          <t>GALLERY</t>
        </is>
      </c>
      <c r="H16" s="2" t="inlineStr">
        <is>
          <t>DIRECT_DOWNLOADED_GALLERY_ASSET_REVIEW</t>
        </is>
      </c>
      <c r="I16" s="2" t="inlineStr">
        <is>
          <t>2026-09-08T09:37:57+07:00</t>
        </is>
      </c>
      <c r="J16" s="2" t="inlineStr">
        <is>
          <t>Premium quilt set size chart showing available bed sizes and measurements.</t>
        </is>
      </c>
      <c r="K16" s="2" t="inlineStr">
        <is>
          <t>Premium quilt set size chart showing available bed sizes and measurements.</t>
        </is>
      </c>
      <c r="L16" s="2" t="inlineStr">
        <is>
          <t>SET</t>
        </is>
      </c>
      <c r="M16" s="2" t="inlineStr">
        <is>
          <t>Quilt set size chart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/>
      <c r="X16" s="2" t="inlineStr">
        <is>
          <t>D:\Shopify_Workspace\jeminise_seo\seo_runs\jeminise.com\20260906_234129\qa\20260908_015000\images\143_05.jpg; seo_runs\jeminise.com\20260906_234129\evidence\images\143_fantasy-nature-tree-of-life-quilt-set-with-entwined-golden-roots-and-bedroom-setting-9ad124a9ad-9ad124a9ad\image_05_47532036325575.jpg; seo_runs\jeminise.com\20260906_234129\evidence\contact_sheets\143_fantasy-nature-tree-of-life-quilt-set-with-entwined-golden-roots-and-bedroom-setting-9ad124a9ad-9ad124a9ad.jpg</t>
        </is>
      </c>
    </row>
    <row r="17" ht="66" customHeight="1">
      <c r="A17" s="3" t="inlineStr">
        <is>
          <t>jeminise.com+fantasy-nature-tree-of-life-quilt-set-with-entwined-golden-roots-and-bedroom-setting-9ad124a9ad-9ad124a9ad</t>
        </is>
      </c>
      <c r="B17" s="3" t="inlineStr">
        <is>
          <t>img_468ac0543448eb3e</t>
        </is>
      </c>
      <c r="C17" s="4" t="inlineStr">
        <is>
          <t>https://cdn.shopify.com/s/files/1/0792/5098/1063/files/cb81fbbd323502c328afba908d7ba84be8fa902b3586aba23f3ea630c44b5ece.jpg?v=1785047641</t>
        </is>
      </c>
      <c r="D17" s="4" t="inlineStr">
        <is>
          <t>https://cdn.shopify.com/s/files/1/0792/5098/1063/files/cb81fbbd323502c328afba908d7ba84be8fa902b3586aba23f3ea630c44b5ece.jpg?v=1785047641</t>
        </is>
      </c>
      <c r="E17" s="3" t="inlineStr">
        <is>
          <t>47532036358343</t>
        </is>
      </c>
      <c r="F17" s="3" t="inlineStr"/>
      <c r="G17" s="3" t="inlineStr">
        <is>
          <t>GALLERY</t>
        </is>
      </c>
      <c r="H17" s="3" t="inlineStr">
        <is>
          <t>DIRECT_DOWNLOADED_GALLERY_ASSET_REVIEW</t>
        </is>
      </c>
      <c r="I17" s="3" t="inlineStr">
        <is>
          <t>2026-09-08T09:37:57+07:00</t>
        </is>
      </c>
      <c r="J17" s="3" t="inlineStr">
        <is>
          <t>Bedspread features panel showing quilt layers and anti-wrinkle, anti-static and machine-washable icons.</t>
        </is>
      </c>
      <c r="K17" s="3" t="inlineStr">
        <is>
          <t>Bedspread features panel showing quilt layers and anti-wrinkle, anti-static and machine-washable icons.</t>
        </is>
      </c>
      <c r="L17" s="3" t="inlineStr">
        <is>
          <t>SET</t>
        </is>
      </c>
      <c r="M17" s="3" t="inlineStr">
        <is>
          <t>Quilt construction feature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/>
      <c r="X17" s="3" t="inlineStr">
        <is>
          <t>D:\Shopify_Workspace\jeminise_seo\seo_runs\jeminise.com\20260906_234129\qa\20260908_015000\images\143_06.jpg; seo_runs\jeminise.com\20260906_234129\evidence\images\143_fantasy-nature-tree-of-life-quilt-set-with-entwined-golden-roots-and-bedroom-setting-9ad124a9ad-9ad124a9ad\image_06_47532036358343.jpg; seo_runs\jeminise.com\20260906_234129\evidence\contact_sheets\143_fantasy-nature-tree-of-life-quilt-set-with-entwined-golden-roots-and-bedroom-setting-9ad124a9ad-9ad124a9ad.jpg</t>
        </is>
      </c>
    </row>
    <row r="18" ht="66" customHeight="1">
      <c r="A18" s="2" t="inlineStr">
        <is>
          <t>jeminise.com+fantasy-nature-tree-of-life-quilt-set-with-entwined-golden-roots-and-bedroom-setting-9ad124a9ad-9ad124a9ad</t>
        </is>
      </c>
      <c r="B18" s="2" t="inlineStr">
        <is>
          <t>img_e1f10dba2558862f</t>
        </is>
      </c>
      <c r="C18" s="4" t="inlineStr">
        <is>
          <t>https://cdn.shopify.com/s/files/1/0792/5098/1063/files/312851c507c911ddebc26229bf4ed0a8b8b7d6c725a99e10af2eee1f0cb7d759.jpg?v=1785047641</t>
        </is>
      </c>
      <c r="D18" s="4" t="inlineStr">
        <is>
          <t>https://cdn.shopify.com/s/files/1/0792/5098/1063/files/312851c507c911ddebc26229bf4ed0a8b8b7d6c725a99e10af2eee1f0cb7d759.jpg?v=1785047641</t>
        </is>
      </c>
      <c r="E18" s="2" t="inlineStr">
        <is>
          <t>47532036391111</t>
        </is>
      </c>
      <c r="F18" s="2" t="inlineStr"/>
      <c r="G18" s="2" t="inlineStr">
        <is>
          <t>GALLERY</t>
        </is>
      </c>
      <c r="H18" s="2" t="inlineStr">
        <is>
          <t>DIRECT_DOWNLOADED_GALLERY_ASSET_REVIEW</t>
        </is>
      </c>
      <c r="I18" s="2" t="inlineStr">
        <is>
          <t>2026-09-08T09:37:57+07:00</t>
        </is>
      </c>
      <c r="J18" s="2" t="inlineStr">
        <is>
          <t>Second bedroom mockup of golden roots Tree of Life quilt with teal leaf glow and ornate border with matching shams.</t>
        </is>
      </c>
      <c r="K18" s="2" t="inlineStr">
        <is>
          <t>Second bedroom mockup of golden roots Tree of Life quilt with teal leaf glow and ornate border with matching shams.</t>
        </is>
      </c>
      <c r="L18" s="2" t="inlineStr">
        <is>
          <t>SET</t>
        </is>
      </c>
      <c r="M18" s="2" t="inlineStr">
        <is>
          <t>Golden roots Tree of Life quilt bedroom mockup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/>
      <c r="X18" s="2" t="inlineStr">
        <is>
          <t>D:\Shopify_Workspace\jeminise_seo\seo_runs\jeminise.com\20260906_234129\qa\20260908_015000\images\143_07.jpg; seo_runs\jeminise.com\20260906_234129\evidence\images\143_fantasy-nature-tree-of-life-quilt-set-with-entwined-golden-roots-and-bedroom-setting-9ad124a9ad-9ad124a9ad\image_07_47532036391111.jpg; seo_runs\jeminise.com\20260906_234129\evidence\contact_sheets\143_fantasy-nature-tree-of-life-quilt-set-with-entwined-golden-roots-and-bedroom-setting-9ad124a9ad-9ad124a9ad.jpg</t>
        </is>
      </c>
    </row>
    <row r="19" ht="66" customHeight="1">
      <c r="A19" s="3" t="inlineStr">
        <is>
          <t>jeminise.com+fantasy-nature-tree-of-life-quilt-set-with-twisted-tree-trunk-and-bedroom-4dbc5a5b98-4dbc5a5b98</t>
        </is>
      </c>
      <c r="B19" s="3" t="inlineStr">
        <is>
          <t>img_045dd21f442cd73a</t>
        </is>
      </c>
      <c r="C19" s="4" t="inlineStr">
        <is>
          <t>https://cdn.shopify.com/s/files/1/0792/5098/1063/files/a65d7ac7a8f7f7e983b00e3d7f2c80dfe5c3dfba4b2c5562d979b2867a75b9a9.jpg?v=1785047723</t>
        </is>
      </c>
      <c r="D19" s="4" t="inlineStr">
        <is>
          <t>https://cdn.shopify.com/s/files/1/0792/5098/1063/files/a65d7ac7a8f7f7e983b00e3d7f2c80dfe5c3dfba4b2c5562d979b2867a75b9a9.jpg?v=1785047723</t>
        </is>
      </c>
      <c r="E19" s="3" t="inlineStr">
        <is>
          <t>47532045009095</t>
        </is>
      </c>
      <c r="F19" s="3" t="inlineStr"/>
      <c r="G19" s="3" t="inlineStr">
        <is>
          <t>GALLERY</t>
        </is>
      </c>
      <c r="H19" s="3" t="inlineStr">
        <is>
          <t>DIRECT_DOWNLOADED_GALLERY_ASSET_REVIEW</t>
        </is>
      </c>
      <c r="I19" s="3" t="inlineStr">
        <is>
          <t>2026-09-08T09:37:57+07:00</t>
        </is>
      </c>
      <c r="J19" s="3" t="inlineStr">
        <is>
          <t>Bedroom mockup of twisted Tree of Life quilt with large golden trunk, curled roots and matching shams.</t>
        </is>
      </c>
      <c r="K19" s="3" t="inlineStr">
        <is>
          <t>Bedroom mockup of twisted Tree of Life quilt with large golden trunk, curled roots and matching shams.</t>
        </is>
      </c>
      <c r="L19" s="3" t="inlineStr">
        <is>
          <t>SET</t>
        </is>
      </c>
      <c r="M19" s="3" t="inlineStr">
        <is>
          <t>Twisted Tree of Life quilt set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/>
      <c r="X19" s="3" t="inlineStr">
        <is>
          <t>D:\Shopify_Workspace\jeminise_seo\seo_runs\jeminise.com\20260906_234129\qa\20260908_015000\images\144_01.jpg; seo_runs\jeminise.com\20260906_234129\evidence\images\144_fantasy-nature-tree-of-life-quilt-set-with-twisted-tree-trunk-and-bedroom-4dbc5a5b98-4dbc5a5b98\image_01_47532045009095.jpg; seo_runs\jeminise.com\20260906_234129\evidence\contact_sheets\144_fantasy-nature-tree-of-life-quilt-set-with-twisted-tree-trunk-and-bedroom-4dbc5a5b98-4dbc5a5b98.jpg</t>
        </is>
      </c>
    </row>
    <row r="20" ht="66" customHeight="1">
      <c r="A20" s="2" t="inlineStr">
        <is>
          <t>jeminise.com+fantasy-nature-tree-of-life-quilt-set-with-twisted-tree-trunk-and-bedroom-4dbc5a5b98-4dbc5a5b98</t>
        </is>
      </c>
      <c r="B20" s="2" t="inlineStr">
        <is>
          <t>img_f88a3b5b7254f220</t>
        </is>
      </c>
      <c r="C20" s="4" t="inlineStr">
        <is>
          <t>https://cdn.shopify.com/s/files/1/0792/5098/1063/files/cf5f5801d90563e2c233c5f25963a1eeec2b670e66c4877bf0ff16f96c95b625.jpg?v=1785047723</t>
        </is>
      </c>
      <c r="D20" s="4" t="inlineStr">
        <is>
          <t>https://cdn.shopify.com/s/files/1/0792/5098/1063/files/cf5f5801d90563e2c233c5f25963a1eeec2b670e66c4877bf0ff16f96c95b625.jpg?v=1785047723</t>
        </is>
      </c>
      <c r="E20" s="2" t="inlineStr">
        <is>
          <t>47532045041863</t>
        </is>
      </c>
      <c r="F20" s="2" t="inlineStr"/>
      <c r="G20" s="2" t="inlineStr">
        <is>
          <t>GALLERY</t>
        </is>
      </c>
      <c r="H20" s="2" t="inlineStr">
        <is>
          <t>DIRECT_DOWNLOADED_GALLERY_ASSET_REVIEW</t>
        </is>
      </c>
      <c r="I20" s="2" t="inlineStr">
        <is>
          <t>2026-09-08T09:37:57+07:00</t>
        </is>
      </c>
      <c r="J20" s="2" t="inlineStr">
        <is>
          <t>Room mockup of twisted Tree of Life quilt with premium printed craft callout and fabric inset.</t>
        </is>
      </c>
      <c r="K20" s="2" t="inlineStr">
        <is>
          <t>Room mockup of twisted Tree of Life quilt with premium printed craft callout and fabric inset.</t>
        </is>
      </c>
      <c r="L20" s="2" t="inlineStr">
        <is>
          <t>SET</t>
        </is>
      </c>
      <c r="M20" s="2" t="inlineStr">
        <is>
          <t>Twisted Tree of Life quilt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/>
      <c r="X20" s="2" t="inlineStr">
        <is>
          <t>D:\Shopify_Workspace\jeminise_seo\seo_runs\jeminise.com\20260906_234129\qa\20260908_015000\images\144_02.jpg; seo_runs\jeminise.com\20260906_234129\evidence\images\144_fantasy-nature-tree-of-life-quilt-set-with-twisted-tree-trunk-and-bedroom-4dbc5a5b98-4dbc5a5b98\image_02_47532045041863.jpg; seo_runs\jeminise.com\20260906_234129\evidence\contact_sheets\144_fantasy-nature-tree-of-life-quilt-set-with-twisted-tree-trunk-and-bedroom-4dbc5a5b98-4dbc5a5b98.jpg</t>
        </is>
      </c>
    </row>
    <row r="21" ht="66" customHeight="1">
      <c r="A21" s="3" t="inlineStr">
        <is>
          <t>jeminise.com+fantasy-nature-tree-of-life-quilt-set-with-twisted-tree-trunk-and-bedroom-4dbc5a5b98-4dbc5a5b98</t>
        </is>
      </c>
      <c r="B21" s="3" t="inlineStr">
        <is>
          <t>img_4cafc3889332c57a</t>
        </is>
      </c>
      <c r="C21" s="4" t="inlineStr">
        <is>
          <t>https://cdn.shopify.com/s/files/1/0792/5098/1063/files/883a02b119af28ef08b91bee6b79a0cf17aeb400df92b0e570b3092d246f2ce3.jpg?v=1785047723</t>
        </is>
      </c>
      <c r="D21" s="4" t="inlineStr">
        <is>
          <t>https://cdn.shopify.com/s/files/1/0792/5098/1063/files/883a02b119af28ef08b91bee6b79a0cf17aeb400df92b0e570b3092d246f2ce3.jpg?v=1785047723</t>
        </is>
      </c>
      <c r="E21" s="3" t="inlineStr">
        <is>
          <t>47532045074631</t>
        </is>
      </c>
      <c r="F21" s="3" t="inlineStr"/>
      <c r="G21" s="3" t="inlineStr">
        <is>
          <t>GALLERY</t>
        </is>
      </c>
      <c r="H21" s="3" t="inlineStr">
        <is>
          <t>DIRECT_DOWNLOADED_GALLERY_ASSET_REVIEW</t>
        </is>
      </c>
      <c r="I21" s="3" t="inlineStr">
        <is>
          <t>2026-09-08T09:37:57+07:00</t>
        </is>
      </c>
      <c r="J21" s="3" t="inlineStr">
        <is>
          <t>Optional pillow shams panel showing twisted golden tree artwork.</t>
        </is>
      </c>
      <c r="K21" s="3" t="inlineStr">
        <is>
          <t>Optional pillow shams panel showing twisted golden tree artwork.</t>
        </is>
      </c>
      <c r="L21" s="3" t="inlineStr">
        <is>
          <t>SET</t>
        </is>
      </c>
      <c r="M21" s="3" t="inlineStr">
        <is>
          <t>Twisted Tree of Life pillow shams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/>
      <c r="X21" s="3" t="inlineStr">
        <is>
          <t>D:\Shopify_Workspace\jeminise_seo\seo_runs\jeminise.com\20260906_234129\qa\20260908_015000\images\144_03.jpg; seo_runs\jeminise.com\20260906_234129\evidence\images\144_fantasy-nature-tree-of-life-quilt-set-with-twisted-tree-trunk-and-bedroom-4dbc5a5b98-4dbc5a5b98\image_03_47532045074631.jpg; seo_runs\jeminise.com\20260906_234129\evidence\contact_sheets\144_fantasy-nature-tree-of-life-quilt-set-with-twisted-tree-trunk-and-bedroom-4dbc5a5b98-4dbc5a5b98.jpg</t>
        </is>
      </c>
    </row>
    <row r="22" ht="66" customHeight="1">
      <c r="A22" s="2" t="inlineStr">
        <is>
          <t>jeminise.com+fantasy-nature-tree-of-life-quilt-set-with-twisted-tree-trunk-and-bedroom-4dbc5a5b98-4dbc5a5b98</t>
        </is>
      </c>
      <c r="B22" s="2" t="inlineStr">
        <is>
          <t>img_a6bed9b8208b010c</t>
        </is>
      </c>
      <c r="C22" s="4" t="inlineStr">
        <is>
          <t>https://cdn.shopify.com/s/files/1/0792/5098/1063/files/e9a03d40e08a4d81e910a9631ec20e3ff087b7ec69c4256c8f010c8ef198e296.jpg?v=1785047723</t>
        </is>
      </c>
      <c r="D22" s="4" t="inlineStr">
        <is>
          <t>https://cdn.shopify.com/s/files/1/0792/5098/1063/files/e9a03d40e08a4d81e910a9631ec20e3ff087b7ec69c4256c8f010c8ef198e296.jpg?v=1785047723</t>
        </is>
      </c>
      <c r="E22" s="2" t="inlineStr">
        <is>
          <t>47532045107399</t>
        </is>
      </c>
      <c r="F22" s="2" t="inlineStr"/>
      <c r="G22" s="2" t="inlineStr">
        <is>
          <t>GALLERY</t>
        </is>
      </c>
      <c r="H22" s="2" t="inlineStr">
        <is>
          <t>DIRECT_DOWNLOADED_GALLERY_ASSET_REVIEW</t>
        </is>
      </c>
      <c r="I22" s="2" t="inlineStr">
        <is>
          <t>2026-09-08T09:37:57+07:00</t>
        </is>
      </c>
      <c r="J22" s="2" t="inlineStr">
        <is>
          <t>High-quality fabric panel showing twisted tree quilt detail and pillow mockup.</t>
        </is>
      </c>
      <c r="K22" s="2" t="inlineStr">
        <is>
          <t>High-quality fabric panel showing twisted tree quilt detail and pillow mockup.</t>
        </is>
      </c>
      <c r="L22" s="2" t="inlineStr">
        <is>
          <t>SET</t>
        </is>
      </c>
      <c r="M22" s="2" t="inlineStr">
        <is>
          <t>Twisted Tree of Life fabric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/>
      <c r="X22" s="2" t="inlineStr">
        <is>
          <t>D:\Shopify_Workspace\jeminise_seo\seo_runs\jeminise.com\20260906_234129\qa\20260908_015000\images\144_04.jpg; seo_runs\jeminise.com\20260906_234129\evidence\images\144_fantasy-nature-tree-of-life-quilt-set-with-twisted-tree-trunk-and-bedroom-4dbc5a5b98-4dbc5a5b98\image_04_47532045107399.jpg; seo_runs\jeminise.com\20260906_234129\evidence\contact_sheets\144_fantasy-nature-tree-of-life-quilt-set-with-twisted-tree-trunk-and-bedroom-4dbc5a5b98-4dbc5a5b98.jpg</t>
        </is>
      </c>
    </row>
    <row r="23" ht="66" customHeight="1">
      <c r="A23" s="3" t="inlineStr">
        <is>
          <t>jeminise.com+fantasy-nature-tree-of-life-quilt-set-with-twisted-tree-trunk-and-bedroom-4dbc5a5b98-4dbc5a5b98</t>
        </is>
      </c>
      <c r="B23" s="3" t="inlineStr">
        <is>
          <t>img_7d65476b44f58048</t>
        </is>
      </c>
      <c r="C23" s="4" t="inlineStr">
        <is>
          <t>https://cdn.shopify.com/s/files/1/0792/5098/1063/files/ecff9d37367ab122b1e45c355aedb44a6a83ae1f86eb834e47dbe104afbe6f0c.jpg?v=1785047723</t>
        </is>
      </c>
      <c r="D23" s="4" t="inlineStr">
        <is>
          <t>https://cdn.shopify.com/s/files/1/0792/5098/1063/files/ecff9d37367ab122b1e45c355aedb44a6a83ae1f86eb834e47dbe104afbe6f0c.jpg?v=1785047723</t>
        </is>
      </c>
      <c r="E23" s="3" t="inlineStr">
        <is>
          <t>47532045140167</t>
        </is>
      </c>
      <c r="F23" s="3" t="inlineStr"/>
      <c r="G23" s="3" t="inlineStr">
        <is>
          <t>GALLERY</t>
        </is>
      </c>
      <c r="H23" s="3" t="inlineStr">
        <is>
          <t>DIRECT_DOWNLOADED_GALLERY_ASSET_REVIEW</t>
        </is>
      </c>
      <c r="I23" s="3" t="inlineStr">
        <is>
          <t>2026-09-08T09:37:57+07:00</t>
        </is>
      </c>
      <c r="J23" s="3" t="inlineStr">
        <is>
          <t>Premium quilt set size chart showing available bed sizes and measurements.</t>
        </is>
      </c>
      <c r="K23" s="3" t="inlineStr">
        <is>
          <t>Premium quilt set size chart showing available bed sizes and measurements.</t>
        </is>
      </c>
      <c r="L23" s="3" t="inlineStr">
        <is>
          <t>SET</t>
        </is>
      </c>
      <c r="M23" s="3" t="inlineStr">
        <is>
          <t>Quilt set size chart for twisted golden trunk Tree of Life quilt set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/>
      <c r="X23" s="3" t="inlineStr">
        <is>
          <t>D:\Shopify_Workspace\jeminise_seo\seo_runs\jeminise.com\20260906_234129\qa\20260908_015000\images\144_05.jpg; seo_runs\jeminise.com\20260906_234129\evidence\images\144_fantasy-nature-tree-of-life-quilt-set-with-twisted-tree-trunk-and-bedroom-4dbc5a5b98-4dbc5a5b98\image_05_47532045140167.jpg; seo_runs\jeminise.com\20260906_234129\evidence\contact_sheets\144_fantasy-nature-tree-of-life-quilt-set-with-twisted-tree-trunk-and-bedroom-4dbc5a5b98-4dbc5a5b98.jpg</t>
        </is>
      </c>
    </row>
    <row r="24" ht="66" customHeight="1">
      <c r="A24" s="2" t="inlineStr">
        <is>
          <t>jeminise.com+fantasy-nature-tree-of-life-quilt-set-with-twisted-tree-trunk-and-bedroom-4dbc5a5b98-4dbc5a5b98</t>
        </is>
      </c>
      <c r="B24" s="2" t="inlineStr">
        <is>
          <t>img_143803c2fe9b68c4</t>
        </is>
      </c>
      <c r="C24" s="4" t="inlineStr">
        <is>
          <t>https://cdn.shopify.com/s/files/1/0792/5098/1063/files/b704ba1ab0ecc12f7c984e77ff339054f6178a5d22213a4f66b32cb0b33179a2.jpg?v=1785047723</t>
        </is>
      </c>
      <c r="D24" s="4" t="inlineStr">
        <is>
          <t>https://cdn.shopify.com/s/files/1/0792/5098/1063/files/b704ba1ab0ecc12f7c984e77ff339054f6178a5d22213a4f66b32cb0b33179a2.jpg?v=1785047723</t>
        </is>
      </c>
      <c r="E24" s="2" t="inlineStr">
        <is>
          <t>47532045172935</t>
        </is>
      </c>
      <c r="F24" s="2" t="inlineStr"/>
      <c r="G24" s="2" t="inlineStr">
        <is>
          <t>GALLERY</t>
        </is>
      </c>
      <c r="H24" s="2" t="inlineStr">
        <is>
          <t>DIRECT_DOWNLOADED_GALLERY_ASSET_REVIEW</t>
        </is>
      </c>
      <c r="I24" s="2" t="inlineStr">
        <is>
          <t>2026-09-08T09:37:57+07:00</t>
        </is>
      </c>
      <c r="J24" s="2" t="inlineStr">
        <is>
          <t>Bedspread features panel showing quilt layers and anti-wrinkle, anti-static and machine-washable icons.</t>
        </is>
      </c>
      <c r="K24" s="2" t="inlineStr">
        <is>
          <t>Bedspread features panel showing quilt layers and anti-wrinkle, anti-static and machine-washable icons.</t>
        </is>
      </c>
      <c r="L24" s="2" t="inlineStr">
        <is>
          <t>SET</t>
        </is>
      </c>
      <c r="M24" s="2" t="inlineStr">
        <is>
          <t>Quilt construction feature panel for twisted golden trunk Tree of Life quilt set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/>
      <c r="X24" s="2" t="inlineStr">
        <is>
          <t>D:\Shopify_Workspace\jeminise_seo\seo_runs\jeminise.com\20260906_234129\qa\20260908_015000\images\144_06.jpg; seo_runs\jeminise.com\20260906_234129\evidence\images\144_fantasy-nature-tree-of-life-quilt-set-with-twisted-tree-trunk-and-bedroom-4dbc5a5b98-4dbc5a5b98\image_06_47532045172935.jpg; seo_runs\jeminise.com\20260906_234129\evidence\contact_sheets\144_fantasy-nature-tree-of-life-quilt-set-with-twisted-tree-trunk-and-bedroom-4dbc5a5b98-4dbc5a5b98.jpg</t>
        </is>
      </c>
    </row>
    <row r="25" ht="66" customHeight="1">
      <c r="A25" s="3" t="inlineStr">
        <is>
          <t>jeminise.com+fantasy-comforter-set-with-dragon-and-bedroom-and-fire-and-spikes-9008eacaf3-9008eacaf3</t>
        </is>
      </c>
      <c r="B25" s="3" t="inlineStr">
        <is>
          <t>img_72eae06a1d4289dc</t>
        </is>
      </c>
      <c r="C25" s="4" t="inlineStr">
        <is>
          <t>https://cdn.shopify.com/s/files/1/0792/5098/1063/files/16b2a7500baa52d57db1e163763d075142abbc3bb7aef362e0f069d8dbc4ff84.jpg?v=1785046479</t>
        </is>
      </c>
      <c r="D25" s="4" t="inlineStr">
        <is>
          <t>https://cdn.shopify.com/s/files/1/0792/5098/1063/files/16b2a7500baa52d57db1e163763d075142abbc3bb7aef362e0f069d8dbc4ff84.jpg?v=1785046479</t>
        </is>
      </c>
      <c r="E25" s="3" t="inlineStr">
        <is>
          <t>47531788959943</t>
        </is>
      </c>
      <c r="F25" s="3" t="inlineStr"/>
      <c r="G25" s="3" t="inlineStr">
        <is>
          <t>GALLERY</t>
        </is>
      </c>
      <c r="H25" s="3" t="inlineStr">
        <is>
          <t>DIRECT_DOWNLOADED_GALLERY_ASSET_REVIEW</t>
        </is>
      </c>
      <c r="I25" s="3" t="inlineStr">
        <is>
          <t>2026-09-08T09:37:57+07:00</t>
        </is>
      </c>
      <c r="J25" s="3" t="inlineStr">
        <is>
          <t>Bedroom mockup of green spiked fire dragon quilt with smoky yellow-orange glow with matching shams.</t>
        </is>
      </c>
      <c r="K25" s="3" t="inlineStr">
        <is>
          <t>Bedroom mockup of green spiked fire dragon quilt with smoky yellow-orange glow with matching shams.</t>
        </is>
      </c>
      <c r="L25" s="3" t="inlineStr">
        <is>
          <t>SET</t>
        </is>
      </c>
      <c r="M25" s="3" t="inlineStr">
        <is>
          <t>Green fire dragon quilt set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/>
      <c r="X25" s="3" t="inlineStr">
        <is>
          <t>D:\Shopify_Workspace\jeminise_seo\seo_runs\jeminise.com\20260906_234129\qa\20260908_015000\images\145_01.jpg; seo_runs\jeminise.com\20260906_234129\evidence\images\145_fantasy-comforter-set-with-dragon-and-bedroom-and-fire-and-spikes-9008eacaf3-9008eacaf3\image_01_47531788959943.jpg; seo_runs\jeminise.com\20260906_234129\evidence\contact_sheets\145_fantasy-comforter-set-with-dragon-and-bedroom-and-fire-and-spikes-9008eacaf3-9008eacaf3.jpg</t>
        </is>
      </c>
    </row>
    <row r="26" ht="66" customHeight="1">
      <c r="A26" s="2" t="inlineStr">
        <is>
          <t>jeminise.com+fantasy-comforter-set-with-dragon-and-bedroom-and-fire-and-spikes-9008eacaf3-9008eacaf3</t>
        </is>
      </c>
      <c r="B26" s="2" t="inlineStr">
        <is>
          <t>img_70248798a0d2507f</t>
        </is>
      </c>
      <c r="C26" s="4" t="inlineStr">
        <is>
          <t>https://cdn.shopify.com/s/files/1/0792/5098/1063/files/e9255764154fcb0567d56dff6d18338d794e38096cf4a28ff23b02b94249ff50.jpg?v=1785046479</t>
        </is>
      </c>
      <c r="D26" s="4" t="inlineStr">
        <is>
          <t>https://cdn.shopify.com/s/files/1/0792/5098/1063/files/e9255764154fcb0567d56dff6d18338d794e38096cf4a28ff23b02b94249ff50.jpg?v=1785046479</t>
        </is>
      </c>
      <c r="E26" s="2" t="inlineStr">
        <is>
          <t>47531788992711</t>
        </is>
      </c>
      <c r="F26" s="2" t="inlineStr"/>
      <c r="G26" s="2" t="inlineStr">
        <is>
          <t>GALLERY</t>
        </is>
      </c>
      <c r="H26" s="2" t="inlineStr">
        <is>
          <t>DIRECT_DOWNLOADED_GALLERY_ASSET_REVIEW</t>
        </is>
      </c>
      <c r="I26" s="2" t="inlineStr">
        <is>
          <t>2026-09-08T09:37:57+07:00</t>
        </is>
      </c>
      <c r="J26" s="2" t="inlineStr">
        <is>
          <t>Close-up view of green spiked fire dragon quilt with smoky yellow-orange glow showing quilt stitching texture.</t>
        </is>
      </c>
      <c r="K26" s="2" t="inlineStr">
        <is>
          <t>Close-up view of green spiked fire dragon quilt with smoky yellow-orange glow showing quilt stitching texture.</t>
        </is>
      </c>
      <c r="L26" s="2" t="inlineStr">
        <is>
          <t>SET</t>
        </is>
      </c>
      <c r="M26" s="2" t="inlineStr">
        <is>
          <t>Green fire dragon quilt set close-up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/>
      <c r="X26" s="2" t="inlineStr">
        <is>
          <t>D:\Shopify_Workspace\jeminise_seo\seo_runs\jeminise.com\20260906_234129\qa\20260908_015000\images\145_02.jpg; seo_runs\jeminise.com\20260906_234129\evidence\images\145_fantasy-comforter-set-with-dragon-and-bedroom-and-fire-and-spikes-9008eacaf3-9008eacaf3\image_02_47531788992711.jpg; seo_runs\jeminise.com\20260906_234129\evidence\contact_sheets\145_fantasy-comforter-set-with-dragon-and-bedroom-and-fire-and-spikes-9008eacaf3-9008eacaf3.jpg</t>
        </is>
      </c>
    </row>
    <row r="27" ht="66" customHeight="1">
      <c r="A27" s="3" t="inlineStr">
        <is>
          <t>jeminise.com+fantasy-comforter-set-with-dragon-and-bedroom-and-fire-and-spikes-9008eacaf3-9008eacaf3</t>
        </is>
      </c>
      <c r="B27" s="3" t="inlineStr">
        <is>
          <t>img_616212c4c55eaf9a</t>
        </is>
      </c>
      <c r="C27" s="4" t="inlineStr">
        <is>
          <t>https://cdn.shopify.com/s/files/1/0792/5098/1063/files/4e8c5912b8e924d5221f376453a040ea3284bd5fa7524596fa0a04390c0ace96.jpg?v=1785046479</t>
        </is>
      </c>
      <c r="D27" s="4" t="inlineStr">
        <is>
          <t>https://cdn.shopify.com/s/files/1/0792/5098/1063/files/4e8c5912b8e924d5221f376453a040ea3284bd5fa7524596fa0a04390c0ace96.jpg?v=1785046479</t>
        </is>
      </c>
      <c r="E27" s="3" t="inlineStr">
        <is>
          <t>47531789025479</t>
        </is>
      </c>
      <c r="F27" s="3" t="inlineStr"/>
      <c r="G27" s="3" t="inlineStr">
        <is>
          <t>GALLERY</t>
        </is>
      </c>
      <c r="H27" s="3" t="inlineStr">
        <is>
          <t>DIRECT_DOWNLOADED_GALLERY_ASSET_REVIEW</t>
        </is>
      </c>
      <c r="I27" s="3" t="inlineStr">
        <is>
          <t>2026-09-08T09:37:57+07:00</t>
        </is>
      </c>
      <c r="J27" s="3" t="inlineStr">
        <is>
          <t>Pillow sham mockup showing green spiked fire dragon quilt with smoky yellow-orange glow.</t>
        </is>
      </c>
      <c r="K27" s="3" t="inlineStr">
        <is>
          <t>Pillow sham mockup showing green spiked fire dragon quilt with smoky yellow-orange glow.</t>
        </is>
      </c>
      <c r="L27" s="3" t="inlineStr">
        <is>
          <t>SET</t>
        </is>
      </c>
      <c r="M27" s="3" t="inlineStr">
        <is>
          <t>Green fire dragon quilt set pillow sham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/>
      <c r="X27" s="3" t="inlineStr">
        <is>
          <t>D:\Shopify_Workspace\jeminise_seo\seo_runs\jeminise.com\20260906_234129\qa\20260908_015000\images\145_03.jpg; seo_runs\jeminise.com\20260906_234129\evidence\images\145_fantasy-comforter-set-with-dragon-and-bedroom-and-fire-and-spikes-9008eacaf3-9008eacaf3\image_03_47531789025479.jpg; seo_runs\jeminise.com\20260906_234129\evidence\contact_sheets\145_fantasy-comforter-set-with-dragon-and-bedroom-and-fire-and-spikes-9008eacaf3-9008eacaf3.jpg</t>
        </is>
      </c>
    </row>
    <row r="28" ht="66" customHeight="1">
      <c r="A28" s="2" t="inlineStr">
        <is>
          <t>jeminise.com+fantasy-comforter-set-with-dragon-and-bedroom-and-fire-and-spikes-9008eacaf3-9008eacaf3</t>
        </is>
      </c>
      <c r="B28" s="2" t="inlineStr">
        <is>
          <t>img_7c7778164c4686e1</t>
        </is>
      </c>
      <c r="C28" s="4" t="inlineStr">
        <is>
          <t>https://cdn.shopify.com/s/files/1/0792/5098/1063/files/3d1e34d78c30e8f2974ee01ce23c9ec90898bc07630a4ad3c07f2b8b40ac92ea.jpg?v=1785046479</t>
        </is>
      </c>
      <c r="D28" s="4" t="inlineStr">
        <is>
          <t>https://cdn.shopify.com/s/files/1/0792/5098/1063/files/3d1e34d78c30e8f2974ee01ce23c9ec90898bc07630a4ad3c07f2b8b40ac92ea.jpg?v=1785046479</t>
        </is>
      </c>
      <c r="E28" s="2" t="inlineStr">
        <is>
          <t>47531789058247</t>
        </is>
      </c>
      <c r="F28" s="2" t="inlineStr"/>
      <c r="G28" s="2" t="inlineStr">
        <is>
          <t>GALLERY</t>
        </is>
      </c>
      <c r="H28" s="2" t="inlineStr">
        <is>
          <t>DIRECT_DOWNLOADED_GALLERY_ASSET_REVIEW</t>
        </is>
      </c>
      <c r="I28" s="2" t="inlineStr">
        <is>
          <t>2026-09-08T09:37:57+07:00</t>
        </is>
      </c>
      <c r="J28" s="2" t="inlineStr">
        <is>
          <t>Room mockup of green spiked fire dragon quilt with smoky yellow-orange glow on a modern bed.</t>
        </is>
      </c>
      <c r="K28" s="2" t="inlineStr">
        <is>
          <t>Room mockup of green spiked fire dragon quilt with smoky yellow-orange glow on a modern bed.</t>
        </is>
      </c>
      <c r="L28" s="2" t="inlineStr">
        <is>
          <t>SET</t>
        </is>
      </c>
      <c r="M28" s="2" t="inlineStr">
        <is>
          <t>Green fire dragon quilt set bedding set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/>
      <c r="X28" s="2" t="inlineStr">
        <is>
          <t>D:\Shopify_Workspace\jeminise_seo\seo_runs\jeminise.com\20260906_234129\qa\20260908_015000\images\145_04.jpg; seo_runs\jeminise.com\20260906_234129\evidence\images\145_fantasy-comforter-set-with-dragon-and-bedroom-and-fire-and-spikes-9008eacaf3-9008eacaf3\image_04_47531789058247.jpg; seo_runs\jeminise.com\20260906_234129\evidence\contact_sheets\145_fantasy-comforter-set-with-dragon-and-bedroom-and-fire-and-spikes-9008eacaf3-9008eacaf3.jpg</t>
        </is>
      </c>
    </row>
    <row r="29" ht="66" customHeight="1">
      <c r="A29" s="3" t="inlineStr">
        <is>
          <t>jeminise.com+fantasy-comforter-set-with-dragon-and-bedroom-and-fire-and-spikes-9008eacaf3-9008eacaf3</t>
        </is>
      </c>
      <c r="B29" s="3" t="inlineStr">
        <is>
          <t>img_736ffedaaad52c2e</t>
        </is>
      </c>
      <c r="C29" s="4" t="inlineStr">
        <is>
          <t>https://cdn.shopify.com/s/files/1/0792/5098/1063/files/f0f2f59b12cc5de62eaf91437973093374838d324dd5ba94b033d2cdbdec7a91.jpg?v=1785046479</t>
        </is>
      </c>
      <c r="D29" s="4" t="inlineStr">
        <is>
          <t>https://cdn.shopify.com/s/files/1/0792/5098/1063/files/f0f2f59b12cc5de62eaf91437973093374838d324dd5ba94b033d2cdbdec7a91.jpg?v=1785046479</t>
        </is>
      </c>
      <c r="E29" s="3" t="inlineStr">
        <is>
          <t>47531789091015</t>
        </is>
      </c>
      <c r="F29" s="3" t="inlineStr"/>
      <c r="G29" s="3" t="inlineStr">
        <is>
          <t>GALLERY</t>
        </is>
      </c>
      <c r="H29" s="3" t="inlineStr">
        <is>
          <t>DIRECT_DOWNLOADED_GALLERY_ASSET_REVIEW</t>
        </is>
      </c>
      <c r="I29" s="3" t="inlineStr">
        <is>
          <t>2026-09-08T09:37:57+07:00</t>
        </is>
      </c>
      <c r="J29" s="3" t="inlineStr">
        <is>
          <t>Three-piece bedding set panel listing one premium quilt and two optional standard shams.</t>
        </is>
      </c>
      <c r="K29" s="3" t="inlineStr">
        <is>
          <t>Three-piece bedding set panel listing one premium quilt and two optional standard shams.</t>
        </is>
      </c>
      <c r="L29" s="3" t="inlineStr">
        <is>
          <t>SET</t>
        </is>
      </c>
      <c r="M29" s="3" t="inlineStr">
        <is>
          <t>Three piece quilt set information panel for green spiked fire dragon quilt set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/>
      <c r="X29" s="3" t="inlineStr">
        <is>
          <t>D:\Shopify_Workspace\jeminise_seo\seo_runs\jeminise.com\20260906_234129\qa\20260908_015000\images\145_05.jpg; seo_runs\jeminise.com\20260906_234129\evidence\images\145_fantasy-comforter-set-with-dragon-and-bedroom-and-fire-and-spikes-9008eacaf3-9008eacaf3\image_05_47531789091015.jpg; seo_runs\jeminise.com\20260906_234129\evidence\contact_sheets\145_fantasy-comforter-set-with-dragon-and-bedroom-and-fire-and-spikes-9008eacaf3-9008eacaf3.jpg</t>
        </is>
      </c>
    </row>
    <row r="30" ht="66" customHeight="1">
      <c r="A30" s="2" t="inlineStr">
        <is>
          <t>jeminise.com+fantasy-winged-dragon-comforter-set-with-starry-nebula-pattern-and-bedroom-setting-d228ce3712-d228ce3712</t>
        </is>
      </c>
      <c r="B30" s="2" t="inlineStr">
        <is>
          <t>img_95a3931e9a1ed6c4</t>
        </is>
      </c>
      <c r="C30" s="4" t="inlineStr">
        <is>
          <t>https://cdn.shopify.com/s/files/1/0792/5098/1063/files/cdfb2abc2375160a8704f9ec9d3c4be2c8f8852d5e6f2aae6e84f0cc5f8d0810.jpg?v=1785046051</t>
        </is>
      </c>
      <c r="D30" s="4" t="inlineStr">
        <is>
          <t>https://cdn.shopify.com/s/files/1/0792/5098/1063/files/cdfb2abc2375160a8704f9ec9d3c4be2c8f8852d5e6f2aae6e84f0cc5f8d0810.jpg?v=1785046051</t>
        </is>
      </c>
      <c r="E30" s="2" t="inlineStr">
        <is>
          <t>47531704254663</t>
        </is>
      </c>
      <c r="F30" s="2" t="inlineStr"/>
      <c r="G30" s="2" t="inlineStr">
        <is>
          <t>GALLERY</t>
        </is>
      </c>
      <c r="H30" s="2" t="inlineStr">
        <is>
          <t>DIRECT_DOWNLOADED_GALLERY_ASSET_REVIEW</t>
        </is>
      </c>
      <c r="I30" s="2" t="inlineStr">
        <is>
          <t>2026-09-08T09:37:57+07:00</t>
        </is>
      </c>
      <c r="J30" s="2" t="inlineStr">
        <is>
          <t>Bedroom mockup of purple-blue winged dragon quilt with starry nebula background with matching shams.</t>
        </is>
      </c>
      <c r="K30" s="2" t="inlineStr">
        <is>
          <t>Bedroom mockup of purple-blue winged dragon quilt with starry nebula background with matching shams.</t>
        </is>
      </c>
      <c r="L30" s="2" t="inlineStr">
        <is>
          <t>SET</t>
        </is>
      </c>
      <c r="M30" s="2" t="inlineStr">
        <is>
          <t>Purple nebula dragon quilt set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/>
      <c r="X30" s="2" t="inlineStr">
        <is>
          <t>D:\Shopify_Workspace\jeminise_seo\seo_runs\jeminise.com\20260906_234129\qa\20260908_015000\images\146_01.jpg; seo_runs\jeminise.com\20260906_234129\evidence\images\146_fantasy-winged-dragon-comforter-set-with-starry-nebula-pattern-and-bedroom-setting-d228ce3712-d228ce3712\image_01_47531704254663.jpg; seo_runs\jeminise.com\20260906_234129\evidence\contact_sheets\146_fantasy-winged-dragon-comforter-set-with-starry-nebula-pattern-and-bedroom-setting-d228ce3712-d228ce3712.jpg</t>
        </is>
      </c>
    </row>
    <row r="31" ht="66" customHeight="1">
      <c r="A31" s="3" t="inlineStr">
        <is>
          <t>jeminise.com+fantasy-winged-dragon-comforter-set-with-starry-nebula-pattern-and-bedroom-setting-d228ce3712-d228ce3712</t>
        </is>
      </c>
      <c r="B31" s="3" t="inlineStr">
        <is>
          <t>img_aedf43904e33d0d6</t>
        </is>
      </c>
      <c r="C31" s="4" t="inlineStr">
        <is>
          <t>https://cdn.shopify.com/s/files/1/0792/5098/1063/files/c93b613bae089349cdfd5f4279212ff60b684d3c3e45df979e8286a86fd8fe65.jpg?v=1785046051</t>
        </is>
      </c>
      <c r="D31" s="4" t="inlineStr">
        <is>
          <t>https://cdn.shopify.com/s/files/1/0792/5098/1063/files/c93b613bae089349cdfd5f4279212ff60b684d3c3e45df979e8286a86fd8fe65.jpg?v=1785046051</t>
        </is>
      </c>
      <c r="E31" s="3" t="inlineStr">
        <is>
          <t>47531704287431</t>
        </is>
      </c>
      <c r="F31" s="3" t="inlineStr"/>
      <c r="G31" s="3" t="inlineStr">
        <is>
          <t>GALLERY</t>
        </is>
      </c>
      <c r="H31" s="3" t="inlineStr">
        <is>
          <t>DIRECT_DOWNLOADED_GALLERY_ASSET_REVIEW</t>
        </is>
      </c>
      <c r="I31" s="3" t="inlineStr">
        <is>
          <t>2026-09-08T09:37:57+07:00</t>
        </is>
      </c>
      <c r="J31" s="3" t="inlineStr">
        <is>
          <t>Close-up view of purple-blue winged dragon quilt with starry nebula background showing quilt stitching texture.</t>
        </is>
      </c>
      <c r="K31" s="3" t="inlineStr">
        <is>
          <t>Close-up view of purple-blue winged dragon quilt with starry nebula background showing quilt stitching texture.</t>
        </is>
      </c>
      <c r="L31" s="3" t="inlineStr">
        <is>
          <t>SET</t>
        </is>
      </c>
      <c r="M31" s="3" t="inlineStr">
        <is>
          <t>Purple nebula dragon quilt set close-up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/>
      <c r="X31" s="3" t="inlineStr">
        <is>
          <t>D:\Shopify_Workspace\jeminise_seo\seo_runs\jeminise.com\20260906_234129\qa\20260908_015000\images\146_02.jpg; seo_runs\jeminise.com\20260906_234129\evidence\images\146_fantasy-winged-dragon-comforter-set-with-starry-nebula-pattern-and-bedroom-setting-d228ce3712-d228ce3712\image_02_47531704287431.jpg; seo_runs\jeminise.com\20260906_234129\evidence\contact_sheets\146_fantasy-winged-dragon-comforter-set-with-starry-nebula-pattern-and-bedroom-setting-d228ce3712-d228ce3712.jpg</t>
        </is>
      </c>
    </row>
    <row r="32" ht="66" customHeight="1">
      <c r="A32" s="2" t="inlineStr">
        <is>
          <t>jeminise.com+fantasy-winged-dragon-comforter-set-with-starry-nebula-pattern-and-bedroom-setting-d228ce3712-d228ce3712</t>
        </is>
      </c>
      <c r="B32" s="2" t="inlineStr">
        <is>
          <t>img_84cf4cd61c0af290</t>
        </is>
      </c>
      <c r="C32" s="4" t="inlineStr">
        <is>
          <t>https://cdn.shopify.com/s/files/1/0792/5098/1063/files/86eced4e4bf6e63735f4f2c66481275b7882f4bc066ceec8d9502d708a5d984c.jpg?v=1785046051</t>
        </is>
      </c>
      <c r="D32" s="4" t="inlineStr">
        <is>
          <t>https://cdn.shopify.com/s/files/1/0792/5098/1063/files/86eced4e4bf6e63735f4f2c66481275b7882f4bc066ceec8d9502d708a5d984c.jpg?v=1785046051</t>
        </is>
      </c>
      <c r="E32" s="2" t="inlineStr">
        <is>
          <t>47531704320199</t>
        </is>
      </c>
      <c r="F32" s="2" t="inlineStr"/>
      <c r="G32" s="2" t="inlineStr">
        <is>
          <t>GALLERY</t>
        </is>
      </c>
      <c r="H32" s="2" t="inlineStr">
        <is>
          <t>DIRECT_DOWNLOADED_GALLERY_ASSET_REVIEW</t>
        </is>
      </c>
      <c r="I32" s="2" t="inlineStr">
        <is>
          <t>2026-09-08T09:37:57+07:00</t>
        </is>
      </c>
      <c r="J32" s="2" t="inlineStr">
        <is>
          <t>Pillow sham mockup showing purple-blue winged dragon quilt with starry nebula background.</t>
        </is>
      </c>
      <c r="K32" s="2" t="inlineStr">
        <is>
          <t>Pillow sham mockup showing purple-blue winged dragon quilt with starry nebula background.</t>
        </is>
      </c>
      <c r="L32" s="2" t="inlineStr">
        <is>
          <t>SET</t>
        </is>
      </c>
      <c r="M32" s="2" t="inlineStr">
        <is>
          <t>Purple nebula dragon quilt set pillow sham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/>
      <c r="X32" s="2" t="inlineStr">
        <is>
          <t>D:\Shopify_Workspace\jeminise_seo\seo_runs\jeminise.com\20260906_234129\qa\20260908_015000\images\146_03.jpg; seo_runs\jeminise.com\20260906_234129\evidence\images\146_fantasy-winged-dragon-comforter-set-with-starry-nebula-pattern-and-bedroom-setting-d228ce3712-d228ce3712\image_03_47531704320199.jpg; seo_runs\jeminise.com\20260906_234129\evidence\contact_sheets\146_fantasy-winged-dragon-comforter-set-with-starry-nebula-pattern-and-bedroom-setting-d228ce3712-d228ce3712.jpg</t>
        </is>
      </c>
    </row>
    <row r="33" ht="66" customHeight="1">
      <c r="A33" s="3" t="inlineStr">
        <is>
          <t>jeminise.com+fantasy-winged-dragon-comforter-set-with-starry-nebula-pattern-and-bedroom-setting-d228ce3712-d228ce3712</t>
        </is>
      </c>
      <c r="B33" s="3" t="inlineStr">
        <is>
          <t>img_14b243696579fb6a</t>
        </is>
      </c>
      <c r="C33" s="4" t="inlineStr">
        <is>
          <t>https://cdn.shopify.com/s/files/1/0792/5098/1063/files/010fc93066b878fd361c7354db22404ffa1c52e92a983073c965b52097e7da0f.jpg?v=1785046051</t>
        </is>
      </c>
      <c r="D33" s="4" t="inlineStr">
        <is>
          <t>https://cdn.shopify.com/s/files/1/0792/5098/1063/files/010fc93066b878fd361c7354db22404ffa1c52e92a983073c965b52097e7da0f.jpg?v=1785046051</t>
        </is>
      </c>
      <c r="E33" s="3" t="inlineStr">
        <is>
          <t>47531704352967</t>
        </is>
      </c>
      <c r="F33" s="3" t="inlineStr"/>
      <c r="G33" s="3" t="inlineStr">
        <is>
          <t>GALLERY</t>
        </is>
      </c>
      <c r="H33" s="3" t="inlineStr">
        <is>
          <t>DIRECT_DOWNLOADED_GALLERY_ASSET_REVIEW</t>
        </is>
      </c>
      <c r="I33" s="3" t="inlineStr">
        <is>
          <t>2026-09-08T09:37:57+07:00</t>
        </is>
      </c>
      <c r="J33" s="3" t="inlineStr">
        <is>
          <t>Room mockup of purple-blue winged dragon quilt with starry nebula background on a modern bed.</t>
        </is>
      </c>
      <c r="K33" s="3" t="inlineStr">
        <is>
          <t>Room mockup of purple-blue winged dragon quilt with starry nebula background on a modern bed.</t>
        </is>
      </c>
      <c r="L33" s="3" t="inlineStr">
        <is>
          <t>SET</t>
        </is>
      </c>
      <c r="M33" s="3" t="inlineStr">
        <is>
          <t>Purple nebula dragon quilt set bedding set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/>
      <c r="X33" s="3" t="inlineStr">
        <is>
          <t>D:\Shopify_Workspace\jeminise_seo\seo_runs\jeminise.com\20260906_234129\qa\20260908_015000\images\146_04.jpg; seo_runs\jeminise.com\20260906_234129\evidence\images\146_fantasy-winged-dragon-comforter-set-with-starry-nebula-pattern-and-bedroom-setting-d228ce3712-d228ce3712\image_04_47531704352967.jpg; seo_runs\jeminise.com\20260906_234129\evidence\contact_sheets\146_fantasy-winged-dragon-comforter-set-with-starry-nebula-pattern-and-bedroom-setting-d228ce3712-d228ce3712.jpg</t>
        </is>
      </c>
    </row>
    <row r="34" ht="66" customHeight="1">
      <c r="A34" s="2" t="inlineStr">
        <is>
          <t>jeminise.com+fantasy-winged-dragon-comforter-set-with-starry-nebula-pattern-and-bedroom-setting-d228ce3712-d228ce3712</t>
        </is>
      </c>
      <c r="B34" s="2" t="inlineStr">
        <is>
          <t>img_91730210cf7f7027</t>
        </is>
      </c>
      <c r="C34" s="4" t="inlineStr">
        <is>
          <t>https://cdn.shopify.com/s/files/1/0792/5098/1063/files/508d643d43b166c30f43cb4155366e0bb204a450288832afb3d1ae3f465842be.jpg?v=1785046051</t>
        </is>
      </c>
      <c r="D34" s="4" t="inlineStr">
        <is>
          <t>https://cdn.shopify.com/s/files/1/0792/5098/1063/files/508d643d43b166c30f43cb4155366e0bb204a450288832afb3d1ae3f465842be.jpg?v=1785046051</t>
        </is>
      </c>
      <c r="E34" s="2" t="inlineStr">
        <is>
          <t>47531704385735</t>
        </is>
      </c>
      <c r="F34" s="2" t="inlineStr"/>
      <c r="G34" s="2" t="inlineStr">
        <is>
          <t>GALLERY</t>
        </is>
      </c>
      <c r="H34" s="2" t="inlineStr">
        <is>
          <t>DIRECT_DOWNLOADED_GALLERY_ASSET_REVIEW</t>
        </is>
      </c>
      <c r="I34" s="2" t="inlineStr">
        <is>
          <t>2026-09-08T09:37:57+07:00</t>
        </is>
      </c>
      <c r="J34" s="2" t="inlineStr">
        <is>
          <t>Three-piece bedding set panel listing one premium quilt and two optional standard shams.</t>
        </is>
      </c>
      <c r="K34" s="2" t="inlineStr">
        <is>
          <t>Three-piece bedding set panel listing one premium quilt and two optional standard shams.</t>
        </is>
      </c>
      <c r="L34" s="2" t="inlineStr">
        <is>
          <t>SET</t>
        </is>
      </c>
      <c r="M34" s="2" t="inlineStr">
        <is>
          <t>Three piece quilt set information panel for purple blue winged dragon nebula quilt set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/>
      <c r="X34" s="2" t="inlineStr">
        <is>
          <t>D:\Shopify_Workspace\jeminise_seo\seo_runs\jeminise.com\20260906_234129\qa\20260908_015000\images\146_05.jpg; seo_runs\jeminise.com\20260906_234129\evidence\images\146_fantasy-winged-dragon-comforter-set-with-starry-nebula-pattern-and-bedroom-setting-d228ce3712-d228ce3712\image_05_47531704385735.jpg; seo_runs\jeminise.com\20260906_234129\evidence\contact_sheets\146_fantasy-winged-dragon-comforter-set-with-starry-nebula-pattern-and-bedroom-setting-d228ce3712-d228ce3712.jpg</t>
        </is>
      </c>
    </row>
    <row r="35" ht="66" customHeight="1">
      <c r="A35" s="3" t="inlineStr">
        <is>
          <t>jeminise.com+fantasy-winged-dragon-comforter-set-with-volcanic-eruption-and-bedroom-258009c125-258009c125</t>
        </is>
      </c>
      <c r="B35" s="3" t="inlineStr">
        <is>
          <t>img_2c4fd3d596b372a7</t>
        </is>
      </c>
      <c r="C35" s="4" t="inlineStr">
        <is>
          <t>https://cdn.shopify.com/s/files/1/0792/5098/1063/files/94001394196306ca9b1b0d683fd420fd7088a94b484c78bd3b50c3693317b348.jpg?v=1785046158</t>
        </is>
      </c>
      <c r="D35" s="4" t="inlineStr">
        <is>
          <t>https://cdn.shopify.com/s/files/1/0792/5098/1063/files/94001394196306ca9b1b0d683fd420fd7088a94b484c78bd3b50c3693317b348.jpg?v=1785046158</t>
        </is>
      </c>
      <c r="E35" s="3" t="inlineStr">
        <is>
          <t>47531730763975</t>
        </is>
      </c>
      <c r="F35" s="3" t="inlineStr"/>
      <c r="G35" s="3" t="inlineStr">
        <is>
          <t>GALLERY</t>
        </is>
      </c>
      <c r="H35" s="3" t="inlineStr">
        <is>
          <t>DIRECT_DOWNLOADED_GALLERY_ASSET_REVIEW</t>
        </is>
      </c>
      <c r="I35" s="3" t="inlineStr">
        <is>
          <t>2026-09-08T09:37:57+07:00</t>
        </is>
      </c>
      <c r="J35" s="3" t="inlineStr">
        <is>
          <t>Bedroom mockup of red winged dragon quilt with orange volcanic eruption artwork with matching shams.</t>
        </is>
      </c>
      <c r="K35" s="3" t="inlineStr">
        <is>
          <t>Bedroom mockup of red winged dragon quilt with orange volcanic eruption artwork with matching shams.</t>
        </is>
      </c>
      <c r="L35" s="3" t="inlineStr">
        <is>
          <t>SET</t>
        </is>
      </c>
      <c r="M35" s="3" t="inlineStr">
        <is>
          <t>Volcanic winged dragon quilt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/>
      <c r="X35" s="3" t="inlineStr">
        <is>
          <t>D:\Shopify_Workspace\jeminise_seo\seo_runs\jeminise.com\20260906_234129\qa\20260908_015000\images\147_01.jpg; seo_runs\jeminise.com\20260906_234129\evidence\images\147_fantasy-winged-dragon-comforter-set-with-volcanic-eruption-and-bedroom-258009c125-258009c125\image_01_47531730763975.jpg; seo_runs\jeminise.com\20260906_234129\evidence\contact_sheets\147_fantasy-winged-dragon-comforter-set-with-volcanic-eruption-and-bedroom-258009c125-258009c125.jpg</t>
        </is>
      </c>
    </row>
    <row r="36" ht="66" customHeight="1">
      <c r="A36" s="2" t="inlineStr">
        <is>
          <t>jeminise.com+fantasy-winged-dragon-comforter-set-with-volcanic-eruption-and-bedroom-258009c125-258009c125</t>
        </is>
      </c>
      <c r="B36" s="2" t="inlineStr">
        <is>
          <t>img_7d16d29a409d90e3</t>
        </is>
      </c>
      <c r="C36" s="4" t="inlineStr">
        <is>
          <t>https://cdn.shopify.com/s/files/1/0792/5098/1063/files/889dd5e2f2383d2153d1c11615f3f8987fbeb5ee382606af2a6e829e5e6c5919.jpg?v=1785046158</t>
        </is>
      </c>
      <c r="D36" s="4" t="inlineStr">
        <is>
          <t>https://cdn.shopify.com/s/files/1/0792/5098/1063/files/889dd5e2f2383d2153d1c11615f3f8987fbeb5ee382606af2a6e829e5e6c5919.jpg?v=1785046158</t>
        </is>
      </c>
      <c r="E36" s="2" t="inlineStr">
        <is>
          <t>47531730796743</t>
        </is>
      </c>
      <c r="F36" s="2" t="inlineStr"/>
      <c r="G36" s="2" t="inlineStr">
        <is>
          <t>GALLERY</t>
        </is>
      </c>
      <c r="H36" s="2" t="inlineStr">
        <is>
          <t>DIRECT_DOWNLOADED_GALLERY_ASSET_REVIEW</t>
        </is>
      </c>
      <c r="I36" s="2" t="inlineStr">
        <is>
          <t>2026-09-08T09:37:57+07:00</t>
        </is>
      </c>
      <c r="J36" s="2" t="inlineStr">
        <is>
          <t>Close-up view of red winged dragon quilt with orange volcanic eruption artwork showing quilt stitching texture.</t>
        </is>
      </c>
      <c r="K36" s="2" t="inlineStr">
        <is>
          <t>Close-up view of red winged dragon quilt with orange volcanic eruption artwork showing quilt stitching texture.</t>
        </is>
      </c>
      <c r="L36" s="2" t="inlineStr">
        <is>
          <t>SET</t>
        </is>
      </c>
      <c r="M36" s="2" t="inlineStr">
        <is>
          <t>Volcanic winged dragon quilt close-up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/>
      <c r="X36" s="2" t="inlineStr">
        <is>
          <t>D:\Shopify_Workspace\jeminise_seo\seo_runs\jeminise.com\20260906_234129\qa\20260908_015000\images\147_02.jpg; seo_runs\jeminise.com\20260906_234129\evidence\images\147_fantasy-winged-dragon-comforter-set-with-volcanic-eruption-and-bedroom-258009c125-258009c125\image_02_47531730796743.jpg; seo_runs\jeminise.com\20260906_234129\evidence\contact_sheets\147_fantasy-winged-dragon-comforter-set-with-volcanic-eruption-and-bedroom-258009c125-258009c125.jpg</t>
        </is>
      </c>
    </row>
    <row r="37" ht="66" customHeight="1">
      <c r="A37" s="3" t="inlineStr">
        <is>
          <t>jeminise.com+fantasy-winged-dragon-comforter-set-with-volcanic-eruption-and-bedroom-258009c125-258009c125</t>
        </is>
      </c>
      <c r="B37" s="3" t="inlineStr">
        <is>
          <t>img_dd3005a4f7eb84e4</t>
        </is>
      </c>
      <c r="C37" s="4" t="inlineStr">
        <is>
          <t>https://cdn.shopify.com/s/files/1/0792/5098/1063/files/fb8b51b32f2c661aed0d41d26205998733170132be56a1b92b3e9a668c8a4dd4.jpg?v=1785046158</t>
        </is>
      </c>
      <c r="D37" s="4" t="inlineStr">
        <is>
          <t>https://cdn.shopify.com/s/files/1/0792/5098/1063/files/fb8b51b32f2c661aed0d41d26205998733170132be56a1b92b3e9a668c8a4dd4.jpg?v=1785046158</t>
        </is>
      </c>
      <c r="E37" s="3" t="inlineStr">
        <is>
          <t>47531730829511</t>
        </is>
      </c>
      <c r="F37" s="3" t="inlineStr"/>
      <c r="G37" s="3" t="inlineStr">
        <is>
          <t>GALLERY</t>
        </is>
      </c>
      <c r="H37" s="3" t="inlineStr">
        <is>
          <t>DIRECT_DOWNLOADED_GALLERY_ASSET_REVIEW</t>
        </is>
      </c>
      <c r="I37" s="3" t="inlineStr">
        <is>
          <t>2026-09-08T09:37:57+07:00</t>
        </is>
      </c>
      <c r="J37" s="3" t="inlineStr">
        <is>
          <t>Pillow sham mockup showing red winged dragon quilt with orange volcanic eruption artwork.</t>
        </is>
      </c>
      <c r="K37" s="3" t="inlineStr">
        <is>
          <t>Pillow sham mockup showing red winged dragon quilt with orange volcanic eruption artwork.</t>
        </is>
      </c>
      <c r="L37" s="3" t="inlineStr">
        <is>
          <t>SET</t>
        </is>
      </c>
      <c r="M37" s="3" t="inlineStr">
        <is>
          <t>Volcanic winged dragon quilt pillow sham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/>
      <c r="X37" s="3" t="inlineStr">
        <is>
          <t>D:\Shopify_Workspace\jeminise_seo\seo_runs\jeminise.com\20260906_234129\qa\20260908_015000\images\147_03.jpg; seo_runs\jeminise.com\20260906_234129\evidence\images\147_fantasy-winged-dragon-comforter-set-with-volcanic-eruption-and-bedroom-258009c125-258009c125\image_03_47531730829511.jpg; seo_runs\jeminise.com\20260906_234129\evidence\contact_sheets\147_fantasy-winged-dragon-comforter-set-with-volcanic-eruption-and-bedroom-258009c125-258009c125.jpg</t>
        </is>
      </c>
    </row>
    <row r="38" ht="66" customHeight="1">
      <c r="A38" s="2" t="inlineStr">
        <is>
          <t>jeminise.com+fantasy-winged-dragon-comforter-set-with-volcanic-eruption-and-bedroom-258009c125-258009c125</t>
        </is>
      </c>
      <c r="B38" s="2" t="inlineStr">
        <is>
          <t>img_6931cd4282abacb4</t>
        </is>
      </c>
      <c r="C38" s="4" t="inlineStr">
        <is>
          <t>https://cdn.shopify.com/s/files/1/0792/5098/1063/files/01f734498d3b89750a943829d688abf985a64d10d034f01ce76a5b383304afd0.jpg?v=1785046159</t>
        </is>
      </c>
      <c r="D38" s="4" t="inlineStr">
        <is>
          <t>https://cdn.shopify.com/s/files/1/0792/5098/1063/files/01f734498d3b89750a943829d688abf985a64d10d034f01ce76a5b383304afd0.jpg?v=1785046159</t>
        </is>
      </c>
      <c r="E38" s="2" t="inlineStr">
        <is>
          <t>47531730862279</t>
        </is>
      </c>
      <c r="F38" s="2" t="inlineStr"/>
      <c r="G38" s="2" t="inlineStr">
        <is>
          <t>GALLERY</t>
        </is>
      </c>
      <c r="H38" s="2" t="inlineStr">
        <is>
          <t>DIRECT_DOWNLOADED_GALLERY_ASSET_REVIEW</t>
        </is>
      </c>
      <c r="I38" s="2" t="inlineStr">
        <is>
          <t>2026-09-08T09:37:57+07:00</t>
        </is>
      </c>
      <c r="J38" s="2" t="inlineStr">
        <is>
          <t>Room mockup of red winged dragon quilt with orange volcanic eruption artwork on a modern bed.</t>
        </is>
      </c>
      <c r="K38" s="2" t="inlineStr">
        <is>
          <t>Room mockup of red winged dragon quilt with orange volcanic eruption artwork on a modern bed.</t>
        </is>
      </c>
      <c r="L38" s="2" t="inlineStr">
        <is>
          <t>SET</t>
        </is>
      </c>
      <c r="M38" s="2" t="inlineStr">
        <is>
          <t>Volcanic winged dragon quilt bedding set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/>
      <c r="X38" s="2" t="inlineStr">
        <is>
          <t>D:\Shopify_Workspace\jeminise_seo\seo_runs\jeminise.com\20260906_234129\qa\20260908_015000\images\147_04.jpg; seo_runs\jeminise.com\20260906_234129\evidence\images\147_fantasy-winged-dragon-comforter-set-with-volcanic-eruption-and-bedroom-258009c125-258009c125\image_04_47531730862279.jpg; seo_runs\jeminise.com\20260906_234129\evidence\contact_sheets\147_fantasy-winged-dragon-comforter-set-with-volcanic-eruption-and-bedroom-258009c125-258009c125.jpg</t>
        </is>
      </c>
    </row>
    <row r="39" ht="66" customHeight="1">
      <c r="A39" s="3" t="inlineStr">
        <is>
          <t>jeminise.com+fantasy-winged-dragon-comforter-set-with-volcanic-eruption-and-bedroom-258009c125-258009c125</t>
        </is>
      </c>
      <c r="B39" s="3" t="inlineStr">
        <is>
          <t>img_e13b0988cd97f0ca</t>
        </is>
      </c>
      <c r="C39" s="4" t="inlineStr">
        <is>
          <t>https://cdn.shopify.com/s/files/1/0792/5098/1063/files/bb107a9fece094bd902cb6ce0621c9bdb5a066805cfa5082c4e4fd915df4c8a9.jpg?v=1785046159</t>
        </is>
      </c>
      <c r="D39" s="4" t="inlineStr">
        <is>
          <t>https://cdn.shopify.com/s/files/1/0792/5098/1063/files/bb107a9fece094bd902cb6ce0621c9bdb5a066805cfa5082c4e4fd915df4c8a9.jpg?v=1785046159</t>
        </is>
      </c>
      <c r="E39" s="3" t="inlineStr">
        <is>
          <t>47531730895047</t>
        </is>
      </c>
      <c r="F39" s="3" t="inlineStr"/>
      <c r="G39" s="3" t="inlineStr">
        <is>
          <t>GALLERY</t>
        </is>
      </c>
      <c r="H39" s="3" t="inlineStr">
        <is>
          <t>DIRECT_DOWNLOADED_GALLERY_ASSET_REVIEW</t>
        </is>
      </c>
      <c r="I39" s="3" t="inlineStr">
        <is>
          <t>2026-09-08T09:37:57+07:00</t>
        </is>
      </c>
      <c r="J39" s="3" t="inlineStr">
        <is>
          <t>Three-piece bedding set panel listing one premium quilt and two optional standard shams.</t>
        </is>
      </c>
      <c r="K39" s="3" t="inlineStr">
        <is>
          <t>Three-piece bedding set panel listing one premium quilt and two optional standard shams.</t>
        </is>
      </c>
      <c r="L39" s="3" t="inlineStr">
        <is>
          <t>SET</t>
        </is>
      </c>
      <c r="M39" s="3" t="inlineStr">
        <is>
          <t>Three piece quilt set information panel for red winged dragon volcanic eruption quilt set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/>
      <c r="X39" s="3" t="inlineStr">
        <is>
          <t>D:\Shopify_Workspace\jeminise_seo\seo_runs\jeminise.com\20260906_234129\qa\20260908_015000\images\147_05.jpg; seo_runs\jeminise.com\20260906_234129\evidence\images\147_fantasy-winged-dragon-comforter-set-with-volcanic-eruption-and-bedroom-258009c125-258009c125\image_05_47531730895047.jpg; seo_runs\jeminise.com\20260906_234129\evidence\contact_sheets\147_fantasy-winged-dragon-comforter-set-with-volcanic-eruption-and-bedroom-258009c125-258009c125.jpg</t>
        </is>
      </c>
    </row>
    <row r="40" ht="66" customHeight="1">
      <c r="A40" s="2" t="inlineStr">
        <is>
          <t>jeminise.com+floral-nature-cardinal-within-ornate-oval-frame-patchwork-winter-quilt-88ef309589-88ef309589</t>
        </is>
      </c>
      <c r="B40" s="2" t="inlineStr">
        <is>
          <t>img_061fbe6826eca312</t>
        </is>
      </c>
      <c r="C40" s="4" t="inlineStr">
        <is>
          <t>https://cdn.shopify.com/s/files/1/0792/5098/1063/files/28cdf69b4ac6725594ea1a837ebe8c207ad2e3bc3eaa00dcae9c37f372a06930.jpg?v=1785099676</t>
        </is>
      </c>
      <c r="D40" s="4" t="inlineStr">
        <is>
          <t>https://cdn.shopify.com/s/files/1/0792/5098/1063/files/28cdf69b4ac6725594ea1a837ebe8c207ad2e3bc3eaa00dcae9c37f372a06930.jpg?v=1785099676</t>
        </is>
      </c>
      <c r="E40" s="2" t="inlineStr">
        <is>
          <t>47540071530695</t>
        </is>
      </c>
      <c r="F40" s="2" t="inlineStr"/>
      <c r="G40" s="2" t="inlineStr">
        <is>
          <t>GALLERY</t>
        </is>
      </c>
      <c r="H40" s="2" t="inlineStr">
        <is>
          <t>DIRECT_DOWNLOADED_GALLERY_ASSET_REVIEW</t>
        </is>
      </c>
      <c r="I40" s="2" t="inlineStr">
        <is>
          <t>2026-09-08T09:37:57+07:00</t>
        </is>
      </c>
      <c r="J40" s="2" t="inlineStr">
        <is>
          <t>Bedroom mockup of red cardinal floral quilt with ornate oval frame and rose artwork with matching shams.</t>
        </is>
      </c>
      <c r="K40" s="2" t="inlineStr">
        <is>
          <t>Bedroom mockup of red cardinal floral quilt with ornate oval frame and rose artwork with matching shams.</t>
        </is>
      </c>
      <c r="L40" s="2" t="inlineStr">
        <is>
          <t>SET</t>
        </is>
      </c>
      <c r="M40" s="2" t="inlineStr">
        <is>
          <t>Cardinal oval floral quilt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/>
      <c r="X40" s="2" t="inlineStr">
        <is>
          <t>D:\Shopify_Workspace\jeminise_seo\seo_runs\jeminise.com\20260906_234129\qa\20260908_015000\images\148_01.jpg; seo_runs\jeminise.com\20260906_234129\evidence\images\148_floral-nature-cardinal-within-ornate-oval-frame-patchwork-winter-quilt-88ef309589-88ef309589\image_01_47540071530695.jpg; seo_runs\jeminise.com\20260906_234129\evidence\contact_sheets\148_floral-nature-cardinal-within-ornate-oval-frame-patchwork-winter-quilt-88ef309589-88ef309589.jpg</t>
        </is>
      </c>
    </row>
    <row r="41" ht="66" customHeight="1">
      <c r="A41" s="3" t="inlineStr">
        <is>
          <t>jeminise.com+floral-nature-cardinal-within-ornate-oval-frame-patchwork-winter-quilt-88ef309589-88ef309589</t>
        </is>
      </c>
      <c r="B41" s="3" t="inlineStr">
        <is>
          <t>img_740bbcce7f1a6445</t>
        </is>
      </c>
      <c r="C41" s="4" t="inlineStr">
        <is>
          <t>https://cdn.shopify.com/s/files/1/0792/5098/1063/files/00ab49d13d6d6ade262ef18c97ecca7a66605f05bfe51006c8da23b0deb1c224.jpg?v=1785099676</t>
        </is>
      </c>
      <c r="D41" s="4" t="inlineStr">
        <is>
          <t>https://cdn.shopify.com/s/files/1/0792/5098/1063/files/00ab49d13d6d6ade262ef18c97ecca7a66605f05bfe51006c8da23b0deb1c224.jpg?v=1785099676</t>
        </is>
      </c>
      <c r="E41" s="3" t="inlineStr">
        <is>
          <t>47540071563463</t>
        </is>
      </c>
      <c r="F41" s="3" t="inlineStr"/>
      <c r="G41" s="3" t="inlineStr">
        <is>
          <t>GALLERY</t>
        </is>
      </c>
      <c r="H41" s="3" t="inlineStr">
        <is>
          <t>DIRECT_DOWNLOADED_GALLERY_ASSET_REVIEW</t>
        </is>
      </c>
      <c r="I41" s="3" t="inlineStr">
        <is>
          <t>2026-09-08T09:37:57+07:00</t>
        </is>
      </c>
      <c r="J41" s="3" t="inlineStr">
        <is>
          <t>Close-up view of red cardinal floral quilt with ornate oval frame and rose artwork showing quilt stitching texture.</t>
        </is>
      </c>
      <c r="K41" s="3" t="inlineStr">
        <is>
          <t>Close-up view of red cardinal floral quilt with ornate oval frame and rose artwork showing quilt stitching texture.</t>
        </is>
      </c>
      <c r="L41" s="3" t="inlineStr">
        <is>
          <t>SET</t>
        </is>
      </c>
      <c r="M41" s="3" t="inlineStr">
        <is>
          <t>Cardinal oval floral quilt close-up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/>
      <c r="X41" s="3" t="inlineStr">
        <is>
          <t>D:\Shopify_Workspace\jeminise_seo\seo_runs\jeminise.com\20260906_234129\qa\20260908_015000\images\148_02.jpg; seo_runs\jeminise.com\20260906_234129\evidence\images\148_floral-nature-cardinal-within-ornate-oval-frame-patchwork-winter-quilt-88ef309589-88ef309589\image_02_47540071563463.jpg; seo_runs\jeminise.com\20260906_234129\evidence\contact_sheets\148_floral-nature-cardinal-within-ornate-oval-frame-patchwork-winter-quilt-88ef309589-88ef309589.jpg</t>
        </is>
      </c>
    </row>
    <row r="42" ht="66" customHeight="1">
      <c r="A42" s="2" t="inlineStr">
        <is>
          <t>jeminise.com+floral-nature-cardinal-within-ornate-oval-frame-patchwork-winter-quilt-88ef309589-88ef309589</t>
        </is>
      </c>
      <c r="B42" s="2" t="inlineStr">
        <is>
          <t>img_3a5cd088fbbf961c</t>
        </is>
      </c>
      <c r="C42" s="4" t="inlineStr">
        <is>
          <t>https://cdn.shopify.com/s/files/1/0792/5098/1063/files/e2799d48fb782b01867d568b702d482759c35c84c72a224b1ae800761f02dc85.jpg?v=1785099676</t>
        </is>
      </c>
      <c r="D42" s="4" t="inlineStr">
        <is>
          <t>https://cdn.shopify.com/s/files/1/0792/5098/1063/files/e2799d48fb782b01867d568b702d482759c35c84c72a224b1ae800761f02dc85.jpg?v=1785099676</t>
        </is>
      </c>
      <c r="E42" s="2" t="inlineStr">
        <is>
          <t>47540071596231</t>
        </is>
      </c>
      <c r="F42" s="2" t="inlineStr"/>
      <c r="G42" s="2" t="inlineStr">
        <is>
          <t>GALLERY</t>
        </is>
      </c>
      <c r="H42" s="2" t="inlineStr">
        <is>
          <t>DIRECT_DOWNLOADED_GALLERY_ASSET_REVIEW</t>
        </is>
      </c>
      <c r="I42" s="2" t="inlineStr">
        <is>
          <t>2026-09-08T09:37:57+07:00</t>
        </is>
      </c>
      <c r="J42" s="2" t="inlineStr">
        <is>
          <t>Pillow sham mockup showing red cardinal floral quilt with ornate oval frame and rose artwork.</t>
        </is>
      </c>
      <c r="K42" s="2" t="inlineStr">
        <is>
          <t>Pillow sham mockup showing red cardinal floral quilt with ornate oval frame and rose artwork.</t>
        </is>
      </c>
      <c r="L42" s="2" t="inlineStr">
        <is>
          <t>SET</t>
        </is>
      </c>
      <c r="M42" s="2" t="inlineStr">
        <is>
          <t>Cardinal oval floral quilt pillow sham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/>
      <c r="X42" s="2" t="inlineStr">
        <is>
          <t>D:\Shopify_Workspace\jeminise_seo\seo_runs\jeminise.com\20260906_234129\qa\20260908_015000\images\148_03.jpg; seo_runs\jeminise.com\20260906_234129\evidence\images\148_floral-nature-cardinal-within-ornate-oval-frame-patchwork-winter-quilt-88ef309589-88ef309589\image_03_47540071596231.jpg; seo_runs\jeminise.com\20260906_234129\evidence\contact_sheets\148_floral-nature-cardinal-within-ornate-oval-frame-patchwork-winter-quilt-88ef309589-88ef309589.jpg</t>
        </is>
      </c>
    </row>
    <row r="43" ht="66" customHeight="1">
      <c r="A43" s="3" t="inlineStr">
        <is>
          <t>jeminise.com+floral-nature-cardinal-within-ornate-oval-frame-patchwork-winter-quilt-88ef309589-88ef309589</t>
        </is>
      </c>
      <c r="B43" s="3" t="inlineStr">
        <is>
          <t>img_98c2f4ab4145d768</t>
        </is>
      </c>
      <c r="C43" s="4" t="inlineStr">
        <is>
          <t>https://cdn.shopify.com/s/files/1/0792/5098/1063/files/843c75776c48ba7c6b9de831505e6128337fdac4e212bc21f8db025894661a25.jpg?v=1785099676</t>
        </is>
      </c>
      <c r="D43" s="4" t="inlineStr">
        <is>
          <t>https://cdn.shopify.com/s/files/1/0792/5098/1063/files/843c75776c48ba7c6b9de831505e6128337fdac4e212bc21f8db025894661a25.jpg?v=1785099676</t>
        </is>
      </c>
      <c r="E43" s="3" t="inlineStr">
        <is>
          <t>47540071628999</t>
        </is>
      </c>
      <c r="F43" s="3" t="inlineStr"/>
      <c r="G43" s="3" t="inlineStr">
        <is>
          <t>GALLERY</t>
        </is>
      </c>
      <c r="H43" s="3" t="inlineStr">
        <is>
          <t>DIRECT_DOWNLOADED_GALLERY_ASSET_REVIEW</t>
        </is>
      </c>
      <c r="I43" s="3" t="inlineStr">
        <is>
          <t>2026-09-08T09:37:57+07:00</t>
        </is>
      </c>
      <c r="J43" s="3" t="inlineStr">
        <is>
          <t>Room mockup of red cardinal floral quilt with ornate oval frame and rose artwork on a modern bed.</t>
        </is>
      </c>
      <c r="K43" s="3" t="inlineStr">
        <is>
          <t>Room mockup of red cardinal floral quilt with ornate oval frame and rose artwork on a modern bed.</t>
        </is>
      </c>
      <c r="L43" s="3" t="inlineStr">
        <is>
          <t>SET</t>
        </is>
      </c>
      <c r="M43" s="3" t="inlineStr">
        <is>
          <t>Cardinal oval floral quilt bedding set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/>
      <c r="X43" s="3" t="inlineStr">
        <is>
          <t>D:\Shopify_Workspace\jeminise_seo\seo_runs\jeminise.com\20260906_234129\qa\20260908_015000\images\148_04.jpg; seo_runs\jeminise.com\20260906_234129\evidence\images\148_floral-nature-cardinal-within-ornate-oval-frame-patchwork-winter-quilt-88ef309589-88ef309589\image_04_47540071628999.jpg; seo_runs\jeminise.com\20260906_234129\evidence\contact_sheets\148_floral-nature-cardinal-within-ornate-oval-frame-patchwork-winter-quilt-88ef309589-88ef309589.jpg</t>
        </is>
      </c>
    </row>
    <row r="44" ht="66" customHeight="1">
      <c r="A44" s="2" t="inlineStr">
        <is>
          <t>jeminise.com+floral-nature-cardinal-within-ornate-oval-frame-patchwork-winter-quilt-88ef309589-88ef309589</t>
        </is>
      </c>
      <c r="B44" s="2" t="inlineStr">
        <is>
          <t>img_4ad6dfbdd3332f5f</t>
        </is>
      </c>
      <c r="C44" s="4" t="inlineStr">
        <is>
          <t>https://cdn.shopify.com/s/files/1/0792/5098/1063/files/1bec8d5505b33acb8d415cbcd49dcd442c037ff7f9912df5b540dfbcbf700b8f.jpg?v=1785099676</t>
        </is>
      </c>
      <c r="D44" s="4" t="inlineStr">
        <is>
          <t>https://cdn.shopify.com/s/files/1/0792/5098/1063/files/1bec8d5505b33acb8d415cbcd49dcd442c037ff7f9912df5b540dfbcbf700b8f.jpg?v=1785099676</t>
        </is>
      </c>
      <c r="E44" s="2" t="inlineStr">
        <is>
          <t>47540071661767</t>
        </is>
      </c>
      <c r="F44" s="2" t="inlineStr"/>
      <c r="G44" s="2" t="inlineStr">
        <is>
          <t>GALLERY</t>
        </is>
      </c>
      <c r="H44" s="2" t="inlineStr">
        <is>
          <t>DIRECT_DOWNLOADED_GALLERY_ASSET_REVIEW</t>
        </is>
      </c>
      <c r="I44" s="2" t="inlineStr">
        <is>
          <t>2026-09-08T09:37:57+07:00</t>
        </is>
      </c>
      <c r="J44" s="2" t="inlineStr">
        <is>
          <t>Three-piece bedding set panel listing one premium quilt and two optional standard shams.</t>
        </is>
      </c>
      <c r="K44" s="2" t="inlineStr">
        <is>
          <t>Three-piece bedding set panel listing one premium quilt and two optional standard shams.</t>
        </is>
      </c>
      <c r="L44" s="2" t="inlineStr">
        <is>
          <t>SET</t>
        </is>
      </c>
      <c r="M44" s="2" t="inlineStr">
        <is>
          <t>Three piece quilt set information panel for ornate oval cardinal floral winter quilt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/>
      <c r="X44" s="2" t="inlineStr">
        <is>
          <t>D:\Shopify_Workspace\jeminise_seo\seo_runs\jeminise.com\20260906_234129\qa\20260908_015000\images\148_05.jpg; seo_runs\jeminise.com\20260906_234129\evidence\images\148_floral-nature-cardinal-within-ornate-oval-frame-patchwork-winter-quilt-88ef309589-88ef309589\image_05_47540071661767.jpg; seo_runs\jeminise.com\20260906_234129\evidence\contact_sheets\148_floral-nature-cardinal-within-ornate-oval-frame-patchwork-winter-quilt-88ef309589-88ef309589.jpg</t>
        </is>
      </c>
    </row>
    <row r="45" ht="66" customHeight="1">
      <c r="A45" s="3" t="inlineStr">
        <is>
          <t>jeminise.com+folklore-tree-of-life-in-celtic-knot-quilt-40ab1f6113-40ab1f6113</t>
        </is>
      </c>
      <c r="B45" s="3" t="inlineStr">
        <is>
          <t>img_ad640786388a544f</t>
        </is>
      </c>
      <c r="C45" s="4" t="inlineStr">
        <is>
          <t>https://cdn.shopify.com/s/files/1/0792/5098/1063/files/404ed5803f051b4bd7cf074f2d1676bab70b65623b4817a5ec6c069f82efdddf.jpg?v=1785103994</t>
        </is>
      </c>
      <c r="D45" s="4" t="inlineStr">
        <is>
          <t>https://cdn.shopify.com/s/files/1/0792/5098/1063/files/404ed5803f051b4bd7cf074f2d1676bab70b65623b4817a5ec6c069f82efdddf.jpg?v=1785103994</t>
        </is>
      </c>
      <c r="E45" s="3" t="inlineStr">
        <is>
          <t>47540474642631</t>
        </is>
      </c>
      <c r="F45" s="3" t="inlineStr"/>
      <c r="G45" s="3" t="inlineStr">
        <is>
          <t>GALLERY</t>
        </is>
      </c>
      <c r="H45" s="3" t="inlineStr">
        <is>
          <t>DIRECT_DOWNLOADED_GALLERY_ASSET_REVIEW</t>
        </is>
      </c>
      <c r="I45" s="3" t="inlineStr">
        <is>
          <t>2026-09-08T09:37:57+07:00</t>
        </is>
      </c>
      <c r="J45" s="3" t="inlineStr">
        <is>
          <t>Bedroom mockup of Celtic knot Tree of Life quilt with teal-gold pattern and matching shams.</t>
        </is>
      </c>
      <c r="K45" s="3" t="inlineStr">
        <is>
          <t>Bedroom mockup of Celtic knot Tree of Life quilt with teal-gold pattern and matching shams.</t>
        </is>
      </c>
      <c r="L45" s="3" t="inlineStr">
        <is>
          <t>SET</t>
        </is>
      </c>
      <c r="M45" s="3" t="inlineStr">
        <is>
          <t>Celtic knot Tree of Life quilt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/>
      <c r="X45" s="3" t="inlineStr">
        <is>
          <t>D:\Shopify_Workspace\jeminise_seo\seo_runs\jeminise.com\20260906_234129\qa\20260908_015000\images\149_01.jpg; seo_runs\jeminise.com\20260906_234129\evidence\images\149_folklore-tree-of-life-in-celtic-knot-quilt-40ab1f6113-40ab1f6113\image_01_47540474642631.jpg; seo_runs\jeminise.com\20260906_234129\evidence\contact_sheets\149_folklore-tree-of-life-in-celtic-knot-quilt-40ab1f6113-40ab1f6113.jpg</t>
        </is>
      </c>
    </row>
    <row r="46" ht="66" customHeight="1">
      <c r="A46" s="2" t="inlineStr">
        <is>
          <t>jeminise.com+folklore-tree-of-life-in-celtic-knot-quilt-40ab1f6113-40ab1f6113</t>
        </is>
      </c>
      <c r="B46" s="2" t="inlineStr">
        <is>
          <t>img_7c2e365a2ecae2ea</t>
        </is>
      </c>
      <c r="C46" s="4" t="inlineStr">
        <is>
          <t>https://cdn.shopify.com/s/files/1/0792/5098/1063/files/97438d06f9a430d622e570ea451d2a47fd77088a7bc26d95fb1edb5928b69f48.jpg?v=1785103994</t>
        </is>
      </c>
      <c r="D46" s="4" t="inlineStr">
        <is>
          <t>https://cdn.shopify.com/s/files/1/0792/5098/1063/files/97438d06f9a430d622e570ea451d2a47fd77088a7bc26d95fb1edb5928b69f48.jpg?v=1785103994</t>
        </is>
      </c>
      <c r="E46" s="2" t="inlineStr">
        <is>
          <t>47540474675399</t>
        </is>
      </c>
      <c r="F46" s="2" t="inlineStr"/>
      <c r="G46" s="2" t="inlineStr">
        <is>
          <t>GALLERY</t>
        </is>
      </c>
      <c r="H46" s="2" t="inlineStr">
        <is>
          <t>DIRECT_DOWNLOADED_GALLERY_ASSET_REVIEW</t>
        </is>
      </c>
      <c r="I46" s="2" t="inlineStr">
        <is>
          <t>2026-09-08T09:37:57+07:00</t>
        </is>
      </c>
      <c r="J46" s="2" t="inlineStr">
        <is>
          <t>Feature mockup of Celtic Tree of Life bedding with cozy, breathable, lightweight and washable icons.</t>
        </is>
      </c>
      <c r="K46" s="2" t="inlineStr">
        <is>
          <t>Feature mockup of Celtic Tree of Life bedding with cozy, breathable, lightweight and washable icons.</t>
        </is>
      </c>
      <c r="L46" s="2" t="inlineStr">
        <is>
          <t>SET</t>
        </is>
      </c>
      <c r="M46" s="2" t="inlineStr">
        <is>
          <t>Celtic Tree of Life quilt feature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/>
      <c r="X46" s="2" t="inlineStr">
        <is>
          <t>D:\Shopify_Workspace\jeminise_seo\seo_runs\jeminise.com\20260906_234129\qa\20260908_015000\images\149_02.jpg; seo_runs\jeminise.com\20260906_234129\evidence\images\149_folklore-tree-of-life-in-celtic-knot-quilt-40ab1f6113-40ab1f6113\image_02_47540474675399.jpg; seo_runs\jeminise.com\20260906_234129\evidence\contact_sheets\149_folklore-tree-of-life-in-celtic-knot-quilt-40ab1f6113-40ab1f6113.jpg</t>
        </is>
      </c>
    </row>
    <row r="47" ht="66" customHeight="1">
      <c r="A47" s="3" t="inlineStr">
        <is>
          <t>jeminise.com+folklore-tree-of-life-in-celtic-knot-quilt-40ab1f6113-40ab1f6113</t>
        </is>
      </c>
      <c r="B47" s="3" t="inlineStr">
        <is>
          <t>img_0afc8b4b1b78a437</t>
        </is>
      </c>
      <c r="C47" s="4" t="inlineStr">
        <is>
          <t>https://cdn.shopify.com/s/files/1/0792/5098/1063/files/d1059c276ace67802969ba6fb620ce50ca0b4fa72d02e7be1790b7d39ab41eb7.jpg?v=1785103994</t>
        </is>
      </c>
      <c r="D47" s="4" t="inlineStr">
        <is>
          <t>https://cdn.shopify.com/s/files/1/0792/5098/1063/files/d1059c276ace67802969ba6fb620ce50ca0b4fa72d02e7be1790b7d39ab41eb7.jpg?v=1785103994</t>
        </is>
      </c>
      <c r="E47" s="3" t="inlineStr">
        <is>
          <t>47540474708167</t>
        </is>
      </c>
      <c r="F47" s="3" t="inlineStr"/>
      <c r="G47" s="3" t="inlineStr">
        <is>
          <t>GALLERY</t>
        </is>
      </c>
      <c r="H47" s="3" t="inlineStr">
        <is>
          <t>DIRECT_DOWNLOADED_GALLERY_ASSET_REVIEW</t>
        </is>
      </c>
      <c r="I47" s="3" t="inlineStr">
        <is>
          <t>2026-09-08T09:37:57+07:00</t>
        </is>
      </c>
      <c r="J47" s="3" t="inlineStr">
        <is>
          <t>All seasons panel showing Celtic Tree of Life quilt details and magnified texture circles.</t>
        </is>
      </c>
      <c r="K47" s="3" t="inlineStr">
        <is>
          <t>All seasons panel showing Celtic Tree of Life quilt details and magnified texture circles.</t>
        </is>
      </c>
      <c r="L47" s="3" t="inlineStr">
        <is>
          <t>SET</t>
        </is>
      </c>
      <c r="M47" s="3" t="inlineStr">
        <is>
          <t>Celtic Tree of Life quilt detail panel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/>
      <c r="X47" s="3" t="inlineStr">
        <is>
          <t>D:\Shopify_Workspace\jeminise_seo\seo_runs\jeminise.com\20260906_234129\qa\20260908_015000\images\149_03.jpg; seo_runs\jeminise.com\20260906_234129\evidence\images\149_folklore-tree-of-life-in-celtic-knot-quilt-40ab1f6113-40ab1f6113\image_03_47540474708167.jpg; seo_runs\jeminise.com\20260906_234129\evidence\contact_sheets\149_folklore-tree-of-life-in-celtic-knot-quilt-40ab1f6113-40ab1f6113.jpg</t>
        </is>
      </c>
    </row>
    <row r="48" ht="66" customHeight="1">
      <c r="A48" s="2" t="inlineStr">
        <is>
          <t>jeminise.com+folklore-tree-of-life-in-celtic-knot-quilt-40ab1f6113-40ab1f6113</t>
        </is>
      </c>
      <c r="B48" s="2" t="inlineStr">
        <is>
          <t>img_236a17cf169fe58f</t>
        </is>
      </c>
      <c r="C48" s="4" t="inlineStr">
        <is>
          <t>https://cdn.shopify.com/s/files/1/0792/5098/1063/files/31555b0f52e5ce2dbc2f028f11c9e41272413a642740df0fff5d4479cdd052a8.jpg?v=1785103994</t>
        </is>
      </c>
      <c r="D48" s="4" t="inlineStr">
        <is>
          <t>https://cdn.shopify.com/s/files/1/0792/5098/1063/files/31555b0f52e5ce2dbc2f028f11c9e41272413a642740df0fff5d4479cdd052a8.jpg?v=1785103994</t>
        </is>
      </c>
      <c r="E48" s="2" t="inlineStr">
        <is>
          <t>47540474740935</t>
        </is>
      </c>
      <c r="F48" s="2" t="inlineStr"/>
      <c r="G48" s="2" t="inlineStr">
        <is>
          <t>GALLERY</t>
        </is>
      </c>
      <c r="H48" s="2" t="inlineStr">
        <is>
          <t>DIRECT_DOWNLOADED_GALLERY_ASSET_REVIEW</t>
        </is>
      </c>
      <c r="I48" s="2" t="inlineStr">
        <is>
          <t>2026-09-08T09:37:57+07:00</t>
        </is>
      </c>
      <c r="J48" s="2" t="inlineStr">
        <is>
          <t>Precision stitching and high-quality panel showing Celtic Tree of Life fabric close-ups.</t>
        </is>
      </c>
      <c r="K48" s="2" t="inlineStr">
        <is>
          <t>Precision stitching and high-quality panel showing Celtic Tree of Life fabric close-ups.</t>
        </is>
      </c>
      <c r="L48" s="2" t="inlineStr">
        <is>
          <t>SET</t>
        </is>
      </c>
      <c r="M48" s="2" t="inlineStr">
        <is>
          <t>Celtic Tree of Life stitching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/>
      <c r="X48" s="2" t="inlineStr">
        <is>
          <t>D:\Shopify_Workspace\jeminise_seo\seo_runs\jeminise.com\20260906_234129\qa\20260908_015000\images\149_04.jpg; seo_runs\jeminise.com\20260906_234129\evidence\images\149_folklore-tree-of-life-in-celtic-knot-quilt-40ab1f6113-40ab1f6113\image_04_47540474740935.jpg; seo_runs\jeminise.com\20260906_234129\evidence\contact_sheets\149_folklore-tree-of-life-in-celtic-knot-quilt-40ab1f6113-40ab1f6113.jpg</t>
        </is>
      </c>
    </row>
    <row r="49" ht="66" customHeight="1">
      <c r="A49" s="3" t="inlineStr">
        <is>
          <t>jeminise.com+folklore-tree-of-life-in-celtic-knot-quilt-40ab1f6113-40ab1f6113</t>
        </is>
      </c>
      <c r="B49" s="3" t="inlineStr">
        <is>
          <t>img_3ee7c16cb5b8ad66</t>
        </is>
      </c>
      <c r="C49" s="4" t="inlineStr">
        <is>
          <t>https://cdn.shopify.com/s/files/1/0792/5098/1063/files/16b178bd5910fd0d4a839762ab332ffc6ce5eaf9a61be2d2070bb6a8a1d6bf62.jpg?v=1785103994</t>
        </is>
      </c>
      <c r="D49" s="4" t="inlineStr">
        <is>
          <t>https://cdn.shopify.com/s/files/1/0792/5098/1063/files/16b178bd5910fd0d4a839762ab332ffc6ce5eaf9a61be2d2070bb6a8a1d6bf62.jpg?v=1785103994</t>
        </is>
      </c>
      <c r="E49" s="3" t="inlineStr">
        <is>
          <t>47540474773703</t>
        </is>
      </c>
      <c r="F49" s="3" t="inlineStr"/>
      <c r="G49" s="3" t="inlineStr">
        <is>
          <t>GALLERY</t>
        </is>
      </c>
      <c r="H49" s="3" t="inlineStr">
        <is>
          <t>DIRECT_DOWNLOADED_GALLERY_ASSET_REVIEW</t>
        </is>
      </c>
      <c r="I49" s="3" t="inlineStr">
        <is>
          <t>2026-09-08T09:37:57+07:00</t>
        </is>
      </c>
      <c r="J49" s="3" t="inlineStr">
        <is>
          <t>Layer panel showing microfiber woven top, filling microfiber and back microfiber.</t>
        </is>
      </c>
      <c r="K49" s="3" t="inlineStr">
        <is>
          <t>Layer panel showing microfiber woven top, filling microfiber and back microfiber.</t>
        </is>
      </c>
      <c r="L49" s="3" t="inlineStr">
        <is>
          <t>SET</t>
        </is>
      </c>
      <c r="M49" s="3" t="inlineStr">
        <is>
          <t>Celtic Tree of Life quilt layer panel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/>
      <c r="X49" s="3" t="inlineStr">
        <is>
          <t>D:\Shopify_Workspace\jeminise_seo\seo_runs\jeminise.com\20260906_234129\qa\20260908_015000\images\149_05.jpg; seo_runs\jeminise.com\20260906_234129\evidence\images\149_folklore-tree-of-life-in-celtic-knot-quilt-40ab1f6113-40ab1f6113\image_05_47540474773703.jpg; seo_runs\jeminise.com\20260906_234129\evidence\contact_sheets\149_folklore-tree-of-life-in-celtic-knot-quilt-40ab1f6113-40ab1f6113.jpg</t>
        </is>
      </c>
    </row>
    <row r="50" ht="66" customHeight="1">
      <c r="A50" s="2" t="inlineStr">
        <is>
          <t>jeminise.com+folklore-tree-of-life-in-celtic-knot-quilt-40ab1f6113-40ab1f6113</t>
        </is>
      </c>
      <c r="B50" s="2" t="inlineStr">
        <is>
          <t>img_64a550f8da4b66b0</t>
        </is>
      </c>
      <c r="C50" s="4" t="inlineStr">
        <is>
          <t>https://cdn.shopify.com/s/files/1/0792/5098/1063/files/0e97f0275ec81b9b8b4855997dfbe42687a5179966f4a4818b2567ed84c668b1.jpg?v=1785103994</t>
        </is>
      </c>
      <c r="D50" s="4" t="inlineStr">
        <is>
          <t>https://cdn.shopify.com/s/files/1/0792/5098/1063/files/0e97f0275ec81b9b8b4855997dfbe42687a5179966f4a4818b2567ed84c668b1.jpg?v=1785103994</t>
        </is>
      </c>
      <c r="E50" s="2" t="inlineStr">
        <is>
          <t>47540474806471</t>
        </is>
      </c>
      <c r="F50" s="2" t="inlineStr"/>
      <c r="G50" s="2" t="inlineStr">
        <is>
          <t>GALLERY</t>
        </is>
      </c>
      <c r="H50" s="2" t="inlineStr">
        <is>
          <t>DIRECT_DOWNLOADED_GALLERY_ASSET_REVIEW</t>
        </is>
      </c>
      <c r="I50" s="2" t="inlineStr">
        <is>
          <t>2026-09-08T09:37:57+07:00</t>
        </is>
      </c>
      <c r="J50" s="2" t="inlineStr">
        <is>
          <t>Bedspread and pillow shams size panel for Celtic Tree of Life quilt set.</t>
        </is>
      </c>
      <c r="K50" s="2" t="inlineStr">
        <is>
          <t>Bedspread and pillow shams size panel for Celtic Tree of Life quilt set.</t>
        </is>
      </c>
      <c r="L50" s="2" t="inlineStr">
        <is>
          <t>SET</t>
        </is>
      </c>
      <c r="M50" s="2" t="inlineStr">
        <is>
          <t>Celtic Tree of Life quilt size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/>
      <c r="X50" s="2" t="inlineStr">
        <is>
          <t>D:\Shopify_Workspace\jeminise_seo\seo_runs\jeminise.com\20260906_234129\qa\20260908_015000\images\149_06.jpg; seo_runs\jeminise.com\20260906_234129\evidence\images\149_folklore-tree-of-life-in-celtic-knot-quilt-40ab1f6113-40ab1f6113\image_06_47540474806471.jpg; seo_runs\jeminise.com\20260906_234129\evidence\contact_sheets\149_folklore-tree-of-life-in-celtic-knot-quilt-40ab1f6113-40ab1f6113.jpg</t>
        </is>
      </c>
    </row>
    <row r="51" ht="66" customHeight="1">
      <c r="A51" s="3" t="inlineStr">
        <is>
          <t>jeminise.com+folklore-tree-of-life-in-celtic-knot-quilt-40ab1f6113-40ab1f6113</t>
        </is>
      </c>
      <c r="B51" s="3" t="inlineStr">
        <is>
          <t>img_9135e12df39c64e1</t>
        </is>
      </c>
      <c r="C51" s="4" t="inlineStr">
        <is>
          <t>https://cdn.shopify.com/s/files/1/0792/5098/1063/files/c47177e42e8c147f5efe5d49253545313c2a7f4e815909b29b5c78cb601deb3c.jpg?v=1785103994</t>
        </is>
      </c>
      <c r="D51" s="4" t="inlineStr">
        <is>
          <t>https://cdn.shopify.com/s/files/1/0792/5098/1063/files/c47177e42e8c147f5efe5d49253545313c2a7f4e815909b29b5c78cb601deb3c.jpg?v=1785103994</t>
        </is>
      </c>
      <c r="E51" s="3" t="inlineStr">
        <is>
          <t>47540474839239</t>
        </is>
      </c>
      <c r="F51" s="3" t="inlineStr"/>
      <c r="G51" s="3" t="inlineStr">
        <is>
          <t>GALLERY</t>
        </is>
      </c>
      <c r="H51" s="3" t="inlineStr">
        <is>
          <t>DIRECT_DOWNLOADED_GALLERY_ASSET_REVIEW</t>
        </is>
      </c>
      <c r="I51" s="3" t="inlineStr">
        <is>
          <t>2026-09-08T09:37:57+07:00</t>
        </is>
      </c>
      <c r="J51" s="3" t="inlineStr">
        <is>
          <t>Optional pillow shams panel showing teal-gold Celtic Tree of Life artwork.</t>
        </is>
      </c>
      <c r="K51" s="3" t="inlineStr">
        <is>
          <t>Optional pillow shams panel showing teal-gold Celtic Tree of Life artwork.</t>
        </is>
      </c>
      <c r="L51" s="3" t="inlineStr">
        <is>
          <t>SET</t>
        </is>
      </c>
      <c r="M51" s="3" t="inlineStr">
        <is>
          <t>Celtic Tree of Life pillow shams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/>
      <c r="X51" s="3" t="inlineStr">
        <is>
          <t>D:\Shopify_Workspace\jeminise_seo\seo_runs\jeminise.com\20260906_234129\qa\20260908_015000\images\149_07.jpg; seo_runs\jeminise.com\20260906_234129\evidence\images\149_folklore-tree-of-life-in-celtic-knot-quilt-40ab1f6113-40ab1f6113\image_07_47540474839239.jpg; seo_runs\jeminise.com\20260906_234129\evidence\contact_sheets\149_folklore-tree-of-life-in-celtic-knot-quilt-40ab1f6113-40ab1f6113.jpg</t>
        </is>
      </c>
    </row>
    <row r="52" ht="66" customHeight="1">
      <c r="A52" s="2" t="inlineStr">
        <is>
          <t>jeminise.com+fox-patchwork-pattern-quilt-set-animal-quilt-set-patchwork-style</t>
        </is>
      </c>
      <c r="B52" s="2" t="inlineStr">
        <is>
          <t>img_3f1f5536acbb966a</t>
        </is>
      </c>
      <c r="C52" s="4" t="inlineStr">
        <is>
          <t>https://cdn.shopify.com/s/files/1/0792/5098/1063/files/988722264f93b7f929168547b94fc3474fc0ce389c8526bb822d4377a564c29d.jpg?v=1787233669</t>
        </is>
      </c>
      <c r="D52" s="4" t="inlineStr">
        <is>
          <t>https://cdn.shopify.com/s/files/1/0792/5098/1063/files/988722264f93b7f929168547b94fc3474fc0ce389c8526bb822d4377a564c29d.jpg?v=1787233669</t>
        </is>
      </c>
      <c r="E52" s="2" t="inlineStr">
        <is>
          <t>47933460840647</t>
        </is>
      </c>
      <c r="F52" s="2" t="inlineStr"/>
      <c r="G52" s="2" t="inlineStr">
        <is>
          <t>GALLERY</t>
        </is>
      </c>
      <c r="H52" s="2" t="inlineStr">
        <is>
          <t>DIRECT_DOWNLOADED_GALLERY_ASSET_REVIEW</t>
        </is>
      </c>
      <c r="I52" s="2" t="inlineStr">
        <is>
          <t>2026-09-08T09:37:57+07:00</t>
        </is>
      </c>
      <c r="J52" s="2" t="inlineStr">
        <is>
          <t>Bedroom mockup of orange fox portrait patchwork quilt with blue-red oval frame with matching shams.</t>
        </is>
      </c>
      <c r="K52" s="2" t="inlineStr">
        <is>
          <t>Bedroom mockup of orange fox portrait patchwork quilt with blue-red oval frame with matching shams.</t>
        </is>
      </c>
      <c r="L52" s="2" t="inlineStr">
        <is>
          <t>SET</t>
        </is>
      </c>
      <c r="M52" s="2" t="inlineStr">
        <is>
          <t>Fox patchwork quilt set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/>
      <c r="X52" s="2" t="inlineStr">
        <is>
          <t>D:\Shopify_Workspace\jeminise_seo\seo_runs\jeminise.com\20260906_234129\qa\20260908_015000\images\150_01.jpg; seo_runs\jeminise.com\20260906_234129\evidence\images\150_fox-patchwork-pattern-quilt-set-animal-quilt-set-patchwork-style\image_01_47933460840647.jpg; seo_runs\jeminise.com\20260906_234129\evidence\contact_sheets\150_fox-patchwork-pattern-quilt-set-animal-quilt-set-patchwork-style.jpg</t>
        </is>
      </c>
    </row>
    <row r="53" ht="66" customHeight="1">
      <c r="A53" s="3" t="inlineStr">
        <is>
          <t>jeminise.com+fox-patchwork-pattern-quilt-set-animal-quilt-set-patchwork-style</t>
        </is>
      </c>
      <c r="B53" s="3" t="inlineStr">
        <is>
          <t>img_648171d79e60548f</t>
        </is>
      </c>
      <c r="C53" s="4" t="inlineStr">
        <is>
          <t>https://cdn.shopify.com/s/files/1/0792/5098/1063/files/42f0dd26ba813ef0447553675dea32c4c20b9e98cd31b90f997311c32ca9a464.jpg?v=1787233669</t>
        </is>
      </c>
      <c r="D53" s="4" t="inlineStr">
        <is>
          <t>https://cdn.shopify.com/s/files/1/0792/5098/1063/files/42f0dd26ba813ef0447553675dea32c4c20b9e98cd31b90f997311c32ca9a464.jpg?v=1787233669</t>
        </is>
      </c>
      <c r="E53" s="3" t="inlineStr">
        <is>
          <t>47933460873415</t>
        </is>
      </c>
      <c r="F53" s="3" t="inlineStr"/>
      <c r="G53" s="3" t="inlineStr">
        <is>
          <t>GALLERY</t>
        </is>
      </c>
      <c r="H53" s="3" t="inlineStr">
        <is>
          <t>DIRECT_DOWNLOADED_GALLERY_ASSET_REVIEW</t>
        </is>
      </c>
      <c r="I53" s="3" t="inlineStr">
        <is>
          <t>2026-09-08T09:37:57+07:00</t>
        </is>
      </c>
      <c r="J53" s="3" t="inlineStr">
        <is>
          <t>Room mockup of orange fox portrait patchwork quilt with blue-red oval frame with premium printed craft callout and fabric inset.</t>
        </is>
      </c>
      <c r="K53" s="3" t="inlineStr">
        <is>
          <t>Room mockup of orange fox portrait patchwork quilt with blue-red oval frame with premium printed craft callout and fabric inset.</t>
        </is>
      </c>
      <c r="L53" s="3" t="inlineStr">
        <is>
          <t>SET</t>
        </is>
      </c>
      <c r="M53" s="3" t="inlineStr">
        <is>
          <t>Fox patchwork quilt set room mockup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/>
      <c r="X53" s="3" t="inlineStr">
        <is>
          <t>D:\Shopify_Workspace\jeminise_seo\seo_runs\jeminise.com\20260906_234129\qa\20260908_015000\images\150_02.jpg; seo_runs\jeminise.com\20260906_234129\evidence\images\150_fox-patchwork-pattern-quilt-set-animal-quilt-set-patchwork-style\image_02_47933460873415.jpg; seo_runs\jeminise.com\20260906_234129\evidence\contact_sheets\150_fox-patchwork-pattern-quilt-set-animal-quilt-set-patchwork-style.jpg</t>
        </is>
      </c>
    </row>
    <row r="54" ht="66" customHeight="1">
      <c r="A54" s="2" t="inlineStr">
        <is>
          <t>jeminise.com+fox-patchwork-pattern-quilt-set-animal-quilt-set-patchwork-style</t>
        </is>
      </c>
      <c r="B54" s="2" t="inlineStr">
        <is>
          <t>img_4611788253446888</t>
        </is>
      </c>
      <c r="C54" s="4" t="inlineStr">
        <is>
          <t>https://cdn.shopify.com/s/files/1/0792/5098/1063/files/a2cb5e690cb249a856de7836f6eb3260f06f9a5d599fedfdf7d545401e0282f0.jpg?v=1787233669</t>
        </is>
      </c>
      <c r="D54" s="4" t="inlineStr">
        <is>
          <t>https://cdn.shopify.com/s/files/1/0792/5098/1063/files/a2cb5e690cb249a856de7836f6eb3260f06f9a5d599fedfdf7d545401e0282f0.jpg?v=1787233669</t>
        </is>
      </c>
      <c r="E54" s="2" t="inlineStr">
        <is>
          <t>47933460906183</t>
        </is>
      </c>
      <c r="F54" s="2" t="inlineStr"/>
      <c r="G54" s="2" t="inlineStr">
        <is>
          <t>GALLERY</t>
        </is>
      </c>
      <c r="H54" s="2" t="inlineStr">
        <is>
          <t>DIRECT_DOWNLOADED_GALLERY_ASSET_REVIEW</t>
        </is>
      </c>
      <c r="I54" s="2" t="inlineStr">
        <is>
          <t>2026-09-08T09:37:57+07:00</t>
        </is>
      </c>
      <c r="J54" s="2" t="inlineStr">
        <is>
          <t>Optional pillow shams panel showing orange fox portrait patchwork quilt with blue-red oval frame.</t>
        </is>
      </c>
      <c r="K54" s="2" t="inlineStr">
        <is>
          <t>Optional pillow shams panel showing orange fox portrait patchwork quilt with blue-red oval frame.</t>
        </is>
      </c>
      <c r="L54" s="2" t="inlineStr">
        <is>
          <t>SET</t>
        </is>
      </c>
      <c r="M54" s="2" t="inlineStr">
        <is>
          <t>Fox patchwork quilt set pillow shams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/>
      <c r="X54" s="2" t="inlineStr">
        <is>
          <t>D:\Shopify_Workspace\jeminise_seo\seo_runs\jeminise.com\20260906_234129\qa\20260908_015000\images\150_03.jpg; seo_runs\jeminise.com\20260906_234129\evidence\images\150_fox-patchwork-pattern-quilt-set-animal-quilt-set-patchwork-style\image_03_47933460906183.jpg; seo_runs\jeminise.com\20260906_234129\evidence\contact_sheets\150_fox-patchwork-pattern-quilt-set-animal-quilt-set-patchwork-style.jpg</t>
        </is>
      </c>
    </row>
    <row r="55" ht="66" customHeight="1">
      <c r="A55" s="3" t="inlineStr">
        <is>
          <t>jeminise.com+fox-patchwork-pattern-quilt-set-animal-quilt-set-patchwork-style</t>
        </is>
      </c>
      <c r="B55" s="3" t="inlineStr">
        <is>
          <t>img_58978fee047736f7</t>
        </is>
      </c>
      <c r="C55" s="4" t="inlineStr">
        <is>
          <t>https://cdn.shopify.com/s/files/1/0792/5098/1063/files/a4fb818afb81b9c4913d6d39542326bd6d4fe7c92d81e82f96d3c35eb4d087ca.jpg?v=1787233669</t>
        </is>
      </c>
      <c r="D55" s="4" t="inlineStr">
        <is>
          <t>https://cdn.shopify.com/s/files/1/0792/5098/1063/files/a4fb818afb81b9c4913d6d39542326bd6d4fe7c92d81e82f96d3c35eb4d087ca.jpg?v=1787233669</t>
        </is>
      </c>
      <c r="E55" s="3" t="inlineStr">
        <is>
          <t>47933460938951</t>
        </is>
      </c>
      <c r="F55" s="3" t="inlineStr"/>
      <c r="G55" s="3" t="inlineStr">
        <is>
          <t>GALLERY</t>
        </is>
      </c>
      <c r="H55" s="3" t="inlineStr">
        <is>
          <t>DIRECT_DOWNLOADED_GALLERY_ASSET_REVIEW</t>
        </is>
      </c>
      <c r="I55" s="3" t="inlineStr">
        <is>
          <t>2026-09-08T09:37:57+07:00</t>
        </is>
      </c>
      <c r="J55" s="3" t="inlineStr">
        <is>
          <t>High-quality fabric panel showing orange fox portrait patchwork quilt with blue-red oval frame with quilt detail and pillow mockup.</t>
        </is>
      </c>
      <c r="K55" s="3" t="inlineStr">
        <is>
          <t>High-quality fabric panel showing orange fox portrait patchwork quilt with blue-red oval frame with quilt detail and pillow mockup.</t>
        </is>
      </c>
      <c r="L55" s="3" t="inlineStr">
        <is>
          <t>SET</t>
        </is>
      </c>
      <c r="M55" s="3" t="inlineStr">
        <is>
          <t>Fox patchwork quilt set fabric detail panel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/>
      <c r="X55" s="3" t="inlineStr">
        <is>
          <t>D:\Shopify_Workspace\jeminise_seo\seo_runs\jeminise.com\20260906_234129\qa\20260908_015000\images\150_04.jpg; seo_runs\jeminise.com\20260906_234129\evidence\images\150_fox-patchwork-pattern-quilt-set-animal-quilt-set-patchwork-style\image_04_47933460938951.jpg; seo_runs\jeminise.com\20260906_234129\evidence\contact_sheets\150_fox-patchwork-pattern-quilt-set-animal-quilt-set-patchwork-style.jpg</t>
        </is>
      </c>
    </row>
    <row r="56" ht="66" customHeight="1">
      <c r="A56" s="2" t="inlineStr">
        <is>
          <t>jeminise.com+fox-patchwork-pattern-quilt-set-animal-quilt-set-patchwork-style</t>
        </is>
      </c>
      <c r="B56" s="2" t="inlineStr">
        <is>
          <t>img_c76edf8f42588e9e</t>
        </is>
      </c>
      <c r="C56" s="4" t="inlineStr">
        <is>
          <t>https://cdn.shopify.com/s/files/1/0792/5098/1063/files/e5d8a713701bc8252a33abe3e1226ed99b68fc5da417f472a9061c58ebab124d.jpg?v=1787233669</t>
        </is>
      </c>
      <c r="D56" s="4" t="inlineStr">
        <is>
          <t>https://cdn.shopify.com/s/files/1/0792/5098/1063/files/e5d8a713701bc8252a33abe3e1226ed99b68fc5da417f472a9061c58ebab124d.jpg?v=1787233669</t>
        </is>
      </c>
      <c r="E56" s="2" t="inlineStr">
        <is>
          <t>47933460971719</t>
        </is>
      </c>
      <c r="F56" s="2" t="inlineStr"/>
      <c r="G56" s="2" t="inlineStr">
        <is>
          <t>GALLERY</t>
        </is>
      </c>
      <c r="H56" s="2" t="inlineStr">
        <is>
          <t>DIRECT_DOWNLOADED_GALLERY_ASSET_REVIEW</t>
        </is>
      </c>
      <c r="I56" s="2" t="inlineStr">
        <is>
          <t>2026-09-08T09:37:57+07:00</t>
        </is>
      </c>
      <c r="J56" s="2" t="inlineStr">
        <is>
          <t>Premium quilt set size chart showing available bed sizes and measurements.</t>
        </is>
      </c>
      <c r="K56" s="2" t="inlineStr">
        <is>
          <t>Premium quilt set size chart showing available bed sizes and measurements.</t>
        </is>
      </c>
      <c r="L56" s="2" t="inlineStr">
        <is>
          <t>SET</t>
        </is>
      </c>
      <c r="M56" s="2" t="inlineStr">
        <is>
          <t>Quilt set size chart for orange fox portrait patchwork quilt set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/>
      <c r="X56" s="2" t="inlineStr">
        <is>
          <t>D:\Shopify_Workspace\jeminise_seo\seo_runs\jeminise.com\20260906_234129\qa\20260908_015000\images\150_05.jpg; seo_runs\jeminise.com\20260906_234129\evidence\images\150_fox-patchwork-pattern-quilt-set-animal-quilt-set-patchwork-style\image_05_47933460971719.jpg; seo_runs\jeminise.com\20260906_234129\evidence\contact_sheets\150_fox-patchwork-pattern-quilt-set-animal-quilt-set-patchwork-style.jpg</t>
        </is>
      </c>
    </row>
    <row r="57" ht="66" customHeight="1">
      <c r="A57" s="3" t="inlineStr">
        <is>
          <t>jeminise.com+fox-patchwork-pattern-quilt-set-animal-quilt-set-patchwork-style</t>
        </is>
      </c>
      <c r="B57" s="3" t="inlineStr">
        <is>
          <t>img_2cdaf29e03a50e08</t>
        </is>
      </c>
      <c r="C57" s="4" t="inlineStr">
        <is>
          <t>https://cdn.shopify.com/s/files/1/0792/5098/1063/files/d20c2c33933f1f653a3f3f47666f0c1c2efb2135959e0e0ddbdd4bff35474308.jpg?v=1787233669</t>
        </is>
      </c>
      <c r="D57" s="4" t="inlineStr">
        <is>
          <t>https://cdn.shopify.com/s/files/1/0792/5098/1063/files/d20c2c33933f1f653a3f3f47666f0c1c2efb2135959e0e0ddbdd4bff35474308.jpg?v=1787233669</t>
        </is>
      </c>
      <c r="E57" s="3" t="inlineStr">
        <is>
          <t>47933461004487</t>
        </is>
      </c>
      <c r="F57" s="3" t="inlineStr"/>
      <c r="G57" s="3" t="inlineStr">
        <is>
          <t>GALLERY</t>
        </is>
      </c>
      <c r="H57" s="3" t="inlineStr">
        <is>
          <t>DIRECT_DOWNLOADED_GALLERY_ASSET_REVIEW</t>
        </is>
      </c>
      <c r="I57" s="3" t="inlineStr">
        <is>
          <t>2026-09-08T09:37:57+07:00</t>
        </is>
      </c>
      <c r="J57" s="3" t="inlineStr">
        <is>
          <t>Bedspread features panel showing quilt layers and anti-wrinkle, anti-static and machine-washable icons.</t>
        </is>
      </c>
      <c r="K57" s="3" t="inlineStr">
        <is>
          <t>Bedspread features panel showing quilt layers and anti-wrinkle, anti-static and machine-washable icons.</t>
        </is>
      </c>
      <c r="L57" s="3" t="inlineStr">
        <is>
          <t>SET</t>
        </is>
      </c>
      <c r="M57" s="3" t="inlineStr">
        <is>
          <t>Quilt construction feature panel for orange fox portrait patchwork quilt set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/>
      <c r="X57" s="3" t="inlineStr">
        <is>
          <t>D:\Shopify_Workspace\jeminise_seo\seo_runs\jeminise.com\20260906_234129\qa\20260908_015000\images\150_06.jpg; seo_runs\jeminise.com\20260906_234129\evidence\images\150_fox-patchwork-pattern-quilt-set-animal-quilt-set-patchwork-style\image_06_47933461004487.jpg; seo_runs\jeminise.com\20260906_234129\evidence\contact_sheets\150_fox-patchwork-pattern-quilt-set-animal-quilt-set-patchwork-style.jpg</t>
        </is>
      </c>
    </row>
    <row r="58" ht="66" customHeight="1">
      <c r="A58" s="2" t="inlineStr">
        <is>
          <t>jeminise.com+fox-patchwork-pattern-quilt-set-animal-quilt-set-patchwork-style</t>
        </is>
      </c>
      <c r="B58" s="2" t="inlineStr">
        <is>
          <t>img_e34dfdf30b8a17d2</t>
        </is>
      </c>
      <c r="C58" s="4" t="inlineStr">
        <is>
          <t>https://cdn.shopify.com/s/files/1/0792/5098/1063/files/2da7f736cf6f750ba52277e2af1fa4fb70311ada87fb3eab2e27bf613bac4d55.jpg?v=1787233669</t>
        </is>
      </c>
      <c r="D58" s="4" t="inlineStr">
        <is>
          <t>https://cdn.shopify.com/s/files/1/0792/5098/1063/files/2da7f736cf6f750ba52277e2af1fa4fb70311ada87fb3eab2e27bf613bac4d55.jpg?v=1787233669</t>
        </is>
      </c>
      <c r="E58" s="2" t="inlineStr">
        <is>
          <t>47933461037255</t>
        </is>
      </c>
      <c r="F58" s="2" t="inlineStr"/>
      <c r="G58" s="2" t="inlineStr">
        <is>
          <t>GALLERY</t>
        </is>
      </c>
      <c r="H58" s="2" t="inlineStr">
        <is>
          <t>DIRECT_DOWNLOADED_GALLERY_ASSET_REVIEW</t>
        </is>
      </c>
      <c r="I58" s="2" t="inlineStr">
        <is>
          <t>2026-09-08T09:37:57+07:00</t>
        </is>
      </c>
      <c r="J58" s="2" t="inlineStr">
        <is>
          <t>Second bedroom mockup of orange fox portrait patchwork quilt with blue-red oval frame with matching shams.</t>
        </is>
      </c>
      <c r="K58" s="2" t="inlineStr">
        <is>
          <t>Second bedroom mockup of orange fox portrait patchwork quilt with blue-red oval frame with matching shams.</t>
        </is>
      </c>
      <c r="L58" s="2" t="inlineStr">
        <is>
          <t>SET</t>
        </is>
      </c>
      <c r="M58" s="2" t="inlineStr">
        <is>
          <t>Fox patchwork quilt set bedroom mockup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/>
      <c r="X58" s="2" t="inlineStr">
        <is>
          <t>D:\Shopify_Workspace\jeminise_seo\seo_runs\jeminise.com\20260906_234129\qa\20260908_015000\images\150_07.jpg; seo_runs\jeminise.com\20260906_234129\evidence\images\150_fox-patchwork-pattern-quilt-set-animal-quilt-set-patchwork-style\image_07_47933461037255.jpg; seo_runs\jeminise.com\20260906_234129\evidence\contact_sheets\150_fox-patchwork-pattern-quilt-set-animal-quilt-set-patchwork-style.jpg</t>
        </is>
      </c>
    </row>
  </sheetData>
  <autoFilter ref="A1:X5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ISSUE-0001</t>
        </is>
      </c>
      <c r="B2" s="2" t="inlineStr">
        <is>
          <t>jeminise.com+fantasy-fire-dragon-comforter-set-with-glowing-lava-and-bedroom-setting-c7ca9ae893-c7ca9ae893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Two US public query records; no paid volume, Search Console or on-site search export.</t>
        </is>
      </c>
      <c r="H2" s="2" t="inlineStr">
        <is>
          <t>Demand evidence remains SERP_ONLY, so no demand/volume claim is warranted.</t>
        </is>
      </c>
      <c r="I2" s="2" t="inlineStr">
        <is>
          <t>Keep demand claims qualitative; attach first-party or paid keyword evidence when available.</t>
        </is>
      </c>
      <c r="J2" s="2" t="inlineStr">
        <is>
          <t>Two US public query records; no paid volume, Search Console or on-site search export.</t>
        </is>
      </c>
      <c r="K2" s="2" t="inlineStr">
        <is>
          <t>New evidence is linked in Keyword_Map.</t>
        </is>
      </c>
    </row>
    <row r="3" ht="84" customHeight="1">
      <c r="A3" s="3" t="inlineStr">
        <is>
          <t>ISSUE-0002</t>
        </is>
      </c>
      <c r="B3" s="3" t="inlineStr">
        <is>
          <t>jeminise.com+fantasy-mythical-dragon-comforter-set-with-winged-dragon-and-bedroom-setting-bcfc28e9d3-bcfc28e9d3</t>
        </is>
      </c>
      <c r="C3" s="3" t="inlineStr"/>
      <c r="D3" s="3" t="inlineStr">
        <is>
          <t>LIMITATION</t>
        </is>
      </c>
      <c r="E3" s="3" t="inlineStr">
        <is>
          <t>keyword_evidence_level</t>
        </is>
      </c>
      <c r="F3" s="3" t="inlineStr">
        <is>
          <t>SERP_ONLY</t>
        </is>
      </c>
      <c r="G3" s="3" t="inlineStr">
        <is>
          <t>Two US public query records; no paid volume, Search Console or on-site search export.</t>
        </is>
      </c>
      <c r="H3" s="3" t="inlineStr">
        <is>
          <t>Demand evidence remains SERP_ONLY, so no demand/volume claim is warranted.</t>
        </is>
      </c>
      <c r="I3" s="3" t="inlineStr">
        <is>
          <t>Keep demand claims qualitative; attach first-party or paid keyword evidence when available.</t>
        </is>
      </c>
      <c r="J3" s="3" t="inlineStr">
        <is>
          <t>Two US public query records; no paid volume, Search Console or on-site search export.</t>
        </is>
      </c>
      <c r="K3" s="3" t="inlineStr">
        <is>
          <t>New evidence is linked in Keyword_Map.</t>
        </is>
      </c>
    </row>
    <row r="4" ht="84" customHeight="1">
      <c r="A4" s="2" t="inlineStr">
        <is>
          <t>ISSUE-0003</t>
        </is>
      </c>
      <c r="B4" s="2" t="inlineStr">
        <is>
          <t>jeminise.com+fantasy-nature-tree-of-life-quilt-set-with-entwined-golden-roots-and-bedroom-setting-9ad124a9ad-9ad124a9ad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Two US public query records; no paid volume, Search Console or on-site search export.</t>
        </is>
      </c>
      <c r="H4" s="2" t="inlineStr">
        <is>
          <t>Demand evidence remains SERP_ONLY, so no demand/volume claim is warranted.</t>
        </is>
      </c>
      <c r="I4" s="2" t="inlineStr">
        <is>
          <t>Keep demand claims qualitative; attach first-party or paid keyword evidence when available.</t>
        </is>
      </c>
      <c r="J4" s="2" t="inlineStr">
        <is>
          <t>Two US public query records; no paid volume, Search Console or on-site search export.</t>
        </is>
      </c>
      <c r="K4" s="2" t="inlineStr">
        <is>
          <t>New evidence is linked in Keyword_Map.</t>
        </is>
      </c>
    </row>
    <row r="5" ht="84" customHeight="1">
      <c r="A5" s="3" t="inlineStr">
        <is>
          <t>ISSUE-0004</t>
        </is>
      </c>
      <c r="B5" s="3" t="inlineStr">
        <is>
          <t>jeminise.com+fantasy-nature-tree-of-life-quilt-set-with-twisted-tree-trunk-and-bedroom-4dbc5a5b98-4dbc5a5b98</t>
        </is>
      </c>
      <c r="C5" s="3" t="inlineStr"/>
      <c r="D5" s="3" t="inlineStr">
        <is>
          <t>LIMITATION</t>
        </is>
      </c>
      <c r="E5" s="3" t="inlineStr">
        <is>
          <t>keyword_evidence_level</t>
        </is>
      </c>
      <c r="F5" s="3" t="inlineStr">
        <is>
          <t>SERP_ONLY</t>
        </is>
      </c>
      <c r="G5" s="3" t="inlineStr">
        <is>
          <t>Two US public query records; no paid volume, Search Console or on-site search export.</t>
        </is>
      </c>
      <c r="H5" s="3" t="inlineStr">
        <is>
          <t>Demand evidence remains SERP_ONLY, so no demand/volume claim is warranted.</t>
        </is>
      </c>
      <c r="I5" s="3" t="inlineStr">
        <is>
          <t>Keep demand claims qualitative; attach first-party or paid keyword evidence when available.</t>
        </is>
      </c>
      <c r="J5" s="3" t="inlineStr">
        <is>
          <t>Two US public query records; no paid volume, Search Console or on-site search export.</t>
        </is>
      </c>
      <c r="K5" s="3" t="inlineStr">
        <is>
          <t>New evidence is linked in Keyword_Map.</t>
        </is>
      </c>
    </row>
    <row r="6" ht="84" customHeight="1">
      <c r="A6" s="2" t="inlineStr">
        <is>
          <t>ISSUE-0005</t>
        </is>
      </c>
      <c r="B6" s="2" t="inlineStr">
        <is>
          <t>jeminise.com+fantasy-comforter-set-with-dragon-and-bedroom-and-fire-and-spikes-9008eacaf3-9008eacaf3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Two US public query records; no paid volume, Search Console or on-site search export.</t>
        </is>
      </c>
      <c r="H6" s="2" t="inlineStr">
        <is>
          <t>Demand evidence remains SERP_ONLY, so no demand/volume claim is warranted.</t>
        </is>
      </c>
      <c r="I6" s="2" t="inlineStr">
        <is>
          <t>Keep demand claims qualitative; attach first-party or paid keyword evidence when available.</t>
        </is>
      </c>
      <c r="J6" s="2" t="inlineStr">
        <is>
          <t>Two US public query records; no paid volume, Search Console or on-site search export.</t>
        </is>
      </c>
      <c r="K6" s="2" t="inlineStr">
        <is>
          <t>New evidence is linked in Keyword_Map.</t>
        </is>
      </c>
    </row>
    <row r="7" ht="84" customHeight="1">
      <c r="A7" s="3" t="inlineStr">
        <is>
          <t>ISSUE-0006</t>
        </is>
      </c>
      <c r="B7" s="3" t="inlineStr">
        <is>
          <t>jeminise.com+fantasy-winged-dragon-comforter-set-with-starry-nebula-pattern-and-bedroom-setting-d228ce3712-d228ce3712</t>
        </is>
      </c>
      <c r="C7" s="3" t="inlineStr"/>
      <c r="D7" s="3" t="inlineStr">
        <is>
          <t>LIMITATION</t>
        </is>
      </c>
      <c r="E7" s="3" t="inlineStr">
        <is>
          <t>keyword_evidence_level</t>
        </is>
      </c>
      <c r="F7" s="3" t="inlineStr">
        <is>
          <t>SERP_ONLY</t>
        </is>
      </c>
      <c r="G7" s="3" t="inlineStr">
        <is>
          <t>Two US public query records; no paid volume, Search Console or on-site search export.</t>
        </is>
      </c>
      <c r="H7" s="3" t="inlineStr">
        <is>
          <t>Demand evidence remains SERP_ONLY, so no demand/volume claim is warranted.</t>
        </is>
      </c>
      <c r="I7" s="3" t="inlineStr">
        <is>
          <t>Keep demand claims qualitative; attach first-party or paid keyword evidence when available.</t>
        </is>
      </c>
      <c r="J7" s="3" t="inlineStr">
        <is>
          <t>Two US public query records; no paid volume, Search Console or on-site search export.</t>
        </is>
      </c>
      <c r="K7" s="3" t="inlineStr">
        <is>
          <t>New evidence is linked in Keyword_Map.</t>
        </is>
      </c>
    </row>
    <row r="8" ht="84" customHeight="1">
      <c r="A8" s="2" t="inlineStr">
        <is>
          <t>ISSUE-0007</t>
        </is>
      </c>
      <c r="B8" s="2" t="inlineStr">
        <is>
          <t>jeminise.com+fantasy-winged-dragon-comforter-set-with-volcanic-eruption-and-bedroom-258009c125-258009c125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Two US public query records; no paid volume, Search Console or on-site search export.</t>
        </is>
      </c>
      <c r="H8" s="2" t="inlineStr">
        <is>
          <t>Demand evidence remains SERP_ONLY, so no demand/volume claim is warranted.</t>
        </is>
      </c>
      <c r="I8" s="2" t="inlineStr">
        <is>
          <t>Keep demand claims qualitative; attach first-party or paid keyword evidence when available.</t>
        </is>
      </c>
      <c r="J8" s="2" t="inlineStr">
        <is>
          <t>Two US public query records; no paid volume, Search Console or on-site search export.</t>
        </is>
      </c>
      <c r="K8" s="2" t="inlineStr">
        <is>
          <t>New evidence is linked in Keyword_Map.</t>
        </is>
      </c>
    </row>
    <row r="9" ht="84" customHeight="1">
      <c r="A9" s="3" t="inlineStr">
        <is>
          <t>ISSUE-0008</t>
        </is>
      </c>
      <c r="B9" s="3" t="inlineStr">
        <is>
          <t>jeminise.com+floral-nature-cardinal-within-ornate-oval-frame-patchwork-winter-quilt-88ef309589-88ef309589</t>
        </is>
      </c>
      <c r="C9" s="3" t="inlineStr"/>
      <c r="D9" s="3" t="inlineStr">
        <is>
          <t>LIMITATION</t>
        </is>
      </c>
      <c r="E9" s="3" t="inlineStr">
        <is>
          <t>keyword_evidence_level</t>
        </is>
      </c>
      <c r="F9" s="3" t="inlineStr">
        <is>
          <t>SERP_ONLY</t>
        </is>
      </c>
      <c r="G9" s="3" t="inlineStr">
        <is>
          <t>Two US public query records; no paid volume, Search Console or on-site search export.</t>
        </is>
      </c>
      <c r="H9" s="3" t="inlineStr">
        <is>
          <t>Demand evidence remains SERP_ONLY, so no demand/volume claim is warranted.</t>
        </is>
      </c>
      <c r="I9" s="3" t="inlineStr">
        <is>
          <t>Keep demand claims qualitative; attach first-party or paid keyword evidence when available.</t>
        </is>
      </c>
      <c r="J9" s="3" t="inlineStr">
        <is>
          <t>Two US public query records; no paid volume, Search Console or on-site search export.</t>
        </is>
      </c>
      <c r="K9" s="3" t="inlineStr">
        <is>
          <t>New evidence is linked in Keyword_Map.</t>
        </is>
      </c>
    </row>
    <row r="10" ht="84" customHeight="1">
      <c r="A10" s="2" t="inlineStr">
        <is>
          <t>ISSUE-0009</t>
        </is>
      </c>
      <c r="B10" s="2" t="inlineStr">
        <is>
          <t>jeminise.com+folklore-tree-of-life-in-celtic-knot-quilt-40ab1f6113-40ab1f6113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Two US public query records; no paid volume, Search Console or on-site search export.</t>
        </is>
      </c>
      <c r="H10" s="2" t="inlineStr">
        <is>
          <t>Demand evidence remains SERP_ONLY, so no demand/volume claim is warranted.</t>
        </is>
      </c>
      <c r="I10" s="2" t="inlineStr">
        <is>
          <t>Keep demand claims qualitative; attach first-party or paid keyword evidence when available.</t>
        </is>
      </c>
      <c r="J10" s="2" t="inlineStr">
        <is>
          <t>Two US public query records; no paid volume, Search Console or on-site search export.</t>
        </is>
      </c>
      <c r="K10" s="2" t="inlineStr">
        <is>
          <t>New evidence is linked in Keyword_Map.</t>
        </is>
      </c>
    </row>
    <row r="11" ht="84" customHeight="1">
      <c r="A11" s="3" t="inlineStr">
        <is>
          <t>ISSUE-0010</t>
        </is>
      </c>
      <c r="B11" s="3" t="inlineStr">
        <is>
          <t>jeminise.com+fox-patchwork-pattern-quilt-set-animal-quilt-set-patchwork-style</t>
        </is>
      </c>
      <c r="C11" s="3" t="inlineStr"/>
      <c r="D11" s="3" t="inlineStr">
        <is>
          <t>LIMITATION</t>
        </is>
      </c>
      <c r="E11" s="3" t="inlineStr">
        <is>
          <t>keyword_evidence_level</t>
        </is>
      </c>
      <c r="F11" s="3" t="inlineStr">
        <is>
          <t>SERP_ONLY</t>
        </is>
      </c>
      <c r="G11" s="3" t="inlineStr">
        <is>
          <t>Two US public query records; no paid volume, Search Console or on-site search export.</t>
        </is>
      </c>
      <c r="H11" s="3" t="inlineStr">
        <is>
          <t>Demand evidence remains SERP_ONLY, so no demand/volume claim is warranted.</t>
        </is>
      </c>
      <c r="I11" s="3" t="inlineStr">
        <is>
          <t>Keep demand claims qualitative; attach first-party or paid keyword evidence when available.</t>
        </is>
      </c>
      <c r="J11" s="3" t="inlineStr">
        <is>
          <t>Two US public query records; no paid volume, Search Console or on-site search export.</t>
        </is>
      </c>
      <c r="K11" s="3" t="inlineStr">
        <is>
          <t>New evidence is linked in Keyword_Map.</t>
        </is>
      </c>
    </row>
  </sheetData>
  <autoFilter ref="A1:K11"/>
  <conditionalFormatting sqref="D2:D11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2026-09-08T02:37:57Z</dcterms:created>
  <dcterms:modified xmlns:dcterms="http://purl.org/dc/terms/" xmlns:xsi="http://www.w3.org/2001/XMLSchema-instance" xsi:type="dcterms:W3CDTF">2026-09-08T02:37:57Z</dcterms:modified>
</cp:coreProperties>
</file>