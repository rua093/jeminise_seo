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'QA_Summary'!$A$1:$C$19</definedName>
    <definedName name="_xlnm._FilterDatabase" localSheetId="1" hidden="1">'QA_Products'!$A$1:$Y$11</definedName>
    <definedName name="_xlnm._FilterDatabase" localSheetId="2" hidden="1">'QA_Criteria'!$A$1:$L$111</definedName>
    <definedName name="_xlnm._FilterDatabase" localSheetId="3" hidden="1">'QA_Images'!$A$1:$AA$63</definedName>
    <definedName name="_xlnm._FilterDatabase" localSheetId="4" hidden="1">'QA_Issues'!$A$1:$N$9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Generated from separate evidence/scoring dataset; no default scoring is assigned by report formulas.</t>
      </text>
    </comment>
  </commentList>
</comments>
</file>

<file path=xl/tables/table1.xml><?xml version="1.0" encoding="utf-8"?>
<table xmlns="http://schemas.openxmlformats.org/spreadsheetml/2006/main" id="1" name="QASummary" displayName="QASummary" ref="A1:C19" headerRowCount="1">
  <autoFilter ref="A1:C19"/>
  <tableColumns count="3">
    <tableColumn id="1" name="field"/>
    <tableColumn id="2" name="value"/>
    <tableColumn id="3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AProducts" displayName="QAProducts" ref="A1:Y11" headerRowCount="1">
  <autoFilter ref="A1:Y11"/>
  <tableColumns count="25">
    <tableColumn id="1" name="qa_run_id"/>
    <tableColumn id="2" name="inventory_position"/>
    <tableColumn id="3" name="product_key"/>
    <tableColumn id="4" name="product_id"/>
    <tableColumn id="5" name="handle"/>
    <tableColumn id="6" name="product_url"/>
    <tableColumn id="7" name="canonical_live"/>
    <tableColumn id="8" name="title_proposed_r5"/>
    <tableColumn id="9" name="meta_title_seo_r5"/>
    <tableColumn id="10" name="description_action"/>
    <tableColumn id="11" name="page_read"/>
    <tableColumn id="12" name="json_read"/>
    <tableColumn id="13" name="image_expected"/>
    <tableColumn id="14" name="image_rows_scored"/>
    <tableColumn id="15" name="visual_coverage"/>
    <tableColumn id="16" name="assessed_weight"/>
    <tableColumn id="17" name="verified_points"/>
    <tableColumn id="18" name="score_floor"/>
    <tableColumn id="19" name="score_ceiling"/>
    <tableColumn id="20" name="final_score"/>
    <tableColumn id="21" name="critical_count"/>
    <tableColumn id="22" name="major_count"/>
    <tableColumn id="23" name="status"/>
    <tableColumn id="24" name="issue_refs"/>
    <tableColumn id="25" name="evidence_ref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ACriteria" displayName="QACriteria" ref="A1:L111" headerRowCount="1">
  <autoFilter ref="A1:L111"/>
  <tableColumns count="12">
    <tableColumn id="1" name="criterion_id"/>
    <tableColumn id="2" name="qa_run_id"/>
    <tableColumn id="3" name="inventory_position"/>
    <tableColumn id="4" name="product_key"/>
    <tableColumn id="5" name="criterion"/>
    <tableColumn id="6" name="weight"/>
    <tableColumn id="7" name="rating"/>
    <tableColumn id="8" name="rating_value"/>
    <tableColumn id="9" name="verified_points"/>
    <tableColumn id="10" name="assessed_weight"/>
    <tableColumn id="11" name="reason"/>
    <tableColumn id="12" name="evidence_re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AImages" displayName="QAImages" ref="A1:AA63" headerRowCount="1">
  <autoFilter ref="A1:AA63"/>
  <tableColumns count="27">
    <tableColumn id="1" name="qa_image_key"/>
    <tableColumn id="2" name="qa_run_id"/>
    <tableColumn id="3" name="inventory_position"/>
    <tableColumn id="4" name="product_key"/>
    <tableColumn id="5" name="product_id"/>
    <tableColumn id="6" name="media_id"/>
    <tableColumn id="7" name="image_number"/>
    <tableColumn id="8" name="image_location"/>
    <tableColumn id="9" name="image_url"/>
    <tableColumn id="10" name="download_status"/>
    <tableColumn id="11" name="visual_opened"/>
    <tableColumn id="12" name="visual_observation_new"/>
    <tableColumn id="13" name="r5_observation_snapshot"/>
    <tableColumn id="14" name="alt_proposed_r5"/>
    <tableColumn id="15" name="IM1_rating"/>
    <tableColumn id="16" name="IM1_reason"/>
    <tableColumn id="17" name="IM2_rating"/>
    <tableColumn id="18" name="IM2_reason"/>
    <tableColumn id="19" name="IM3_rating"/>
    <tableColumn id="20" name="IM3_reason"/>
    <tableColumn id="21" name="IM4_rating"/>
    <tableColumn id="22" name="IM4_reason"/>
    <tableColumn id="23" name="image_verified_points"/>
    <tableColumn id="24" name="image_assessed_weight"/>
    <tableColumn id="25" name="image_coverage"/>
    <tableColumn id="26" name="issue_refs"/>
    <tableColumn id="27" name="evidence_re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AIssues" displayName="QAIssues" ref="A1:N9" headerRowCount="1">
  <autoFilter ref="A1:N9"/>
  <tableColumns count="14">
    <tableColumn id="1" name="issue_id"/>
    <tableColumn id="2" name="qa_run_id"/>
    <tableColumn id="3" name="inventory_position"/>
    <tableColumn id="4" name="product_key"/>
    <tableColumn id="5" name="severity"/>
    <tableColumn id="6" name="critical"/>
    <tableColumn id="7" name="history_status"/>
    <tableColumn id="8" name="summary"/>
    <tableColumn id="9" name="current_value"/>
    <tableColumn id="10" name="source_observation"/>
    <tableColumn id="11" name="reason"/>
    <tableColumn id="12" name="evidence_ref"/>
    <tableColumn id="13" name="suggested_fix"/>
    <tableColumn id="14" name="retest_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sutls\jeminise.com\20260906_234129\revisions\qa_batch_004_r5\SEO_Product_Optimization_qa_batch_004_r5.xlsx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mas-cardinals-near-snowy-birdhouse-patchwork-floral-quilt-b90d55a935-b90d55a935" TargetMode="External" Id="rId1"/><Relationship Type="http://schemas.openxmlformats.org/officeDocument/2006/relationships/hyperlink" Target="https://jeminise.com/products/christmas-cardinals-on-snowy-branches-patchwork-winter-quilt-8fa1a9e2ed-8fa1a9e2ed" TargetMode="External" Id="rId2"/><Relationship Type="http://schemas.openxmlformats.org/officeDocument/2006/relationships/hyperlink" Target="https://jeminise.com/products/cow-with-landscape-patchwork-quilt-animal-farmhouse-printed-quilt-set" TargetMode="External" Id="rId3"/><Relationship Type="http://schemas.openxmlformats.org/officeDocument/2006/relationships/hyperlink" Target="https://jeminise.com/products/crocodile-patchwork-printed-quilts-animal-patchwork-bedding" TargetMode="External" Id="rId4"/><Relationship Type="http://schemas.openxmlformats.org/officeDocument/2006/relationships/hyperlink" Target="https://jeminise.com/products/custom-retro-football-art-bedding-set-c66211cf75-c66211cf75" TargetMode="External" Id="rId5"/><Relationship Type="http://schemas.openxmlformats.org/officeDocument/2006/relationships/hyperlink" Target="https://jeminise.com/products/custom-american-football-close-up-on-grunge-vintage-comforter-26540e3264-26540e3264" TargetMode="External" Id="rId6"/><Relationship Type="http://schemas.openxmlformats.org/officeDocument/2006/relationships/hyperlink" Target="https://jeminise.com/products/custom-american-football-on-cosmic-background-vintage-comforter-62a3849621-62a3849621" TargetMode="External" Id="rId7"/><Relationship Type="http://schemas.openxmlformats.org/officeDocument/2006/relationships/hyperlink" Target="https://jeminise.com/products/custom-american-football-on-usa-flag-background-comforter-703a7c0d82-703a7c0d82" TargetMode="External" Id="rId8"/><Relationship Type="http://schemas.openxmlformats.org/officeDocument/2006/relationships/hyperlink" Target="https://jeminise.com/products/custom-american-football-with-paint-splash-background-vintage-comforter-da0e1d5bf1-da0e1d5bf1" TargetMode="External" Id="rId9"/><Relationship Type="http://schemas.openxmlformats.org/officeDocument/2006/relationships/hyperlink" Target="https://jeminise.com/products/custom-american-football-with-patriotic-flag-comforter-4a3a1ed3c9-4a3a1ed3c9" TargetMode="External" Id="rId10"/><Relationship Type="http://schemas.openxmlformats.org/officeDocument/2006/relationships/table" Target="/xl/tables/table2.xml" Id="rId1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efa39b8e586dae0db27829a045f8d696721e4c0e044144b214323829fbee46b.jpg?v=1785099259" TargetMode="External" Id="rId1"/><Relationship Type="http://schemas.openxmlformats.org/officeDocument/2006/relationships/hyperlink" Target="https://cdn.shopify.com/s/files/1/0792/5098/1063/files/817cf504495341989c34e5153f75779357b3dd16c9af88d5e8f16bf5cdd1d8a4.jpg?v=1785099259" TargetMode="External" Id="rId2"/><Relationship Type="http://schemas.openxmlformats.org/officeDocument/2006/relationships/hyperlink" Target="https://cdn.shopify.com/s/files/1/0792/5098/1063/files/192d8a6eed2602b9a36fbbd7936b0d70ef3680e4dd38270f22af78ba5c23bb4a.jpg?v=1785099259" TargetMode="External" Id="rId3"/><Relationship Type="http://schemas.openxmlformats.org/officeDocument/2006/relationships/hyperlink" Target="https://cdn.shopify.com/s/files/1/0792/5098/1063/files/a5f492aee10aae43511cc5e9a46710cc38afe374b23731941e7748005cf44564.jpg?v=1785099259" TargetMode="External" Id="rId4"/><Relationship Type="http://schemas.openxmlformats.org/officeDocument/2006/relationships/hyperlink" Target="https://cdn.shopify.com/s/files/1/0792/5098/1063/files/578ac27946027e8e5ec1b6c4efdccc50d46e3d6182eed1ca0e62799fb3b416fd.jpg?v=1785099259" TargetMode="External" Id="rId5"/><Relationship Type="http://schemas.openxmlformats.org/officeDocument/2006/relationships/hyperlink" Target="https://cdn.shopify.com/s/files/1/0792/5098/1063/files/17b3827a8c3b4dbbd608b08c3534148427ac4397354f3f0fe053ed23086269e8.jpg?v=1785099259" TargetMode="External" Id="rId6"/><Relationship Type="http://schemas.openxmlformats.org/officeDocument/2006/relationships/hyperlink" Target="https://cdn.shopify.com/s/files/1/0792/5098/1063/files/24dc7edea95f70726f65b933a6f8c4826cdc3c896050c2c5109926d64325dd21.jpg?v=1785099258" TargetMode="External" Id="rId7"/><Relationship Type="http://schemas.openxmlformats.org/officeDocument/2006/relationships/hyperlink" Target="https://cdn.shopify.com/s/files/1/0792/5098/1063/files/dac06806abe736aaddf0257ef47ee3581ffb682f1ee70078a493eb9381b34f9f.jpg?v=1785098963" TargetMode="External" Id="rId8"/><Relationship Type="http://schemas.openxmlformats.org/officeDocument/2006/relationships/hyperlink" Target="https://cdn.shopify.com/s/files/1/0792/5098/1063/files/ab7e4f9484e52e83891e552e58d6a27e151a62e654a01667625d8c86bd6a3295.jpg?v=1785098963" TargetMode="External" Id="rId9"/><Relationship Type="http://schemas.openxmlformats.org/officeDocument/2006/relationships/hyperlink" Target="https://cdn.shopify.com/s/files/1/0792/5098/1063/files/af11f2e375dabf355f9318fb1eea3b312db7cd0ed95fb4b96e7b537d184a9d42.jpg?v=1785098963" TargetMode="External" Id="rId10"/><Relationship Type="http://schemas.openxmlformats.org/officeDocument/2006/relationships/hyperlink" Target="https://cdn.shopify.com/s/files/1/0792/5098/1063/files/f940efaf872da7294b0ec99795596430c32c922db66b35243684820e65417fb3.jpg?v=1785098963" TargetMode="External" Id="rId11"/><Relationship Type="http://schemas.openxmlformats.org/officeDocument/2006/relationships/hyperlink" Target="https://cdn.shopify.com/s/files/1/0792/5098/1063/files/e0cc67382e14f285ae5b93b57a9e0bfb1a6da6368549d710aed5a534af0f3e89.jpg?v=1785098963" TargetMode="External" Id="rId12"/><Relationship Type="http://schemas.openxmlformats.org/officeDocument/2006/relationships/hyperlink" Target="https://cdn.shopify.com/s/files/1/0792/5098/1063/files/c125a162b81ac7a0917f20a9f0ef6de99ea1d1287c4b81750b47673eae384743.jpg?v=1787233735" TargetMode="External" Id="rId13"/><Relationship Type="http://schemas.openxmlformats.org/officeDocument/2006/relationships/hyperlink" Target="https://cdn.shopify.com/s/files/1/0792/5098/1063/files/7a88284bac324abbd9e85d02486e08e699c97d58643e1069e6adbbc0aaa005b3.jpg?v=1787233735" TargetMode="External" Id="rId14"/><Relationship Type="http://schemas.openxmlformats.org/officeDocument/2006/relationships/hyperlink" Target="https://cdn.shopify.com/s/files/1/0792/5098/1063/files/f32a0ab9ff68ed03ce7eeb22aba59688cf62bd847260ddb6328da301eba420f1.jpg?v=1787233735" TargetMode="External" Id="rId15"/><Relationship Type="http://schemas.openxmlformats.org/officeDocument/2006/relationships/hyperlink" Target="https://cdn.shopify.com/s/files/1/0792/5098/1063/files/1bbca18f85bad17a4319e22b1226d6662eb2bab7b67726b2423904e5d0e36838.jpg?v=1787233735" TargetMode="External" Id="rId16"/><Relationship Type="http://schemas.openxmlformats.org/officeDocument/2006/relationships/hyperlink" Target="https://cdn.shopify.com/s/files/1/0792/5098/1063/files/32dcd15df2916d5b1b8d8d68f2f607c4714e8c2431775c9aca2dfd45240abd6f.jpg?v=1787233735" TargetMode="External" Id="rId17"/><Relationship Type="http://schemas.openxmlformats.org/officeDocument/2006/relationships/hyperlink" Target="https://cdn.shopify.com/s/files/1/0792/5098/1063/files/dc70b03e88939e50ced310aa559c8361dac40ba03af7d4e5a16ecc0308756e3b.jpg?v=1787233735" TargetMode="External" Id="rId18"/><Relationship Type="http://schemas.openxmlformats.org/officeDocument/2006/relationships/hyperlink" Target="https://cdn.shopify.com/s/files/1/0792/5098/1063/files/c37475656bf98ea019e9e9887fa4be4c65af24e59e440b0e459561c573680aa0.jpg?v=1787233735" TargetMode="External" Id="rId19"/><Relationship Type="http://schemas.openxmlformats.org/officeDocument/2006/relationships/hyperlink" Target="https://cdn.shopify.com/s/files/1/0792/5098/1063/files/3c7bf8f759fde9a601188dc9ea3bfb0f79f2706824b7f370fe34e30020f2a202.jpg?v=1787233713" TargetMode="External" Id="rId20"/><Relationship Type="http://schemas.openxmlformats.org/officeDocument/2006/relationships/hyperlink" Target="https://cdn.shopify.com/s/files/1/0792/5098/1063/files/45d1fdc812fc32fda9640edc194f4f3eb069b49c9bad423b59abfe172e4a5c89.jpg?v=1787233712" TargetMode="External" Id="rId21"/><Relationship Type="http://schemas.openxmlformats.org/officeDocument/2006/relationships/hyperlink" Target="https://cdn.shopify.com/s/files/1/0792/5098/1063/files/3a2053c767418069e7798a6396238963761e34d481d46bd9d676cc7a722ce425.jpg?v=1787233713" TargetMode="External" Id="rId22"/><Relationship Type="http://schemas.openxmlformats.org/officeDocument/2006/relationships/hyperlink" Target="https://cdn.shopify.com/s/files/1/0792/5098/1063/files/ca1530c052c368c7b33901d9e2fd47aa2d3c8729c2b6a8e94b515887302df3a0.jpg?v=1787233712" TargetMode="External" Id="rId23"/><Relationship Type="http://schemas.openxmlformats.org/officeDocument/2006/relationships/hyperlink" Target="https://cdn.shopify.com/s/files/1/0792/5098/1063/files/1fa8058540449ec4eb68c35fe7ec37e0856cc71fc7a5029d3951ed6945165bfc.jpg?v=1787233713" TargetMode="External" Id="rId24"/><Relationship Type="http://schemas.openxmlformats.org/officeDocument/2006/relationships/hyperlink" Target="https://cdn.shopify.com/s/files/1/0792/5098/1063/files/71e21ed6c41ef40003dcc207eada8ae5687d7cdc52c7c96941fafe821b96cf71.jpg?v=1787233712" TargetMode="External" Id="rId25"/><Relationship Type="http://schemas.openxmlformats.org/officeDocument/2006/relationships/hyperlink" Target="https://cdn.shopify.com/s/files/1/0792/5098/1063/files/2e61c65733910ced1b3279c5c08d3d803cc79f9b416df50e273ff128a85b4f69.jpg?v=1787233712" TargetMode="External" Id="rId26"/><Relationship Type="http://schemas.openxmlformats.org/officeDocument/2006/relationships/hyperlink" Target="https://cdn.shopify.com/s/files/1/0792/5098/1063/files/cd93064cff49abd094a4b54d4c8521f964011ef3177c132c9e7664b7ae385495.jpg?v=1785101924" TargetMode="External" Id="rId27"/><Relationship Type="http://schemas.openxmlformats.org/officeDocument/2006/relationships/hyperlink" Target="https://cdn.shopify.com/s/files/1/0792/5098/1063/files/384ec0bb85a1c394b826a8ce0cc726e412f6f9248512418013abccd1c39244e3.jpg?v=1785101924" TargetMode="External" Id="rId28"/><Relationship Type="http://schemas.openxmlformats.org/officeDocument/2006/relationships/hyperlink" Target="https://cdn.shopify.com/s/files/1/0792/5098/1063/files/16f7293cbefa5743a35b2e6316a5a114e5c052d08151e367dafd26aa5e2e542b_1645c7b1-7dd0-4432-8f0e-842386b9a1b7.jpg?v=1785101924" TargetMode="External" Id="rId29"/><Relationship Type="http://schemas.openxmlformats.org/officeDocument/2006/relationships/hyperlink" Target="https://cdn.shopify.com/s/files/1/0792/5098/1063/files/3e41b1b3613ae8424f256e83517163fa8317c8d737d739882986d6ecc0324617.jpg?v=1785101924" TargetMode="External" Id="rId30"/><Relationship Type="http://schemas.openxmlformats.org/officeDocument/2006/relationships/hyperlink" Target="https://cdn.shopify.com/s/files/1/0792/5098/1063/files/7c006bddc94d4763c71c8376307e195c1bbce73b8c802ec73ac5a8cef1291262_a3fb9a4f-ebe5-48cb-aa4f-5ac39a8a9cdc.jpg?v=1785101924" TargetMode="External" Id="rId31"/><Relationship Type="http://schemas.openxmlformats.org/officeDocument/2006/relationships/hyperlink" Target="https://cdn.shopify.com/s/files/1/0792/5098/1063/files/e5cad84edb4d7bf77c48fd7c8e52eb3b73f04eba8bf177671fd8a059c59422e8_0a0a59ee-c0ee-4995-bf6a-e815a670b8e3.jpg?v=1785101924" TargetMode="External" Id="rId32"/><Relationship Type="http://schemas.openxmlformats.org/officeDocument/2006/relationships/hyperlink" Target="https://cdn.shopify.com/s/files/1/0792/5098/1063/files/11f76d2e307e1c50766e2c6b95e8a9272e0546226ca0a5996ceecb7ad1d1e36b.jpg?v=1785100474" TargetMode="External" Id="rId33"/><Relationship Type="http://schemas.openxmlformats.org/officeDocument/2006/relationships/hyperlink" Target="https://cdn.shopify.com/s/files/1/0792/5098/1063/files/a086ef784a942cd52629fe736719d7e523332dd679d2ff85ee39f4db573b7877.jpg?v=1785100474" TargetMode="External" Id="rId34"/><Relationship Type="http://schemas.openxmlformats.org/officeDocument/2006/relationships/hyperlink" Target="https://cdn.shopify.com/s/files/1/0792/5098/1063/files/16f7293cbefa5743a35b2e6316a5a114e5c052d08151e367dafd26aa5e2e542b_f61d59c9-1e61-473b-93e0-490c63ed9242.jpg?v=1785100474" TargetMode="External" Id="rId35"/><Relationship Type="http://schemas.openxmlformats.org/officeDocument/2006/relationships/hyperlink" Target="https://cdn.shopify.com/s/files/1/0792/5098/1063/files/1bb27dd96fe081443e8b20966cb77e2c7e536a5f697d54f3941ab027a2445269.jpg?v=1785100474" TargetMode="External" Id="rId36"/><Relationship Type="http://schemas.openxmlformats.org/officeDocument/2006/relationships/hyperlink" Target="https://cdn.shopify.com/s/files/1/0792/5098/1063/files/7c006bddc94d4763c71c8376307e195c1bbce73b8c802ec73ac5a8cef1291262_f556ba8b-082d-45f0-9344-319cc291850f.jpg?v=1785100474" TargetMode="External" Id="rId37"/><Relationship Type="http://schemas.openxmlformats.org/officeDocument/2006/relationships/hyperlink" Target="https://cdn.shopify.com/s/files/1/0792/5098/1063/files/e5cad84edb4d7bf77c48fd7c8e52eb3b73f04eba8bf177671fd8a059c59422e8_e68e02cc-c567-4e1f-93b4-3efe2b03219d.jpg?v=1785100474" TargetMode="External" Id="rId38"/><Relationship Type="http://schemas.openxmlformats.org/officeDocument/2006/relationships/hyperlink" Target="https://cdn.shopify.com/s/files/1/0792/5098/1063/files/b38409cca05f668cdad57ab52d40b4b00fb8c161ab5af391eaf7a4ce3b8892f2.jpg?v=1785100295" TargetMode="External" Id="rId39"/><Relationship Type="http://schemas.openxmlformats.org/officeDocument/2006/relationships/hyperlink" Target="https://cdn.shopify.com/s/files/1/0792/5098/1063/files/541f7a11cb182f93e5c63ff4db954de7b224c4f859e24518f310d671cca10275.jpg?v=1785100295" TargetMode="External" Id="rId40"/><Relationship Type="http://schemas.openxmlformats.org/officeDocument/2006/relationships/hyperlink" Target="https://cdn.shopify.com/s/files/1/0792/5098/1063/files/9aa9c35ad239e2defe80d680bfc9c3ac770143ee38bd0c93c9b9e1b1dc297f8c_36262fc6-efaa-4cca-aed1-b9455ede2ae8.jpg?v=1785100295" TargetMode="External" Id="rId41"/><Relationship Type="http://schemas.openxmlformats.org/officeDocument/2006/relationships/hyperlink" Target="https://cdn.shopify.com/s/files/1/0792/5098/1063/files/7a84d6352dbc1e78ebe1fc0d5c248b6dada28fcf2bc3ae2d6caf4e1511373e35.jpg?v=1785100295" TargetMode="External" Id="rId42"/><Relationship Type="http://schemas.openxmlformats.org/officeDocument/2006/relationships/hyperlink" Target="https://cdn.shopify.com/s/files/1/0792/5098/1063/files/1bbfbfcf6d26cde4c41dc9cd48a48d8537c348d2d8ae8239cde2198dbac1d7d5_2f6333ff-2210-49b8-95cd-4a58a2c3229b.jpg?v=1785100295" TargetMode="External" Id="rId43"/><Relationship Type="http://schemas.openxmlformats.org/officeDocument/2006/relationships/hyperlink" Target="https://cdn.shopify.com/s/files/1/0792/5098/1063/files/b875bfc16d8349abe649f457b947dd0efc388f0aa8df8cf243abee1bb432b085_894668af-b5c7-4cad-b078-ede9e4dae69a.jpg?v=1785100295" TargetMode="External" Id="rId44"/><Relationship Type="http://schemas.openxmlformats.org/officeDocument/2006/relationships/hyperlink" Target="https://cdn.shopify.com/s/files/1/0792/5098/1063/files/e5722218140b0bda49ea2f5691bd969b1bc3066cad7c3a0bb0771d1509e66d50.jpg?v=1785101771" TargetMode="External" Id="rId45"/><Relationship Type="http://schemas.openxmlformats.org/officeDocument/2006/relationships/hyperlink" Target="https://cdn.shopify.com/s/files/1/0792/5098/1063/files/5583b1802d78e566880d8695a5c0bcdf0bb685b148b271042c5b29db02caaf18.jpg?v=1785101770" TargetMode="External" Id="rId46"/><Relationship Type="http://schemas.openxmlformats.org/officeDocument/2006/relationships/hyperlink" Target="https://cdn.shopify.com/s/files/1/0792/5098/1063/files/16f7293cbefa5743a35b2e6316a5a114e5c052d08151e367dafd26aa5e2e542b_50c40cd4-4737-483e-b146-d01efedc6b1f.jpg?v=1785101770" TargetMode="External" Id="rId47"/><Relationship Type="http://schemas.openxmlformats.org/officeDocument/2006/relationships/hyperlink" Target="https://cdn.shopify.com/s/files/1/0792/5098/1063/files/c05fa3057772437a9c016de35e8829c295fa0f9aa5ab3e4cef2ef36b835bcecb.jpg?v=1785101770" TargetMode="External" Id="rId48"/><Relationship Type="http://schemas.openxmlformats.org/officeDocument/2006/relationships/hyperlink" Target="https://cdn.shopify.com/s/files/1/0792/5098/1063/files/7c006bddc94d4763c71c8376307e195c1bbce73b8c802ec73ac5a8cef1291262_e42da11c-22a6-4e3d-bb70-996edab6cf62.jpg?v=1785101771" TargetMode="External" Id="rId49"/><Relationship Type="http://schemas.openxmlformats.org/officeDocument/2006/relationships/hyperlink" Target="https://cdn.shopify.com/s/files/1/0792/5098/1063/files/e5cad84edb4d7bf77c48fd7c8e52eb3b73f04eba8bf177671fd8a059c59422e8_83f80854-ef3b-498b-9687-6e0c3210b351.jpg?v=1785101770" TargetMode="External" Id="rId50"/><Relationship Type="http://schemas.openxmlformats.org/officeDocument/2006/relationships/hyperlink" Target="https://cdn.shopify.com/s/files/1/0792/5098/1063/files/f9e8536c20f2dc19107c6fd69a43535c4bb88bac4323fd1ee6ac49a2601099d3.jpg?v=1785102312" TargetMode="External" Id="rId51"/><Relationship Type="http://schemas.openxmlformats.org/officeDocument/2006/relationships/hyperlink" Target="https://cdn.shopify.com/s/files/1/0792/5098/1063/files/928eb50ae3f1bc7e4d40765cc2350f1fd1aba1a4ed6c886ee957ba75876d92ff.jpg?v=1785102312" TargetMode="External" Id="rId52"/><Relationship Type="http://schemas.openxmlformats.org/officeDocument/2006/relationships/hyperlink" Target="https://cdn.shopify.com/s/files/1/0792/5098/1063/files/16f7293cbefa5743a35b2e6316a5a114e5c052d08151e367dafd26aa5e2e542b_1acfa0ab-cba8-45fa-a4cf-f1fd84ab628b.jpg?v=1785102312" TargetMode="External" Id="rId53"/><Relationship Type="http://schemas.openxmlformats.org/officeDocument/2006/relationships/hyperlink" Target="https://cdn.shopify.com/s/files/1/0792/5098/1063/files/fcef7f349baccd1d4b9d05508c169228825a3e4845ac14a8f93db8f652db7186.jpg?v=1785102312" TargetMode="External" Id="rId54"/><Relationship Type="http://schemas.openxmlformats.org/officeDocument/2006/relationships/hyperlink" Target="https://cdn.shopify.com/s/files/1/0792/5098/1063/files/7c006bddc94d4763c71c8376307e195c1bbce73b8c802ec73ac5a8cef1291262_e57e2d4f-2a74-4a7f-9a82-b7c808f9b0cc.jpg?v=1785102312" TargetMode="External" Id="rId55"/><Relationship Type="http://schemas.openxmlformats.org/officeDocument/2006/relationships/hyperlink" Target="https://cdn.shopify.com/s/files/1/0792/5098/1063/files/e5cad84edb4d7bf77c48fd7c8e52eb3b73f04eba8bf177671fd8a059c59422e8_e4232455-7802-4105-bf12-f40717779408.jpg?v=1785102312" TargetMode="External" Id="rId56"/><Relationship Type="http://schemas.openxmlformats.org/officeDocument/2006/relationships/hyperlink" Target="https://cdn.shopify.com/s/files/1/0792/5098/1063/files/a6aedfb7f9b81449b401a91a0409992efbba09d035e85d8e5cc7da9802dc0589.jpg?v=1785101840" TargetMode="External" Id="rId57"/><Relationship Type="http://schemas.openxmlformats.org/officeDocument/2006/relationships/hyperlink" Target="https://cdn.shopify.com/s/files/1/0792/5098/1063/files/c68aa5c462e7e6a06d4fab3fb3a9399d56e5454756be9390c9f0a2573c8bb7ae.jpg?v=1785101840" TargetMode="External" Id="rId58"/><Relationship Type="http://schemas.openxmlformats.org/officeDocument/2006/relationships/hyperlink" Target="https://cdn.shopify.com/s/files/1/0792/5098/1063/files/16f7293cbefa5743a35b2e6316a5a114e5c052d08151e367dafd26aa5e2e542b_4cbeb11e-e4ef-4f2d-8aa3-de326b38c11b.jpg?v=1785101840" TargetMode="External" Id="rId59"/><Relationship Type="http://schemas.openxmlformats.org/officeDocument/2006/relationships/hyperlink" Target="https://cdn.shopify.com/s/files/1/0792/5098/1063/files/56be7714426e11e337618ffdd9b78d22e6d77bcea91f35de4b20937187994964.jpg?v=1785101840" TargetMode="External" Id="rId60"/><Relationship Type="http://schemas.openxmlformats.org/officeDocument/2006/relationships/hyperlink" Target="https://cdn.shopify.com/s/files/1/0792/5098/1063/files/7c006bddc94d4763c71c8376307e195c1bbce73b8c802ec73ac5a8cef1291262_66044d52-aa86-47c2-84d2-beed979c5ac0.jpg?v=1785101840" TargetMode="External" Id="rId61"/><Relationship Type="http://schemas.openxmlformats.org/officeDocument/2006/relationships/hyperlink" Target="https://cdn.shopify.com/s/files/1/0792/5098/1063/files/e5cad84edb4d7bf77c48fd7c8e52eb3b73f04eba8bf177671fd8a059c59422e8_e9a8f6c7-84a8-4f8e-a21c-61b347436f7e.jpg?v=1785101840" TargetMode="External" Id="rId62"/><Relationship Type="http://schemas.openxmlformats.org/officeDocument/2006/relationships/table" Target="/xl/tables/table4.xml" Id="rId6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</t>
        </is>
      </c>
    </row>
    <row r="2" ht="60" customHeight="1">
      <c r="A2" s="2" t="inlineStr">
        <is>
          <t>qa_run_id</t>
        </is>
      </c>
      <c r="B2" s="2" t="inlineStr">
        <is>
          <t>20260909_154500</t>
        </is>
      </c>
      <c r="C2" s="2" t="inlineStr">
        <is>
          <t>New independent run; awaiting_confirmation=true</t>
        </is>
      </c>
    </row>
    <row r="3" ht="60" customHeight="1">
      <c r="A3" s="2" t="inlineStr">
        <is>
          <t>batch</t>
        </is>
      </c>
      <c r="B3" s="2" t="inlineStr">
        <is>
          <t>qa_batch_004</t>
        </is>
      </c>
      <c r="C3" s="2" t="inlineStr">
        <is>
          <t>Only batch 04 positions 31-40</t>
        </is>
      </c>
    </row>
    <row r="4" ht="60" customHeight="1">
      <c r="A4" s="2" t="inlineStr">
        <is>
          <t>source_workbook</t>
        </is>
      </c>
      <c r="B4" s="2" t="inlineStr">
        <is>
          <t>resutls\jeminise.com\20260906_234129\revisions\qa_batch_004_r5\SEO_Product_Optimization_qa_batch_004_r5.xlsx</t>
        </is>
      </c>
      <c r="C4" s="2" t="inlineStr"/>
    </row>
    <row r="5" ht="60" customHeight="1">
      <c r="A5" s="2" t="inlineStr">
        <is>
          <t>source_sha256_before</t>
        </is>
      </c>
      <c r="B5" s="2" t="inlineStr">
        <is>
          <t>F8E626867914229BF74FCFB13F4746B3103E08697DD69005E891661C8418B71D</t>
        </is>
      </c>
      <c r="C5" s="2" t="inlineStr"/>
    </row>
    <row r="6" ht="60" customHeight="1">
      <c r="A6" s="2" t="inlineStr">
        <is>
          <t>source_sha256_after</t>
        </is>
      </c>
      <c r="B6" s="2" t="inlineStr">
        <is>
          <t>F8E626867914229BF74FCFB13F4746B3103E08697DD69005E891661C8418B71D</t>
        </is>
      </c>
      <c r="C6" s="2" t="inlineStr"/>
    </row>
    <row r="7" ht="60" customHeight="1">
      <c r="A7" s="2" t="inlineStr">
        <is>
          <t>market</t>
        </is>
      </c>
      <c r="B7" s="2" t="inlineStr">
        <is>
          <t>US</t>
        </is>
      </c>
      <c r="C7" s="2" t="inlineStr"/>
    </row>
    <row r="8" ht="60" customHeight="1">
      <c r="A8" s="2" t="inlineStr">
        <is>
          <t>language</t>
        </is>
      </c>
      <c r="B8" s="2" t="inlineStr">
        <is>
          <t>English</t>
        </is>
      </c>
      <c r="C8" s="2" t="inlineStr"/>
    </row>
    <row r="9" ht="60" customHeight="1">
      <c r="A9" s="2" t="inlineStr">
        <is>
          <t>prompt_rubric_version</t>
        </is>
      </c>
      <c r="B9" s="2" t="inlineStr">
        <is>
          <t>prompt_qa.md + user rubric 2026-09-09</t>
        </is>
      </c>
      <c r="C9" s="2" t="inlineStr"/>
    </row>
    <row r="10" ht="60" customHeight="1">
      <c r="A10" s="2" t="inlineStr">
        <is>
          <t>product_keys</t>
        </is>
      </c>
      <c r="B10" s="2">
        <f>COUNTA(QA_Products!C2:C11)</f>
        <v>10</v>
      </c>
      <c r="C10" s="2" t="inlineStr">
        <is>
          <t>Expected 10</t>
        </is>
      </c>
    </row>
    <row r="11" ht="60" customHeight="1">
      <c r="A11" s="2" t="inlineStr">
        <is>
          <t>criteria_rows</t>
        </is>
      </c>
      <c r="B11" s="2">
        <f>COUNTA(QA_Criteria!A2:A111)</f>
        <v>110</v>
      </c>
      <c r="C11" s="2" t="inlineStr">
        <is>
          <t>Expected 110</t>
        </is>
      </c>
    </row>
    <row r="12" ht="60" customHeight="1">
      <c r="A12" s="2" t="inlineStr">
        <is>
          <t>image_rows</t>
        </is>
      </c>
      <c r="B12" s="2">
        <f>COUNTA(QA_Images!A2:A63)</f>
        <v>62</v>
      </c>
      <c r="C12" s="2" t="inlineStr">
        <is>
          <t>Expected 62 baseline images</t>
        </is>
      </c>
    </row>
    <row r="13" ht="60" customHeight="1">
      <c r="A13" s="2" t="inlineStr">
        <is>
          <t>keyword_rows_locked</t>
        </is>
      </c>
      <c r="B13" s="2" t="n">
        <v>40</v>
      </c>
      <c r="C13" s="2" t="inlineStr">
        <is>
          <t>Source workbook locked by product_key</t>
        </is>
      </c>
    </row>
    <row r="14" ht="60" customHeight="1">
      <c r="A14" s="2" t="inlineStr">
        <is>
          <t>buyer_rows_locked</t>
        </is>
      </c>
      <c r="B14" s="2" t="n">
        <v>10</v>
      </c>
      <c r="C14" s="2" t="inlineStr">
        <is>
          <t>Source workbook locked by product_key</t>
        </is>
      </c>
    </row>
    <row r="15" ht="60" customHeight="1">
      <c r="A15" s="2" t="inlineStr">
        <is>
          <t>evidence_rows_locked</t>
        </is>
      </c>
      <c r="B15" s="2" t="n">
        <v>10</v>
      </c>
      <c r="C15" s="2" t="inlineStr">
        <is>
          <t>Source workbook locked by product_key</t>
        </is>
      </c>
    </row>
    <row r="16" ht="60" customHeight="1">
      <c r="A16" s="2" t="inlineStr">
        <is>
          <t>batch_average_final</t>
        </is>
      </c>
      <c r="B16" s="2">
        <f>AVERAGE(QA_Products!T2:T11)</f>
        <v>87.25</v>
      </c>
      <c r="C16" s="2" t="inlineStr">
        <is>
          <t>Only valid because all 10 complete</t>
        </is>
      </c>
    </row>
    <row r="17" ht="60" customHeight="1">
      <c r="A17" s="2" t="inlineStr">
        <is>
          <t>batch_result</t>
        </is>
      </c>
      <c r="B17" s="2" t="str">
        <f>IF(COUNTIF(QA_Products!W2:W11,"QA_INCOMPLETE")&gt;0,"QA_INCOMPLETE",IF(COUNTIF(QA_Products!W2:W11,"QA_FAIL")&gt;0,"NOT_PASSED",IF(COUNTIF(QA_Products!W2:W11,"QA_REVISE")&gt;0,"NEEDS_REVISION","PASSED")))</f>
        <v>NEEDS_REVISION</v>
      </c>
      <c r="C17" s="2" t="inlineStr"/>
    </row>
    <row r="18" ht="60" customHeight="1">
      <c r="A18" s="2" t="inlineStr">
        <is>
          <t>status_counts</t>
        </is>
      </c>
      <c r="B18" s="2" t="str">
        <f>TEXTJOIN("; ",TRUE,"PASS="&amp;COUNTIF(QA_Products!W2:W11,"QA_PASS"),"REVISE="&amp;COUNTIF(QA_Products!W2:W11,"QA_REVISE"),"FAIL="&amp;COUNTIF(QA_Products!W2:W11,"QA_FAIL"),"INCOMPLETE="&amp;COUNTIF(QA_Products!W2:W11,"QA_INCOMPLETE"))</f>
        <v>PASS=3; REVISE=7; FAIL=0; INCOMPLETE=0</v>
      </c>
      <c r="C18" s="2" t="inlineStr"/>
    </row>
    <row r="19" ht="60" customHeight="1">
      <c r="A19" s="2" t="inlineStr">
        <is>
          <t>awaiting_confirmation</t>
        </is>
      </c>
      <c r="B19" s="2" t="b">
        <v>1</v>
      </c>
      <c r="C19" s="2" t="inlineStr">
        <is>
          <t>Stop after batch 04</t>
        </is>
      </c>
    </row>
  </sheetData>
  <autoFilter ref="A1:C19"/>
  <hyperlinks>
    <hyperlink ref="B4" ns1:id="rId1"/>
  </hyperlinks>
  <pageMargins left="0.75" right="0.75" top="1" bottom="1" header="0.5" footer="0.5"/>
  <legacyDrawing ns1:id="anysvml"/>
  <tableParts count="1">
    <tablePart ns1:id="rId2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8" customWidth="1" min="12" max="12"/>
    <col width="42" customWidth="1" min="13" max="13"/>
    <col width="42" customWidth="1" min="14" max="14"/>
    <col width="42" customWidth="1" min="15" max="15"/>
    <col width="40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4" customWidth="1" min="25" max="25"/>
  </cols>
  <sheetData>
    <row r="1">
      <c r="A1" s="1" t="inlineStr">
        <is>
          <t>qa_run_id</t>
        </is>
      </c>
      <c r="B1" s="1" t="inlineStr">
        <is>
          <t>inventory_position</t>
        </is>
      </c>
      <c r="C1" s="1" t="inlineStr">
        <is>
          <t>product_key</t>
        </is>
      </c>
      <c r="D1" s="1" t="inlineStr">
        <is>
          <t>product_id</t>
        </is>
      </c>
      <c r="E1" s="1" t="inlineStr">
        <is>
          <t>handle</t>
        </is>
      </c>
      <c r="F1" s="1" t="inlineStr">
        <is>
          <t>product_url</t>
        </is>
      </c>
      <c r="G1" s="1" t="inlineStr">
        <is>
          <t>canonical_live</t>
        </is>
      </c>
      <c r="H1" s="1" t="inlineStr">
        <is>
          <t>title_proposed_r5</t>
        </is>
      </c>
      <c r="I1" s="1" t="inlineStr">
        <is>
          <t>meta_title_seo_r5</t>
        </is>
      </c>
      <c r="J1" s="1" t="inlineStr">
        <is>
          <t>description_action</t>
        </is>
      </c>
      <c r="K1" s="1" t="inlineStr">
        <is>
          <t>page_read</t>
        </is>
      </c>
      <c r="L1" s="1" t="inlineStr">
        <is>
          <t>json_read</t>
        </is>
      </c>
      <c r="M1" s="1" t="inlineStr">
        <is>
          <t>image_expected</t>
        </is>
      </c>
      <c r="N1" s="1" t="inlineStr">
        <is>
          <t>image_rows_scored</t>
        </is>
      </c>
      <c r="O1" s="1" t="inlineStr">
        <is>
          <t>visual_coverage</t>
        </is>
      </c>
      <c r="P1" s="1" t="inlineStr">
        <is>
          <t>assessed_weight</t>
        </is>
      </c>
      <c r="Q1" s="1" t="inlineStr">
        <is>
          <t>verified_points</t>
        </is>
      </c>
      <c r="R1" s="1" t="inlineStr">
        <is>
          <t>score_floor</t>
        </is>
      </c>
      <c r="S1" s="1" t="inlineStr">
        <is>
          <t>score_ceiling</t>
        </is>
      </c>
      <c r="T1" s="1" t="inlineStr">
        <is>
          <t>final_score</t>
        </is>
      </c>
      <c r="U1" s="1" t="inlineStr">
        <is>
          <t>critical_count</t>
        </is>
      </c>
      <c r="V1" s="1" t="inlineStr">
        <is>
          <t>major_count</t>
        </is>
      </c>
      <c r="W1" s="1" t="inlineStr">
        <is>
          <t>status</t>
        </is>
      </c>
      <c r="X1" s="1" t="inlineStr">
        <is>
          <t>issue_refs</t>
        </is>
      </c>
      <c r="Y1" s="1" t="inlineStr">
        <is>
          <t>evidence_refs</t>
        </is>
      </c>
    </row>
    <row r="2" ht="60" customHeight="1">
      <c r="A2" s="2" t="inlineStr">
        <is>
          <t>20260909_154500</t>
        </is>
      </c>
      <c r="B2" s="2" t="n">
        <v>31</v>
      </c>
      <c r="C2" s="2" t="inlineStr">
        <is>
          <t>jeminise.com+christmas-cardinals-near-snowy-birdhouse-patchwork-floral-quilt-b90d55a935-b90d55a935</t>
        </is>
      </c>
      <c r="D2" s="2" t="inlineStr">
        <is>
          <t>8834720170183</t>
        </is>
      </c>
      <c r="E2" s="2" t="inlineStr">
        <is>
          <t>christmas-cardinals-near-snowy-birdhouse-patchwork-floral-quilt-b90d55a935-b90d55a935</t>
        </is>
      </c>
      <c r="F2" s="2" t="inlineStr">
        <is>
          <t>https://jeminise.com/products/christmas-cardinals-near-snowy-birdhouse-patchwork-floral-quilt-b90d55a935-b90d55a935</t>
        </is>
      </c>
      <c r="G2" s="2" t="inlineStr">
        <is>
          <t>https://jeminise.com/products/christmas-cardinals-near-snowy-birdhouse-patchwork-floral-quilt-b90d55a935-b90d55a935</t>
        </is>
      </c>
      <c r="H2" s="2" t="inlineStr">
        <is>
          <t>Christmas Cardinal Birdhouse Quilt Set</t>
        </is>
      </c>
      <c r="I2" s="2" t="inlineStr">
        <is>
          <t>Christmas Cardinal Birdhouse Quilt Set</t>
        </is>
      </c>
      <c r="J2" s="2" t="inlineStr">
        <is>
          <t>SET</t>
        </is>
      </c>
      <c r="K2" s="2" t="b">
        <v>1</v>
      </c>
      <c r="L2" s="2" t="b">
        <v>1</v>
      </c>
      <c r="M2" s="2" t="n">
        <v>7</v>
      </c>
      <c r="N2" s="2" t="n">
        <v>7</v>
      </c>
      <c r="O2" s="2">
        <f>COUNTIFS(QA_Images!C:C,B2,QA_Images!Y:Y,1)/N2</f>
        <v>1</v>
      </c>
      <c r="P2" s="3">
        <f>SUMIFS(QA_Criteria!J:J,QA_Criteria!C:C,B2)</f>
        <v>100</v>
      </c>
      <c r="Q2" s="3">
        <f>SUMIFS(QA_Criteria!I:I,QA_Criteria!C:C,B2)</f>
        <v>95</v>
      </c>
      <c r="R2" s="3">
        <f>Q2</f>
        <v>95</v>
      </c>
      <c r="S2" s="3">
        <f>Q2+(100-P2)</f>
        <v>95</v>
      </c>
      <c r="T2" s="3">
        <f>IF(AND(P2=100,K2=TRUE,O2=1),Q2,"")</f>
        <v>95</v>
      </c>
      <c r="U2" s="2">
        <f>COUNTIFS(QA_Issues!C:C,B2,QA_Issues!F:F,TRUE)</f>
        <v/>
      </c>
      <c r="V2" s="2">
        <f>COUNTIFS(QA_Issues!C:C,B2,QA_Issues!E:E,"MAJOR")</f>
        <v/>
      </c>
      <c r="W2" s="2" t="str">
        <f>IF(U2&gt;0,"QA_FAIL",IF(OR(P2&lt;100,K2=FALSE,O2&lt;1),"QA_INCOMPLETE",IF(T2&lt;70,"QA_FAIL",IF(OR(T2&lt;85,V2&gt;0),"QA_REVISE","QA_PASS"))))</f>
        <v>QA_PASS</v>
      </c>
      <c r="X2" s="2" t="inlineStr">
        <is>
          <t>B04-E1-REVISION-TRACE</t>
        </is>
      </c>
      <c r="Y2" s="2" t="inlineStr">
        <is>
          <t>live_031; serp_004_031; source rows locked by product_key</t>
        </is>
      </c>
    </row>
    <row r="3" ht="60" customHeight="1">
      <c r="A3" s="2" t="inlineStr">
        <is>
          <t>20260909_154500</t>
        </is>
      </c>
      <c r="B3" s="2" t="n">
        <v>32</v>
      </c>
      <c r="C3" s="2" t="inlineStr">
        <is>
          <t>jeminise.com+christmas-cardinals-on-snowy-branches-patchwork-winter-quilt-8fa1a9e2ed-8fa1a9e2ed</t>
        </is>
      </c>
      <c r="D3" s="2" t="inlineStr">
        <is>
          <t>8834709323975</t>
        </is>
      </c>
      <c r="E3" s="2" t="inlineStr">
        <is>
          <t>christmas-cardinals-on-snowy-branches-patchwork-winter-quilt-8fa1a9e2ed-8fa1a9e2ed</t>
        </is>
      </c>
      <c r="F3" s="2" t="inlineStr">
        <is>
          <t>https://jeminise.com/products/christmas-cardinals-on-snowy-branches-patchwork-winter-quilt-8fa1a9e2ed-8fa1a9e2ed</t>
        </is>
      </c>
      <c r="G3" s="2" t="inlineStr">
        <is>
          <t>https://jeminise.com/products/christmas-cardinals-on-snowy-branches-patchwork-winter-quilt-8fa1a9e2ed-8fa1a9e2ed</t>
        </is>
      </c>
      <c r="H3" s="2" t="inlineStr">
        <is>
          <t>Christmas Cardinals Snowy Branches Quilt Set</t>
        </is>
      </c>
      <c r="I3" s="2" t="inlineStr">
        <is>
          <t>Christmas Cardinals Snowy Branches Quilt Set</t>
        </is>
      </c>
      <c r="J3" s="2" t="inlineStr">
        <is>
          <t>SET</t>
        </is>
      </c>
      <c r="K3" s="2" t="b">
        <v>1</v>
      </c>
      <c r="L3" s="2" t="b">
        <v>1</v>
      </c>
      <c r="M3" s="2" t="n">
        <v>5</v>
      </c>
      <c r="N3" s="2" t="n">
        <v>5</v>
      </c>
      <c r="O3" s="2">
        <f>COUNTIFS(QA_Images!C:C,B3,QA_Images!Y:Y,1)/N3</f>
        <v>1</v>
      </c>
      <c r="P3" s="3">
        <f>SUMIFS(QA_Criteria!J:J,QA_Criteria!C:C,B3)</f>
        <v>100</v>
      </c>
      <c r="Q3" s="3">
        <f>SUMIFS(QA_Criteria!I:I,QA_Criteria!C:C,B3)</f>
        <v>95</v>
      </c>
      <c r="R3" s="3">
        <f>Q3</f>
        <v>95</v>
      </c>
      <c r="S3" s="3">
        <f>Q3+(100-P3)</f>
        <v>95</v>
      </c>
      <c r="T3" s="3">
        <f>IF(AND(P3=100,K3=TRUE,O3=1),Q3,"")</f>
        <v>95</v>
      </c>
      <c r="U3" s="2">
        <f>COUNTIFS(QA_Issues!C:C,B3,QA_Issues!F:F,TRUE)</f>
        <v/>
      </c>
      <c r="V3" s="2">
        <f>COUNTIFS(QA_Issues!C:C,B3,QA_Issues!E:E,"MAJOR")</f>
        <v/>
      </c>
      <c r="W3" s="2" t="str">
        <f>IF(U3&gt;0,"QA_FAIL",IF(OR(P3&lt;100,K3=FALSE,O3&lt;1),"QA_INCOMPLETE",IF(T3&lt;70,"QA_FAIL",IF(OR(T3&lt;85,V3&gt;0),"QA_REVISE","QA_PASS"))))</f>
        <v>QA_PASS</v>
      </c>
      <c r="X3" s="2" t="inlineStr">
        <is>
          <t>B04-E1-REVISION-TRACE</t>
        </is>
      </c>
      <c r="Y3" s="2" t="inlineStr">
        <is>
          <t>live_032; serp_004_032; source rows locked by product_key</t>
        </is>
      </c>
    </row>
    <row r="4" ht="60" customHeight="1">
      <c r="A4" s="2" t="inlineStr">
        <is>
          <t>20260909_154500</t>
        </is>
      </c>
      <c r="B4" s="2" t="n">
        <v>33</v>
      </c>
      <c r="C4" s="2" t="inlineStr">
        <is>
          <t>jeminise.com+cow-with-landscape-patchwork-quilt-animal-farmhouse-printed-quilt-set</t>
        </is>
      </c>
      <c r="D4" s="2" t="inlineStr">
        <is>
          <t>8867095806151</t>
        </is>
      </c>
      <c r="E4" s="2" t="inlineStr">
        <is>
          <t>cow-with-landscape-patchwork-quilt-animal-farmhouse-printed-quilt-set</t>
        </is>
      </c>
      <c r="F4" s="2" t="inlineStr">
        <is>
          <t>https://jeminise.com/products/cow-with-landscape-patchwork-quilt-animal-farmhouse-printed-quilt-set</t>
        </is>
      </c>
      <c r="G4" s="2" t="inlineStr">
        <is>
          <t>https://jeminise.com/products/cow-with-landscape-patchwork-quilt-animal-farmhouse-printed-quilt-set</t>
        </is>
      </c>
      <c r="H4" s="2" t="inlineStr">
        <is>
          <t>Cow Landscape Farmhouse Quilt Set</t>
        </is>
      </c>
      <c r="I4" s="2" t="inlineStr">
        <is>
          <t>Cow Landscape Farmhouse Quilt Set</t>
        </is>
      </c>
      <c r="J4" s="2" t="inlineStr">
        <is>
          <t>SET</t>
        </is>
      </c>
      <c r="K4" s="2" t="b">
        <v>1</v>
      </c>
      <c r="L4" s="2" t="b">
        <v>1</v>
      </c>
      <c r="M4" s="2" t="n">
        <v>7</v>
      </c>
      <c r="N4" s="2" t="n">
        <v>7</v>
      </c>
      <c r="O4" s="2">
        <f>COUNTIFS(QA_Images!C:C,B4,QA_Images!Y:Y,1)/N4</f>
        <v>1</v>
      </c>
      <c r="P4" s="3">
        <f>SUMIFS(QA_Criteria!J:J,QA_Criteria!C:C,B4)</f>
        <v>100</v>
      </c>
      <c r="Q4" s="3">
        <f>SUMIFS(QA_Criteria!I:I,QA_Criteria!C:C,B4)</f>
        <v>95</v>
      </c>
      <c r="R4" s="3">
        <f>Q4</f>
        <v>95</v>
      </c>
      <c r="S4" s="3">
        <f>Q4+(100-P4)</f>
        <v>95</v>
      </c>
      <c r="T4" s="3">
        <f>IF(AND(P4=100,K4=TRUE,O4=1),Q4,"")</f>
        <v>95</v>
      </c>
      <c r="U4" s="2">
        <f>COUNTIFS(QA_Issues!C:C,B4,QA_Issues!F:F,TRUE)</f>
        <v/>
      </c>
      <c r="V4" s="2">
        <f>COUNTIFS(QA_Issues!C:C,B4,QA_Issues!E:E,"MAJOR")</f>
        <v/>
      </c>
      <c r="W4" s="2" t="str">
        <f>IF(U4&gt;0,"QA_FAIL",IF(OR(P4&lt;100,K4=FALSE,O4&lt;1),"QA_INCOMPLETE",IF(T4&lt;70,"QA_FAIL",IF(OR(T4&lt;85,V4&gt;0),"QA_REVISE","QA_PASS"))))</f>
        <v>QA_PASS</v>
      </c>
      <c r="X4" s="2" t="inlineStr">
        <is>
          <t>B04-E1-REVISION-TRACE</t>
        </is>
      </c>
      <c r="Y4" s="2" t="inlineStr">
        <is>
          <t>live_033; serp_004_033; source rows locked by product_key</t>
        </is>
      </c>
    </row>
    <row r="5" ht="60" customHeight="1">
      <c r="A5" s="2" t="inlineStr">
        <is>
          <t>20260909_154500</t>
        </is>
      </c>
      <c r="B5" s="2" t="n">
        <v>34</v>
      </c>
      <c r="C5" s="2" t="inlineStr">
        <is>
          <t>jeminise.com+crocodile-patchwork-printed-quilts-animal-patchwork-bedding</t>
        </is>
      </c>
      <c r="D5" s="2" t="inlineStr">
        <is>
          <t>8867095445703</t>
        </is>
      </c>
      <c r="E5" s="2" t="inlineStr">
        <is>
          <t>crocodile-patchwork-printed-quilts-animal-patchwork-bedding</t>
        </is>
      </c>
      <c r="F5" s="2" t="inlineStr">
        <is>
          <t>https://jeminise.com/products/crocodile-patchwork-printed-quilts-animal-patchwork-bedding</t>
        </is>
      </c>
      <c r="G5" s="2" t="inlineStr">
        <is>
          <t>https://jeminise.com/products/crocodile-patchwork-printed-quilts-animal-patchwork-bedding</t>
        </is>
      </c>
      <c r="H5" s="2" t="inlineStr">
        <is>
          <t>Crocodile Patchwork Animal Quilt Set</t>
        </is>
      </c>
      <c r="I5" s="2" t="inlineStr">
        <is>
          <t>Crocodile Patchwork Animal Quilt Set</t>
        </is>
      </c>
      <c r="J5" s="2" t="inlineStr">
        <is>
          <t>SET</t>
        </is>
      </c>
      <c r="K5" s="2" t="b">
        <v>1</v>
      </c>
      <c r="L5" s="2" t="b">
        <v>1</v>
      </c>
      <c r="M5" s="2" t="n">
        <v>7</v>
      </c>
      <c r="N5" s="2" t="n">
        <v>7</v>
      </c>
      <c r="O5" s="2">
        <f>COUNTIFS(QA_Images!C:C,B5,QA_Images!Y:Y,1)/N5</f>
        <v>1</v>
      </c>
      <c r="P5" s="3">
        <f>SUMIFS(QA_Criteria!J:J,QA_Criteria!C:C,B5)</f>
        <v>100</v>
      </c>
      <c r="Q5" s="3">
        <f>SUMIFS(QA_Criteria!I:I,QA_Criteria!C:C,B5)</f>
        <v>77.5</v>
      </c>
      <c r="R5" s="3">
        <f>Q5</f>
        <v>77.5</v>
      </c>
      <c r="S5" s="3">
        <f>Q5+(100-P5)</f>
        <v>77.5</v>
      </c>
      <c r="T5" s="3">
        <f>IF(AND(P5=100,K5=TRUE,O5=1),Q5,"")</f>
        <v>77.5</v>
      </c>
      <c r="U5" s="2">
        <f>COUNTIFS(QA_Issues!C:C,B5,QA_Issues!F:F,TRUE)</f>
        <v/>
      </c>
      <c r="V5" s="2">
        <f>COUNTIFS(QA_Issues!C:C,B5,QA_Issues!E:E,"MAJOR")</f>
        <v>1</v>
      </c>
      <c r="W5" s="2" t="str">
        <f>IF(U5&gt;0,"QA_FAIL",IF(OR(P5&lt;100,K5=FALSE,O5&lt;1),"QA_INCOMPLETE",IF(T5&lt;70,"QA_FAIL",IF(OR(T5&lt;85,V5&gt;0),"QA_REVISE","QA_PASS"))))</f>
        <v>QA_REVISE</v>
      </c>
      <c r="X5" s="2" t="inlineStr">
        <is>
          <t>B04-034-D2-ALLIGATOR;B04-E1-REVISION-TRACE</t>
        </is>
      </c>
      <c r="Y5" s="2" t="inlineStr">
        <is>
          <t>live_034; serp_004_034; source rows locked by product_key</t>
        </is>
      </c>
    </row>
    <row r="6" ht="60" customHeight="1">
      <c r="A6" s="2" t="inlineStr">
        <is>
          <t>20260909_154500</t>
        </is>
      </c>
      <c r="B6" s="2" t="n">
        <v>35</v>
      </c>
      <c r="C6" s="2" t="inlineStr">
        <is>
          <t>jeminise.com+custom-retro-football-art-bedding-set-c66211cf75-c66211cf75</t>
        </is>
      </c>
      <c r="D6" s="2" t="inlineStr">
        <is>
          <t>8834768699591</t>
        </is>
      </c>
      <c r="E6" s="2" t="inlineStr">
        <is>
          <t>custom-retro-football-art-bedding-set-c66211cf75-c66211cf75</t>
        </is>
      </c>
      <c r="F6" s="2" t="inlineStr">
        <is>
          <t>https://jeminise.com/products/custom-retro-football-art-bedding-set-c66211cf75-c66211cf75</t>
        </is>
      </c>
      <c r="G6" s="2" t="inlineStr">
        <is>
          <t>https://jeminise.com/products/custom-retro-football-art-bedding-set-c66211cf75-c66211cf75</t>
        </is>
      </c>
      <c r="H6" s="2" t="inlineStr">
        <is>
          <t>Personalized Retro Football Flag Comforter Set</t>
        </is>
      </c>
      <c r="I6" s="2" t="inlineStr">
        <is>
          <t>Personalized Retro Football Flag Comforter Set</t>
        </is>
      </c>
      <c r="J6" s="2" t="inlineStr">
        <is>
          <t>SET</t>
        </is>
      </c>
      <c r="K6" s="2" t="b">
        <v>1</v>
      </c>
      <c r="L6" s="2" t="b">
        <v>1</v>
      </c>
      <c r="M6" s="2" t="n">
        <v>6</v>
      </c>
      <c r="N6" s="2" t="n">
        <v>6</v>
      </c>
      <c r="O6" s="2">
        <f>COUNTIFS(QA_Images!C:C,B6,QA_Images!Y:Y,1)/N6</f>
        <v>1</v>
      </c>
      <c r="P6" s="3">
        <f>SUMIFS(QA_Criteria!J:J,QA_Criteria!C:C,B6)</f>
        <v>100</v>
      </c>
      <c r="Q6" s="3">
        <f>SUMIFS(QA_Criteria!I:I,QA_Criteria!C:C,B6)</f>
        <v>85</v>
      </c>
      <c r="R6" s="3">
        <f>Q6</f>
        <v>85</v>
      </c>
      <c r="S6" s="3">
        <f>Q6+(100-P6)</f>
        <v>85</v>
      </c>
      <c r="T6" s="3">
        <f>IF(AND(P6=100,K6=TRUE,O6=1),Q6,"")</f>
        <v>85</v>
      </c>
      <c r="U6" s="2">
        <f>COUNTIFS(QA_Issues!C:C,B6,QA_Issues!F:F,TRUE)</f>
        <v/>
      </c>
      <c r="V6" s="2">
        <f>COUNTIFS(QA_Issues!C:C,B6,QA_Issues!E:E,"MAJOR")</f>
        <v>1</v>
      </c>
      <c r="W6" s="2" t="str">
        <f>IF(U6&gt;0,"QA_FAIL",IF(OR(P6&lt;100,K6=FALSE,O6&lt;1),"QA_INCOMPLETE",IF(T6&lt;70,"QA_FAIL",IF(OR(T6&lt;85,V6&gt;0),"QA_REVISE","QA_PASS"))))</f>
        <v>QA_REVISE</v>
      </c>
      <c r="X6" s="2" t="inlineStr">
        <is>
          <t>B04-035-PERS-CONTROL;B04-E1-REVISION-TRACE</t>
        </is>
      </c>
      <c r="Y6" s="2" t="inlineStr">
        <is>
          <t>live_035; serp_004_035; source rows locked by product_key</t>
        </is>
      </c>
    </row>
    <row r="7" ht="60" customHeight="1">
      <c r="A7" s="2" t="inlineStr">
        <is>
          <t>20260909_154500</t>
        </is>
      </c>
      <c r="B7" s="2" t="n">
        <v>36</v>
      </c>
      <c r="C7" s="2" t="inlineStr">
        <is>
          <t>jeminise.com+custom-american-football-close-up-on-grunge-vintage-comforter-26540e3264-26540e3264</t>
        </is>
      </c>
      <c r="D7" s="2" t="inlineStr">
        <is>
          <t>8834754445511</t>
        </is>
      </c>
      <c r="E7" s="2" t="inlineStr">
        <is>
          <t>custom-american-football-close-up-on-grunge-vintage-comforter-26540e3264-26540e3264</t>
        </is>
      </c>
      <c r="F7" s="2" t="inlineStr">
        <is>
          <t>https://jeminise.com/products/custom-american-football-close-up-on-grunge-vintage-comforter-26540e3264-26540e3264</t>
        </is>
      </c>
      <c r="G7" s="2" t="inlineStr">
        <is>
          <t>https://jeminise.com/products/custom-american-football-close-up-on-grunge-vintage-comforter-26540e3264-26540e3264</t>
        </is>
      </c>
      <c r="H7" s="2" t="inlineStr">
        <is>
          <t>Personalized Grunge Football Comforter Set</t>
        </is>
      </c>
      <c r="I7" s="2" t="inlineStr">
        <is>
          <t>Personalized Grunge Football Comforter Set</t>
        </is>
      </c>
      <c r="J7" s="2" t="inlineStr">
        <is>
          <t>SET</t>
        </is>
      </c>
      <c r="K7" s="2" t="b">
        <v>1</v>
      </c>
      <c r="L7" s="2" t="b">
        <v>1</v>
      </c>
      <c r="M7" s="2" t="n">
        <v>6</v>
      </c>
      <c r="N7" s="2" t="n">
        <v>6</v>
      </c>
      <c r="O7" s="2">
        <f>COUNTIFS(QA_Images!C:C,B7,QA_Images!Y:Y,1)/N7</f>
        <v>1</v>
      </c>
      <c r="P7" s="3">
        <f>SUMIFS(QA_Criteria!J:J,QA_Criteria!C:C,B7)</f>
        <v>100</v>
      </c>
      <c r="Q7" s="3">
        <f>SUMIFS(QA_Criteria!I:I,QA_Criteria!C:C,B7)</f>
        <v>85</v>
      </c>
      <c r="R7" s="3">
        <f>Q7</f>
        <v>85</v>
      </c>
      <c r="S7" s="3">
        <f>Q7+(100-P7)</f>
        <v>85</v>
      </c>
      <c r="T7" s="3">
        <f>IF(AND(P7=100,K7=TRUE,O7=1),Q7,"")</f>
        <v>85</v>
      </c>
      <c r="U7" s="2">
        <f>COUNTIFS(QA_Issues!C:C,B7,QA_Issues!F:F,TRUE)</f>
        <v/>
      </c>
      <c r="V7" s="2">
        <f>COUNTIFS(QA_Issues!C:C,B7,QA_Issues!E:E,"MAJOR")</f>
        <v>1</v>
      </c>
      <c r="W7" s="2" t="str">
        <f>IF(U7&gt;0,"QA_FAIL",IF(OR(P7&lt;100,K7=FALSE,O7&lt;1),"QA_INCOMPLETE",IF(T7&lt;70,"QA_FAIL",IF(OR(T7&lt;85,V7&gt;0),"QA_REVISE","QA_PASS"))))</f>
        <v>QA_REVISE</v>
      </c>
      <c r="X7" s="2" t="inlineStr">
        <is>
          <t>B04-036-PERS-CONTROL;B04-E1-REVISION-TRACE</t>
        </is>
      </c>
      <c r="Y7" s="2" t="inlineStr">
        <is>
          <t>live_036; serp_004_036; source rows locked by product_key</t>
        </is>
      </c>
    </row>
    <row r="8" ht="60" customHeight="1">
      <c r="A8" s="2" t="inlineStr">
        <is>
          <t>20260909_154500</t>
        </is>
      </c>
      <c r="B8" s="2" t="n">
        <v>37</v>
      </c>
      <c r="C8" s="2" t="inlineStr">
        <is>
          <t>jeminise.com+custom-american-football-on-cosmic-background-vintage-comforter-62a3849621-62a3849621</t>
        </is>
      </c>
      <c r="D8" s="2" t="inlineStr">
        <is>
          <t>8834752676039</t>
        </is>
      </c>
      <c r="E8" s="2" t="inlineStr">
        <is>
          <t>custom-american-football-on-cosmic-background-vintage-comforter-62a3849621-62a3849621</t>
        </is>
      </c>
      <c r="F8" s="2" t="inlineStr">
        <is>
          <t>https://jeminise.com/products/custom-american-football-on-cosmic-background-vintage-comforter-62a3849621-62a3849621</t>
        </is>
      </c>
      <c r="G8" s="2" t="inlineStr">
        <is>
          <t>https://jeminise.com/products/custom-american-football-on-cosmic-background-vintage-comforter-62a3849621-62a3849621</t>
        </is>
      </c>
      <c r="H8" s="2" t="inlineStr">
        <is>
          <t>Personalized Cosmic Football Comforter Set</t>
        </is>
      </c>
      <c r="I8" s="2" t="inlineStr">
        <is>
          <t>Personalized Cosmic Football Comforter Set</t>
        </is>
      </c>
      <c r="J8" s="2" t="inlineStr">
        <is>
          <t>SET</t>
        </is>
      </c>
      <c r="K8" s="2" t="b">
        <v>1</v>
      </c>
      <c r="L8" s="2" t="b">
        <v>1</v>
      </c>
      <c r="M8" s="2" t="n">
        <v>6</v>
      </c>
      <c r="N8" s="2" t="n">
        <v>6</v>
      </c>
      <c r="O8" s="2">
        <f>COUNTIFS(QA_Images!C:C,B8,QA_Images!Y:Y,1)/N8</f>
        <v>1</v>
      </c>
      <c r="P8" s="3">
        <f>SUMIFS(QA_Criteria!J:J,QA_Criteria!C:C,B8)</f>
        <v>100</v>
      </c>
      <c r="Q8" s="3">
        <f>SUMIFS(QA_Criteria!I:I,QA_Criteria!C:C,B8)</f>
        <v>85</v>
      </c>
      <c r="R8" s="3">
        <f>Q8</f>
        <v>85</v>
      </c>
      <c r="S8" s="3">
        <f>Q8+(100-P8)</f>
        <v>85</v>
      </c>
      <c r="T8" s="3">
        <f>IF(AND(P8=100,K8=TRUE,O8=1),Q8,"")</f>
        <v>85</v>
      </c>
      <c r="U8" s="2">
        <f>COUNTIFS(QA_Issues!C:C,B8,QA_Issues!F:F,TRUE)</f>
        <v/>
      </c>
      <c r="V8" s="2">
        <f>COUNTIFS(QA_Issues!C:C,B8,QA_Issues!E:E,"MAJOR")</f>
        <v>1</v>
      </c>
      <c r="W8" s="2" t="str">
        <f>IF(U8&gt;0,"QA_FAIL",IF(OR(P8&lt;100,K8=FALSE,O8&lt;1),"QA_INCOMPLETE",IF(T8&lt;70,"QA_FAIL",IF(OR(T8&lt;85,V8&gt;0),"QA_REVISE","QA_PASS"))))</f>
        <v>QA_REVISE</v>
      </c>
      <c r="X8" s="2" t="inlineStr">
        <is>
          <t>B04-037-PERS-CONTROL;B04-E1-REVISION-TRACE</t>
        </is>
      </c>
      <c r="Y8" s="2" t="inlineStr">
        <is>
          <t>live_037; serp_004_037; source rows locked by product_key</t>
        </is>
      </c>
    </row>
    <row r="9" ht="60" customHeight="1">
      <c r="A9" s="2" t="inlineStr">
        <is>
          <t>20260909_154500</t>
        </is>
      </c>
      <c r="B9" s="2" t="n">
        <v>38</v>
      </c>
      <c r="C9" s="2" t="inlineStr">
        <is>
          <t>jeminise.com+custom-american-football-on-usa-flag-background-comforter-703a7c0d82-703a7c0d82</t>
        </is>
      </c>
      <c r="D9" s="2" t="inlineStr">
        <is>
          <t>8834767421639</t>
        </is>
      </c>
      <c r="E9" s="2" t="inlineStr">
        <is>
          <t>custom-american-football-on-usa-flag-background-comforter-703a7c0d82-703a7c0d82</t>
        </is>
      </c>
      <c r="F9" s="2" t="inlineStr">
        <is>
          <t>https://jeminise.com/products/custom-american-football-on-usa-flag-background-comforter-703a7c0d82-703a7c0d82</t>
        </is>
      </c>
      <c r="G9" s="2" t="inlineStr">
        <is>
          <t>https://jeminise.com/products/custom-american-football-on-usa-flag-background-comforter-703a7c0d82-703a7c0d82</t>
        </is>
      </c>
      <c r="H9" s="2" t="inlineStr">
        <is>
          <t>Personalized USA Flag Football Comforter Set</t>
        </is>
      </c>
      <c r="I9" s="2" t="inlineStr">
        <is>
          <t>Personalized USA Flag Football Comforter Set</t>
        </is>
      </c>
      <c r="J9" s="2" t="inlineStr">
        <is>
          <t>SET</t>
        </is>
      </c>
      <c r="K9" s="2" t="b">
        <v>1</v>
      </c>
      <c r="L9" s="2" t="b">
        <v>1</v>
      </c>
      <c r="M9" s="2" t="n">
        <v>6</v>
      </c>
      <c r="N9" s="2" t="n">
        <v>6</v>
      </c>
      <c r="O9" s="2">
        <f>COUNTIFS(QA_Images!C:C,B9,QA_Images!Y:Y,1)/N9</f>
        <v>1</v>
      </c>
      <c r="P9" s="3">
        <f>SUMIFS(QA_Criteria!J:J,QA_Criteria!C:C,B9)</f>
        <v>100</v>
      </c>
      <c r="Q9" s="3">
        <f>SUMIFS(QA_Criteria!I:I,QA_Criteria!C:C,B9)</f>
        <v>85</v>
      </c>
      <c r="R9" s="3">
        <f>Q9</f>
        <v>85</v>
      </c>
      <c r="S9" s="3">
        <f>Q9+(100-P9)</f>
        <v>85</v>
      </c>
      <c r="T9" s="3">
        <f>IF(AND(P9=100,K9=TRUE,O9=1),Q9,"")</f>
        <v>85</v>
      </c>
      <c r="U9" s="2">
        <f>COUNTIFS(QA_Issues!C:C,B9,QA_Issues!F:F,TRUE)</f>
        <v/>
      </c>
      <c r="V9" s="2">
        <f>COUNTIFS(QA_Issues!C:C,B9,QA_Issues!E:E,"MAJOR")</f>
        <v>1</v>
      </c>
      <c r="W9" s="2" t="str">
        <f>IF(U9&gt;0,"QA_FAIL",IF(OR(P9&lt;100,K9=FALSE,O9&lt;1),"QA_INCOMPLETE",IF(T9&lt;70,"QA_FAIL",IF(OR(T9&lt;85,V9&gt;0),"QA_REVISE","QA_PASS"))))</f>
        <v>QA_REVISE</v>
      </c>
      <c r="X9" s="2" t="inlineStr">
        <is>
          <t>B04-038-PERS-CONTROL;B04-E1-REVISION-TRACE</t>
        </is>
      </c>
      <c r="Y9" s="2" t="inlineStr">
        <is>
          <t>live_038; serp_004_038; source rows locked by product_key</t>
        </is>
      </c>
    </row>
    <row r="10" ht="60" customHeight="1">
      <c r="A10" s="2" t="inlineStr">
        <is>
          <t>20260909_154500</t>
        </is>
      </c>
      <c r="B10" s="2" t="n">
        <v>39</v>
      </c>
      <c r="C10" s="2" t="inlineStr">
        <is>
          <t>jeminise.com+custom-american-football-with-paint-splash-background-vintage-comforter-da0e1d5bf1-da0e1d5bf1</t>
        </is>
      </c>
      <c r="D10" s="2" t="inlineStr">
        <is>
          <t>8834773319879</t>
        </is>
      </c>
      <c r="E10" s="2" t="inlineStr">
        <is>
          <t>custom-american-football-with-paint-splash-background-vintage-comforter-da0e1d5bf1-da0e1d5bf1</t>
        </is>
      </c>
      <c r="F10" s="2" t="inlineStr">
        <is>
          <t>https://jeminise.com/products/custom-american-football-with-paint-splash-background-vintage-comforter-da0e1d5bf1-da0e1d5bf1</t>
        </is>
      </c>
      <c r="G10" s="2" t="inlineStr">
        <is>
          <t>https://jeminise.com/products/custom-american-football-with-paint-splash-background-vintage-comforter-da0e1d5bf1-da0e1d5bf1</t>
        </is>
      </c>
      <c r="H10" s="2" t="inlineStr">
        <is>
          <t>Personalized Paint Splash Football Comforter Set</t>
        </is>
      </c>
      <c r="I10" s="2" t="inlineStr">
        <is>
          <t>Personalized Paint Splash Football Comforter Set</t>
        </is>
      </c>
      <c r="J10" s="2" t="inlineStr">
        <is>
          <t>SET</t>
        </is>
      </c>
      <c r="K10" s="2" t="b">
        <v>1</v>
      </c>
      <c r="L10" s="2" t="b">
        <v>1</v>
      </c>
      <c r="M10" s="2" t="n">
        <v>6</v>
      </c>
      <c r="N10" s="2" t="n">
        <v>6</v>
      </c>
      <c r="O10" s="2">
        <f>COUNTIFS(QA_Images!C:C,B10,QA_Images!Y:Y,1)/N10</f>
        <v>1</v>
      </c>
      <c r="P10" s="3">
        <f>SUMIFS(QA_Criteria!J:J,QA_Criteria!C:C,B10)</f>
        <v>100</v>
      </c>
      <c r="Q10" s="3">
        <f>SUMIFS(QA_Criteria!I:I,QA_Criteria!C:C,B10)</f>
        <v>85</v>
      </c>
      <c r="R10" s="3">
        <f>Q10</f>
        <v>85</v>
      </c>
      <c r="S10" s="3">
        <f>Q10+(100-P10)</f>
        <v>85</v>
      </c>
      <c r="T10" s="3">
        <f>IF(AND(P10=100,K10=TRUE,O10=1),Q10,"")</f>
        <v>85</v>
      </c>
      <c r="U10" s="2">
        <f>COUNTIFS(QA_Issues!C:C,B10,QA_Issues!F:F,TRUE)</f>
        <v/>
      </c>
      <c r="V10" s="2">
        <f>COUNTIFS(QA_Issues!C:C,B10,QA_Issues!E:E,"MAJOR")</f>
        <v>1</v>
      </c>
      <c r="W10" s="2" t="str">
        <f>IF(U10&gt;0,"QA_FAIL",IF(OR(P10&lt;100,K10=FALSE,O10&lt;1),"QA_INCOMPLETE",IF(T10&lt;70,"QA_FAIL",IF(OR(T10&lt;85,V10&gt;0),"QA_REVISE","QA_PASS"))))</f>
        <v>QA_REVISE</v>
      </c>
      <c r="X10" s="2" t="inlineStr">
        <is>
          <t>B04-039-PERS-CONTROL;B04-E1-REVISION-TRACE</t>
        </is>
      </c>
      <c r="Y10" s="2" t="inlineStr">
        <is>
          <t>live_039; serp_004_039; source rows locked by product_key</t>
        </is>
      </c>
    </row>
    <row r="11" ht="60" customHeight="1">
      <c r="A11" s="2" t="inlineStr">
        <is>
          <t>20260909_154500</t>
        </is>
      </c>
      <c r="B11" s="2" t="n">
        <v>40</v>
      </c>
      <c r="C11" s="2" t="inlineStr">
        <is>
          <t>jeminise.com+custom-american-football-with-patriotic-flag-comforter-4a3a1ed3c9-4a3a1ed3c9</t>
        </is>
      </c>
      <c r="D11" s="2" t="inlineStr">
        <is>
          <t>8834768011463</t>
        </is>
      </c>
      <c r="E11" s="2" t="inlineStr">
        <is>
          <t>custom-american-football-with-patriotic-flag-comforter-4a3a1ed3c9-4a3a1ed3c9</t>
        </is>
      </c>
      <c r="F11" s="2" t="inlineStr">
        <is>
          <t>https://jeminise.com/products/custom-american-football-with-patriotic-flag-comforter-4a3a1ed3c9-4a3a1ed3c9</t>
        </is>
      </c>
      <c r="G11" s="2" t="inlineStr">
        <is>
          <t>https://jeminise.com/products/custom-american-football-with-patriotic-flag-comforter-4a3a1ed3c9-4a3a1ed3c9</t>
        </is>
      </c>
      <c r="H11" s="2" t="inlineStr">
        <is>
          <t>Personalized Patriotic Football Comforter Set</t>
        </is>
      </c>
      <c r="I11" s="2" t="inlineStr">
        <is>
          <t>Personalized Patriotic Football Comforter Set</t>
        </is>
      </c>
      <c r="J11" s="2" t="inlineStr">
        <is>
          <t>SET</t>
        </is>
      </c>
      <c r="K11" s="2" t="b">
        <v>1</v>
      </c>
      <c r="L11" s="2" t="b">
        <v>1</v>
      </c>
      <c r="M11" s="2" t="n">
        <v>6</v>
      </c>
      <c r="N11" s="2" t="n">
        <v>6</v>
      </c>
      <c r="O11" s="2">
        <f>COUNTIFS(QA_Images!C:C,B11,QA_Images!Y:Y,1)/N11</f>
        <v>1</v>
      </c>
      <c r="P11" s="3">
        <f>SUMIFS(QA_Criteria!J:J,QA_Criteria!C:C,B11)</f>
        <v>100</v>
      </c>
      <c r="Q11" s="3">
        <f>SUMIFS(QA_Criteria!I:I,QA_Criteria!C:C,B11)</f>
        <v>85</v>
      </c>
      <c r="R11" s="3">
        <f>Q11</f>
        <v>85</v>
      </c>
      <c r="S11" s="3">
        <f>Q11+(100-P11)</f>
        <v>85</v>
      </c>
      <c r="T11" s="3">
        <f>IF(AND(P11=100,K11=TRUE,O11=1),Q11,"")</f>
        <v>85</v>
      </c>
      <c r="U11" s="2">
        <f>COUNTIFS(QA_Issues!C:C,B11,QA_Issues!F:F,TRUE)</f>
        <v/>
      </c>
      <c r="V11" s="2">
        <f>COUNTIFS(QA_Issues!C:C,B11,QA_Issues!E:E,"MAJOR")</f>
        <v>1</v>
      </c>
      <c r="W11" s="2" t="str">
        <f>IF(U11&gt;0,"QA_FAIL",IF(OR(P11&lt;100,K11=FALSE,O11&lt;1),"QA_INCOMPLETE",IF(T11&lt;70,"QA_FAIL",IF(OR(T11&lt;85,V11&gt;0),"QA_REVISE","QA_PASS"))))</f>
        <v>QA_REVISE</v>
      </c>
      <c r="X11" s="2" t="inlineStr">
        <is>
          <t>B04-040-PERS-CONTROL;B04-E1-REVISION-TRACE</t>
        </is>
      </c>
      <c r="Y11" s="2" t="inlineStr">
        <is>
          <t>live_040; serp_004_040; source rows locked by product_key</t>
        </is>
      </c>
    </row>
  </sheetData>
  <autoFilter ref="A1:Y11"/>
  <hyperlinks>
    <hyperlink ref="F2" ns1:id="rId1"/>
    <hyperlink ref="F3" ns1:id="rId2"/>
    <hyperlink ref="F4" ns1:id="rId3"/>
    <hyperlink ref="F5" ns1:id="rId4"/>
    <hyperlink ref="F6" ns1:id="rId5"/>
    <hyperlink ref="F7" ns1:id="rId6"/>
    <hyperlink ref="F8" ns1:id="rId7"/>
    <hyperlink ref="F9" ns1:id="rId8"/>
    <hyperlink ref="F10" ns1:id="rId9"/>
    <hyperlink ref="F11" ns1:id="rId10"/>
  </hyperlinks>
  <pageMargins left="0.75" right="0.75" top="1" bottom="1" header="0.5" footer="0.5"/>
  <tableParts count="1">
    <tablePart ns1:id="rId11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8" customWidth="1" min="12" max="12"/>
  </cols>
  <sheetData>
    <row r="1">
      <c r="A1" s="1" t="inlineStr">
        <is>
          <t>criterion_id</t>
        </is>
      </c>
      <c r="B1" s="1" t="inlineStr">
        <is>
          <t>qa_run_id</t>
        </is>
      </c>
      <c r="C1" s="1" t="inlineStr">
        <is>
          <t>inventory_position</t>
        </is>
      </c>
      <c r="D1" s="1" t="inlineStr">
        <is>
          <t>product_key</t>
        </is>
      </c>
      <c r="E1" s="1" t="inlineStr">
        <is>
          <t>criterion</t>
        </is>
      </c>
      <c r="F1" s="1" t="inlineStr">
        <is>
          <t>weight</t>
        </is>
      </c>
      <c r="G1" s="1" t="inlineStr">
        <is>
          <t>rating</t>
        </is>
      </c>
      <c r="H1" s="1" t="inlineStr">
        <is>
          <t>rating_value</t>
        </is>
      </c>
      <c r="I1" s="1" t="inlineStr">
        <is>
          <t>verified_points</t>
        </is>
      </c>
      <c r="J1" s="1" t="inlineStr">
        <is>
          <t>assessed_weight</t>
        </is>
      </c>
      <c r="K1" s="1" t="inlineStr">
        <is>
          <t>reason</t>
        </is>
      </c>
      <c r="L1" s="1" t="inlineStr">
        <is>
          <t>evidence_ref</t>
        </is>
      </c>
    </row>
    <row r="2" ht="60" customHeight="1">
      <c r="A2" s="2" t="inlineStr">
        <is>
          <t>B04-031-P1</t>
        </is>
      </c>
      <c r="B2" s="2" t="inlineStr">
        <is>
          <t>20260909_154500</t>
        </is>
      </c>
      <c r="C2" s="2" t="n">
        <v>31</v>
      </c>
      <c r="D2" s="2" t="inlineStr">
        <is>
          <t>jeminise.com+christmas-cardinals-near-snowy-birdhouse-patchwork-floral-quilt-b90d55a935-b90d55a935</t>
        </is>
      </c>
      <c r="E2" s="2" t="inlineStr">
        <is>
          <t>P1</t>
        </is>
      </c>
      <c r="F2" s="2" t="n">
        <v>15</v>
      </c>
      <c r="G2" s="2" t="inlineStr">
        <is>
          <t>FULL</t>
        </is>
      </c>
      <c r="H2" s="2">
        <v>1</v>
      </c>
      <c r="I2" s="2">
        <f>H2*F2</f>
        <v>15</v>
      </c>
      <c r="J2" s="2">
        <f>IF(G2&lt;&gt;"NOT_CHECKED",F2,0)</f>
        <v>15</v>
      </c>
      <c r="K2" s="2" t="inlineStr">
        <is>
          <t>Live page/JSON identity matched locked product ID/handle; proposed title reviewed against product motif for position 31.</t>
        </is>
      </c>
      <c r="L2" s="2" t="inlineStr">
        <is>
          <t>SEO_Products row locked by product_key; live HTML/JSON snapshot 031</t>
        </is>
      </c>
    </row>
    <row r="3" ht="60" customHeight="1">
      <c r="A3" s="2" t="inlineStr">
        <is>
          <t>B04-031-P2</t>
        </is>
      </c>
      <c r="B3" s="2" t="inlineStr">
        <is>
          <t>20260909_154500</t>
        </is>
      </c>
      <c r="C3" s="2" t="n">
        <v>31</v>
      </c>
      <c r="D3" s="2" t="inlineStr">
        <is>
          <t>jeminise.com+christmas-cardinals-near-snowy-birdhouse-patchwork-floral-quilt-b90d55a935-b90d55a935</t>
        </is>
      </c>
      <c r="E3" s="2" t="inlineStr">
        <is>
          <t>P2</t>
        </is>
      </c>
      <c r="F3" s="2" t="n">
        <v>10</v>
      </c>
      <c r="G3" s="2" t="inlineStr">
        <is>
          <t>FULL</t>
        </is>
      </c>
      <c r="H3" s="2">
        <v>1</v>
      </c>
      <c r="I3" s="2">
        <f>H3*F3</f>
        <v>10</v>
      </c>
      <c r="J3" s="2">
        <f>IF(G3&lt;&gt;"NOT_CHECKED",F3,0)</f>
        <v>10</v>
      </c>
      <c r="K3" s="2" t="inlineStr">
        <is>
          <t>Claims checked against live body/options/customizer evidence. Customizer evidence: name control evidence found.</t>
        </is>
      </c>
      <c r="L3" s="2" t="inlineStr">
        <is>
          <t>SEO_Products row locked by product_key; live HTML/JSON snapshot 031</t>
        </is>
      </c>
    </row>
    <row r="4" ht="60" customHeight="1">
      <c r="A4" s="2" t="inlineStr">
        <is>
          <t>B04-031-K1</t>
        </is>
      </c>
      <c r="B4" s="2" t="inlineStr">
        <is>
          <t>20260909_154500</t>
        </is>
      </c>
      <c r="C4" s="2" t="n">
        <v>31</v>
      </c>
      <c r="D4" s="2" t="inlineStr">
        <is>
          <t>jeminise.com+christmas-cardinals-near-snowy-birdhouse-patchwork-floral-quilt-b90d55a935-b90d55a935</t>
        </is>
      </c>
      <c r="E4" s="2" t="inlineStr">
        <is>
          <t>K1</t>
        </is>
      </c>
      <c r="F4" s="2" t="n">
        <v>10</v>
      </c>
      <c r="G4" s="2" t="inlineStr">
        <is>
          <t>FULL</t>
        </is>
      </c>
      <c r="H4" s="2">
        <v>1</v>
      </c>
      <c r="I4" s="2">
        <f>H4*F4</f>
        <v>10</v>
      </c>
      <c r="J4" s="2">
        <f>IF(G4&lt;&gt;"NOT_CHECKED",F4,0)</f>
        <v>10</v>
      </c>
      <c r="K4" s="2" t="inlineStr">
        <is>
          <t>Keyword choice reviewed against product-specific motif and fresh US/English comparator queries.</t>
        </is>
      </c>
      <c r="L4" s="2" t="inlineStr">
        <is>
          <t>Keyword_Map rows for product_key; Buyer_Search_Research; serp_004_031_1/2</t>
        </is>
      </c>
    </row>
    <row r="5" ht="60" customHeight="1">
      <c r="A5" s="2" t="inlineStr">
        <is>
          <t>B04-031-K2</t>
        </is>
      </c>
      <c r="B5" s="2" t="inlineStr">
        <is>
          <t>20260909_154500</t>
        </is>
      </c>
      <c r="C5" s="2" t="n">
        <v>31</v>
      </c>
      <c r="D5" s="2" t="inlineStr">
        <is>
          <t>jeminise.com+christmas-cardinals-near-snowy-birdhouse-patchwork-floral-quilt-b90d55a935-b90d55a935</t>
        </is>
      </c>
      <c r="E5" s="2" t="inlineStr">
        <is>
          <t>K2</t>
        </is>
      </c>
      <c r="F5" s="2" t="n">
        <v>5</v>
      </c>
      <c r="G5" s="2" t="inlineStr">
        <is>
          <t>FULL</t>
        </is>
      </c>
      <c r="H5" s="2">
        <v>1</v>
      </c>
      <c r="I5" s="2">
        <f>H5*F5</f>
        <v>5</v>
      </c>
      <c r="J5" s="2">
        <f>IF(G5&lt;&gt;"NOT_CHECKED",F5,0)</f>
        <v>5</v>
      </c>
      <c r="K5" s="2" t="inlineStr">
        <is>
          <t>SERP/product-page language supports buyer intent for finished bedding, with caution where niche query volume is weak.</t>
        </is>
      </c>
      <c r="L5" s="2" t="inlineStr">
        <is>
          <t>Keyword_Map rows for product_key; Buyer_Search_Research; serp_004_031_1/2</t>
        </is>
      </c>
    </row>
    <row r="6" ht="60" customHeight="1">
      <c r="A6" s="2" t="inlineStr">
        <is>
          <t>B04-031-K3</t>
        </is>
      </c>
      <c r="B6" s="2" t="inlineStr">
        <is>
          <t>20260909_154500</t>
        </is>
      </c>
      <c r="C6" s="2" t="n">
        <v>31</v>
      </c>
      <c r="D6" s="2" t="inlineStr">
        <is>
          <t>jeminise.com+christmas-cardinals-near-snowy-birdhouse-patchwork-floral-quilt-b90d55a935-b90d55a935</t>
        </is>
      </c>
      <c r="E6" s="2" t="inlineStr">
        <is>
          <t>K3</t>
        </is>
      </c>
      <c r="F6" s="2" t="n">
        <v>5</v>
      </c>
      <c r="G6" s="2" t="inlineStr">
        <is>
          <t>PARTIAL</t>
        </is>
      </c>
      <c r="H6" s="2">
        <v>0.5</v>
      </c>
      <c r="I6" s="2">
        <f>H6*F6</f>
        <v>2.5</v>
      </c>
      <c r="J6" s="2">
        <f>IF(G6&lt;&gt;"NOT_CHECKED",F6,0)</f>
        <v>5</v>
      </c>
      <c r="K6" s="2" t="inlineStr">
        <is>
          <t>Cannibalization checked across batch 04; football variants share broad root but differ by retro/grunge/cosmic/USA/paint/patriotic modifier.</t>
        </is>
      </c>
      <c r="L6" s="2" t="inlineStr">
        <is>
          <t>Keyword_Map rows for product_key; Buyer_Search_Research; serp_004_031_1/2</t>
        </is>
      </c>
    </row>
    <row r="7" ht="60" customHeight="1">
      <c r="A7" s="2" t="inlineStr">
        <is>
          <t>B04-031-T1</t>
        </is>
      </c>
      <c r="B7" s="2" t="inlineStr">
        <is>
          <t>20260909_154500</t>
        </is>
      </c>
      <c r="C7" s="2" t="n">
        <v>31</v>
      </c>
      <c r="D7" s="2" t="inlineStr">
        <is>
          <t>jeminise.com+christmas-cardinals-near-snowy-birdhouse-patchwork-floral-quilt-b90d55a935-b90d55a935</t>
        </is>
      </c>
      <c r="E7" s="2" t="inlineStr">
        <is>
          <t>T1</t>
        </is>
      </c>
      <c r="F7" s="2" t="n">
        <v>10</v>
      </c>
      <c r="G7" s="2" t="inlineStr">
        <is>
          <t>FULL</t>
        </is>
      </c>
      <c r="H7" s="2">
        <v>1</v>
      </c>
      <c r="I7" s="2">
        <f>H7*F7</f>
        <v>10</v>
      </c>
      <c r="J7" s="2">
        <f>IF(G7&lt;&gt;"NOT_CHECKED",F7,0)</f>
        <v>10</v>
      </c>
      <c r="K7" s="2" t="inlineStr">
        <is>
          <t>Mapped to meta_title_seo per requested mapping; title is customer-facing and reflects product evidence.</t>
        </is>
      </c>
      <c r="L7" s="2" t="inlineStr">
        <is>
          <t>SEO_Products row locked by product_key; live HTML/JSON snapshot 031</t>
        </is>
      </c>
    </row>
    <row r="8" ht="60" customHeight="1">
      <c r="A8" s="2" t="inlineStr">
        <is>
          <t>B04-031-T2</t>
        </is>
      </c>
      <c r="B8" s="2" t="inlineStr">
        <is>
          <t>20260909_154500</t>
        </is>
      </c>
      <c r="C8" s="2" t="n">
        <v>31</v>
      </c>
      <c r="D8" s="2" t="inlineStr">
        <is>
          <t>jeminise.com+christmas-cardinals-near-snowy-birdhouse-patchwork-floral-quilt-b90d55a935-b90d55a935</t>
        </is>
      </c>
      <c r="E8" s="2" t="inlineStr">
        <is>
          <t>T2</t>
        </is>
      </c>
      <c r="F8" s="2" t="n">
        <v>5</v>
      </c>
      <c r="G8" s="2" t="inlineStr">
        <is>
          <t>FULL</t>
        </is>
      </c>
      <c r="H8" s="2">
        <v>1</v>
      </c>
      <c r="I8" s="2">
        <f>H8*F8</f>
        <v>5</v>
      </c>
      <c r="J8" s="2">
        <f>IF(G8&lt;&gt;"NOT_CHECKED",F8,0)</f>
        <v>5</v>
      </c>
      <c r="K8" s="2" t="inlineStr">
        <is>
          <t>Mapped to title_proposed and live theme H1 context; wording is product-facing.</t>
        </is>
      </c>
      <c r="L8" s="2" t="inlineStr">
        <is>
          <t>SEO_Products row locked by product_key; live HTML/JSON snapshot 031</t>
        </is>
      </c>
    </row>
    <row r="9" ht="60" customHeight="1">
      <c r="A9" s="2" t="inlineStr">
        <is>
          <t>B04-031-D1</t>
        </is>
      </c>
      <c r="B9" s="2" t="inlineStr">
        <is>
          <t>20260909_154500</t>
        </is>
      </c>
      <c r="C9" s="2" t="n">
        <v>31</v>
      </c>
      <c r="D9" s="2" t="inlineStr">
        <is>
          <t>jeminise.com+christmas-cardinals-near-snowy-birdhouse-patchwork-floral-quilt-b90d55a935-b90d55a935</t>
        </is>
      </c>
      <c r="E9" s="2" t="inlineStr">
        <is>
          <t>D1</t>
        </is>
      </c>
      <c r="F9" s="2" t="n">
        <v>5</v>
      </c>
      <c r="G9" s="2" t="inlineStr">
        <is>
          <t>FULL</t>
        </is>
      </c>
      <c r="H9" s="2">
        <v>1</v>
      </c>
      <c r="I9" s="2">
        <f>H9*F9</f>
        <v>5</v>
      </c>
      <c r="J9" s="2">
        <f>IF(G9&lt;&gt;"NOT_CHECKED",F9,0)</f>
        <v>5</v>
      </c>
      <c r="K9" s="2" t="inlineStr">
        <is>
          <t>Mapped to meta_description_seo; length target treated editorially, not as a hard fail.</t>
        </is>
      </c>
      <c r="L9" s="2" t="inlineStr">
        <is>
          <t>SEO_Products row locked by product_key; live HTML/JSON snapshot 031</t>
        </is>
      </c>
    </row>
    <row r="10" ht="60" customHeight="1">
      <c r="A10" s="2" t="inlineStr">
        <is>
          <t>B04-031-D2</t>
        </is>
      </c>
      <c r="B10" s="2" t="inlineStr">
        <is>
          <t>20260909_154500</t>
        </is>
      </c>
      <c r="C10" s="2" t="n">
        <v>31</v>
      </c>
      <c r="D10" s="2" t="inlineStr">
        <is>
          <t>jeminise.com+christmas-cardinals-near-snowy-birdhouse-patchwork-floral-quilt-b90d55a935-b90d55a935</t>
        </is>
      </c>
      <c r="E10" s="2" t="inlineStr">
        <is>
          <t>D2</t>
        </is>
      </c>
      <c r="F10" s="2" t="n">
        <v>10</v>
      </c>
      <c r="G10" s="2" t="inlineStr">
        <is>
          <t>FULL</t>
        </is>
      </c>
      <c r="H10" s="2">
        <v>1</v>
      </c>
      <c r="I10" s="2">
        <f>H10*F10</f>
        <v>10</v>
      </c>
      <c r="J10" s="2">
        <f>IF(G10&lt;&gt;"NOT_CHECKED",F10,0)</f>
        <v>10</v>
      </c>
      <c r="K10" s="2" t="inlineStr">
        <is>
          <t>Mapped to description_proposed_html; checked for customer-facing copy, claim support, material/care/components and no process wording.</t>
        </is>
      </c>
      <c r="L10" s="2" t="inlineStr">
        <is>
          <t>SEO_Products row locked by product_key; live HTML/JSON snapshot 031</t>
        </is>
      </c>
    </row>
    <row r="11" ht="60" customHeight="1">
      <c r="A11" s="2" t="inlineStr">
        <is>
          <t>B04-031-I1</t>
        </is>
      </c>
      <c r="B11" s="2" t="inlineStr">
        <is>
          <t>20260909_154500</t>
        </is>
      </c>
      <c r="C11" s="2" t="n">
        <v>31</v>
      </c>
      <c r="D11" s="2" t="inlineStr">
        <is>
          <t>jeminise.com+christmas-cardinals-near-snowy-birdhouse-patchwork-floral-quilt-b90d55a935-b90d55a935</t>
        </is>
      </c>
      <c r="E11" s="2" t="inlineStr">
        <is>
          <t>I1</t>
        </is>
      </c>
      <c r="F11" s="2" t="n">
        <v>20</v>
      </c>
      <c r="G11" s="2" t="inlineStr">
        <is>
          <t>DERIVED</t>
        </is>
      </c>
      <c r="H11" s="2">
        <f>AVERAGEIF(QA_Images!C:C,C11,QA_Images!W:W)/100</f>
        <v>1</v>
      </c>
      <c r="I11" s="2">
        <f>H11*F11</f>
        <v>20</v>
      </c>
      <c r="J11" s="2">
        <f>AVERAGEIF(QA_Images!C:C,C11,QA_Images!X:X)/100*F11</f>
        <v>20</v>
      </c>
      <c r="K11" s="2" t="inlineStr">
        <is>
          <t>I1 comes only from 7 images for this product; direct image visual coverage is 100%.</t>
        </is>
      </c>
      <c r="L11" s="2" t="inlineStr">
        <is>
          <t>QA_Images rows 2:8</t>
        </is>
      </c>
    </row>
    <row r="12" ht="60" customHeight="1">
      <c r="A12" s="2" t="inlineStr">
        <is>
          <t>B04-031-E1</t>
        </is>
      </c>
      <c r="B12" s="2" t="inlineStr">
        <is>
          <t>20260909_154500</t>
        </is>
      </c>
      <c r="C12" s="2" t="n">
        <v>31</v>
      </c>
      <c r="D12" s="2" t="inlineStr">
        <is>
          <t>jeminise.com+christmas-cardinals-near-snowy-birdhouse-patchwork-floral-quilt-b90d55a935-b90d55a935</t>
        </is>
      </c>
      <c r="E12" s="2" t="inlineStr">
        <is>
          <t>E1</t>
        </is>
      </c>
      <c r="F12" s="2" t="n">
        <v>5</v>
      </c>
      <c r="G12" s="2" t="inlineStr">
        <is>
          <t>PARTIAL</t>
        </is>
      </c>
      <c r="H12" s="2">
        <v>0.5</v>
      </c>
      <c r="I12" s="2">
        <f>H12*F12</f>
        <v>2.5</v>
      </c>
      <c r="J12" s="2">
        <f>IF(G12&lt;&gt;"NOT_CHECKED",F12,0)</f>
        <v>5</v>
      </c>
      <c r="K12" s="2" t="inlineStr">
        <is>
          <t>Evidence chain exists but trace metadata still carries r4/revision_summary r4 fields, so traceability is partial.</t>
        </is>
      </c>
      <c r="L12" s="2" t="inlineStr">
        <is>
          <t>Product_Evidence row; revision_summary.json; SEO_Products revision column</t>
        </is>
      </c>
    </row>
    <row r="13" ht="60" customHeight="1">
      <c r="A13" s="2" t="inlineStr">
        <is>
          <t>B04-032-P1</t>
        </is>
      </c>
      <c r="B13" s="2" t="inlineStr">
        <is>
          <t>20260909_154500</t>
        </is>
      </c>
      <c r="C13" s="2" t="n">
        <v>32</v>
      </c>
      <c r="D13" s="2" t="inlineStr">
        <is>
          <t>jeminise.com+christmas-cardinals-on-snowy-branches-patchwork-winter-quilt-8fa1a9e2ed-8fa1a9e2ed</t>
        </is>
      </c>
      <c r="E13" s="2" t="inlineStr">
        <is>
          <t>P1</t>
        </is>
      </c>
      <c r="F13" s="2" t="n">
        <v>15</v>
      </c>
      <c r="G13" s="2" t="inlineStr">
        <is>
          <t>FULL</t>
        </is>
      </c>
      <c r="H13" s="2">
        <v>1</v>
      </c>
      <c r="I13" s="2">
        <f>H13*F13</f>
        <v>15</v>
      </c>
      <c r="J13" s="2">
        <f>IF(G13&lt;&gt;"NOT_CHECKED",F13,0)</f>
        <v>15</v>
      </c>
      <c r="K13" s="2" t="inlineStr">
        <is>
          <t>Live page/JSON identity matched locked product ID/handle; proposed title reviewed against product motif for position 32.</t>
        </is>
      </c>
      <c r="L13" s="2" t="inlineStr">
        <is>
          <t>SEO_Products row locked by product_key; live HTML/JSON snapshot 032</t>
        </is>
      </c>
    </row>
    <row r="14" ht="60" customHeight="1">
      <c r="A14" s="2" t="inlineStr">
        <is>
          <t>B04-032-P2</t>
        </is>
      </c>
      <c r="B14" s="2" t="inlineStr">
        <is>
          <t>20260909_154500</t>
        </is>
      </c>
      <c r="C14" s="2" t="n">
        <v>32</v>
      </c>
      <c r="D14" s="2" t="inlineStr">
        <is>
          <t>jeminise.com+christmas-cardinals-on-snowy-branches-patchwork-winter-quilt-8fa1a9e2ed-8fa1a9e2ed</t>
        </is>
      </c>
      <c r="E14" s="2" t="inlineStr">
        <is>
          <t>P2</t>
        </is>
      </c>
      <c r="F14" s="2" t="n">
        <v>10</v>
      </c>
      <c r="G14" s="2" t="inlineStr">
        <is>
          <t>FULL</t>
        </is>
      </c>
      <c r="H14" s="2">
        <v>1</v>
      </c>
      <c r="I14" s="2">
        <f>H14*F14</f>
        <v>10</v>
      </c>
      <c r="J14" s="2">
        <f>IF(G14&lt;&gt;"NOT_CHECKED",F14,0)</f>
        <v>10</v>
      </c>
      <c r="K14" s="2" t="inlineStr">
        <is>
          <t>Claims checked against live body/options/customizer evidence. Customizer evidence: not found.</t>
        </is>
      </c>
      <c r="L14" s="2" t="inlineStr">
        <is>
          <t>SEO_Products row locked by product_key; live HTML/JSON snapshot 032</t>
        </is>
      </c>
    </row>
    <row r="15" ht="60" customHeight="1">
      <c r="A15" s="2" t="inlineStr">
        <is>
          <t>B04-032-K1</t>
        </is>
      </c>
      <c r="B15" s="2" t="inlineStr">
        <is>
          <t>20260909_154500</t>
        </is>
      </c>
      <c r="C15" s="2" t="n">
        <v>32</v>
      </c>
      <c r="D15" s="2" t="inlineStr">
        <is>
          <t>jeminise.com+christmas-cardinals-on-snowy-branches-patchwork-winter-quilt-8fa1a9e2ed-8fa1a9e2ed</t>
        </is>
      </c>
      <c r="E15" s="2" t="inlineStr">
        <is>
          <t>K1</t>
        </is>
      </c>
      <c r="F15" s="2" t="n">
        <v>10</v>
      </c>
      <c r="G15" s="2" t="inlineStr">
        <is>
          <t>FULL</t>
        </is>
      </c>
      <c r="H15" s="2">
        <v>1</v>
      </c>
      <c r="I15" s="2">
        <f>H15*F15</f>
        <v>10</v>
      </c>
      <c r="J15" s="2">
        <f>IF(G15&lt;&gt;"NOT_CHECKED",F15,0)</f>
        <v>10</v>
      </c>
      <c r="K15" s="2" t="inlineStr">
        <is>
          <t>Keyword choice reviewed against product-specific motif and fresh US/English comparator queries.</t>
        </is>
      </c>
      <c r="L15" s="2" t="inlineStr">
        <is>
          <t>Keyword_Map rows for product_key; Buyer_Search_Research; serp_004_032_1/2</t>
        </is>
      </c>
    </row>
    <row r="16" ht="60" customHeight="1">
      <c r="A16" s="2" t="inlineStr">
        <is>
          <t>B04-032-K2</t>
        </is>
      </c>
      <c r="B16" s="2" t="inlineStr">
        <is>
          <t>20260909_154500</t>
        </is>
      </c>
      <c r="C16" s="2" t="n">
        <v>32</v>
      </c>
      <c r="D16" s="2" t="inlineStr">
        <is>
          <t>jeminise.com+christmas-cardinals-on-snowy-branches-patchwork-winter-quilt-8fa1a9e2ed-8fa1a9e2ed</t>
        </is>
      </c>
      <c r="E16" s="2" t="inlineStr">
        <is>
          <t>K2</t>
        </is>
      </c>
      <c r="F16" s="2" t="n">
        <v>5</v>
      </c>
      <c r="G16" s="2" t="inlineStr">
        <is>
          <t>FULL</t>
        </is>
      </c>
      <c r="H16" s="2">
        <v>1</v>
      </c>
      <c r="I16" s="2">
        <f>H16*F16</f>
        <v>5</v>
      </c>
      <c r="J16" s="2">
        <f>IF(G16&lt;&gt;"NOT_CHECKED",F16,0)</f>
        <v>5</v>
      </c>
      <c r="K16" s="2" t="inlineStr">
        <is>
          <t>SERP/product-page language supports buyer intent for finished bedding, with caution where niche query volume is weak.</t>
        </is>
      </c>
      <c r="L16" s="2" t="inlineStr">
        <is>
          <t>Keyword_Map rows for product_key; Buyer_Search_Research; serp_004_032_1/2</t>
        </is>
      </c>
    </row>
    <row r="17" ht="60" customHeight="1">
      <c r="A17" s="2" t="inlineStr">
        <is>
          <t>B04-032-K3</t>
        </is>
      </c>
      <c r="B17" s="2" t="inlineStr">
        <is>
          <t>20260909_154500</t>
        </is>
      </c>
      <c r="C17" s="2" t="n">
        <v>32</v>
      </c>
      <c r="D17" s="2" t="inlineStr">
        <is>
          <t>jeminise.com+christmas-cardinals-on-snowy-branches-patchwork-winter-quilt-8fa1a9e2ed-8fa1a9e2ed</t>
        </is>
      </c>
      <c r="E17" s="2" t="inlineStr">
        <is>
          <t>K3</t>
        </is>
      </c>
      <c r="F17" s="2" t="n">
        <v>5</v>
      </c>
      <c r="G17" s="2" t="inlineStr">
        <is>
          <t>PARTIAL</t>
        </is>
      </c>
      <c r="H17" s="2">
        <v>0.5</v>
      </c>
      <c r="I17" s="2">
        <f>H17*F17</f>
        <v>2.5</v>
      </c>
      <c r="J17" s="2">
        <f>IF(G17&lt;&gt;"NOT_CHECKED",F17,0)</f>
        <v>5</v>
      </c>
      <c r="K17" s="2" t="inlineStr">
        <is>
          <t>Cannibalization checked across batch 04; football variants share broad root but differ by retro/grunge/cosmic/USA/paint/patriotic modifier.</t>
        </is>
      </c>
      <c r="L17" s="2" t="inlineStr">
        <is>
          <t>Keyword_Map rows for product_key; Buyer_Search_Research; serp_004_032_1/2</t>
        </is>
      </c>
    </row>
    <row r="18" ht="60" customHeight="1">
      <c r="A18" s="2" t="inlineStr">
        <is>
          <t>B04-032-T1</t>
        </is>
      </c>
      <c r="B18" s="2" t="inlineStr">
        <is>
          <t>20260909_154500</t>
        </is>
      </c>
      <c r="C18" s="2" t="n">
        <v>32</v>
      </c>
      <c r="D18" s="2" t="inlineStr">
        <is>
          <t>jeminise.com+christmas-cardinals-on-snowy-branches-patchwork-winter-quilt-8fa1a9e2ed-8fa1a9e2ed</t>
        </is>
      </c>
      <c r="E18" s="2" t="inlineStr">
        <is>
          <t>T1</t>
        </is>
      </c>
      <c r="F18" s="2" t="n">
        <v>10</v>
      </c>
      <c r="G18" s="2" t="inlineStr">
        <is>
          <t>FULL</t>
        </is>
      </c>
      <c r="H18" s="2">
        <v>1</v>
      </c>
      <c r="I18" s="2">
        <f>H18*F18</f>
        <v>10</v>
      </c>
      <c r="J18" s="2">
        <f>IF(G18&lt;&gt;"NOT_CHECKED",F18,0)</f>
        <v>10</v>
      </c>
      <c r="K18" s="2" t="inlineStr">
        <is>
          <t>Mapped to meta_title_seo per requested mapping; title is customer-facing and reflects product evidence.</t>
        </is>
      </c>
      <c r="L18" s="2" t="inlineStr">
        <is>
          <t>SEO_Products row locked by product_key; live HTML/JSON snapshot 032</t>
        </is>
      </c>
    </row>
    <row r="19" ht="60" customHeight="1">
      <c r="A19" s="2" t="inlineStr">
        <is>
          <t>B04-032-T2</t>
        </is>
      </c>
      <c r="B19" s="2" t="inlineStr">
        <is>
          <t>20260909_154500</t>
        </is>
      </c>
      <c r="C19" s="2" t="n">
        <v>32</v>
      </c>
      <c r="D19" s="2" t="inlineStr">
        <is>
          <t>jeminise.com+christmas-cardinals-on-snowy-branches-patchwork-winter-quilt-8fa1a9e2ed-8fa1a9e2ed</t>
        </is>
      </c>
      <c r="E19" s="2" t="inlineStr">
        <is>
          <t>T2</t>
        </is>
      </c>
      <c r="F19" s="2" t="n">
        <v>5</v>
      </c>
      <c r="G19" s="2" t="inlineStr">
        <is>
          <t>FULL</t>
        </is>
      </c>
      <c r="H19" s="2">
        <v>1</v>
      </c>
      <c r="I19" s="2">
        <f>H19*F19</f>
        <v>5</v>
      </c>
      <c r="J19" s="2">
        <f>IF(G19&lt;&gt;"NOT_CHECKED",F19,0)</f>
        <v>5</v>
      </c>
      <c r="K19" s="2" t="inlineStr">
        <is>
          <t>Mapped to title_proposed and live theme H1 context; wording is product-facing.</t>
        </is>
      </c>
      <c r="L19" s="2" t="inlineStr">
        <is>
          <t>SEO_Products row locked by product_key; live HTML/JSON snapshot 032</t>
        </is>
      </c>
    </row>
    <row r="20" ht="60" customHeight="1">
      <c r="A20" s="2" t="inlineStr">
        <is>
          <t>B04-032-D1</t>
        </is>
      </c>
      <c r="B20" s="2" t="inlineStr">
        <is>
          <t>20260909_154500</t>
        </is>
      </c>
      <c r="C20" s="2" t="n">
        <v>32</v>
      </c>
      <c r="D20" s="2" t="inlineStr">
        <is>
          <t>jeminise.com+christmas-cardinals-on-snowy-branches-patchwork-winter-quilt-8fa1a9e2ed-8fa1a9e2ed</t>
        </is>
      </c>
      <c r="E20" s="2" t="inlineStr">
        <is>
          <t>D1</t>
        </is>
      </c>
      <c r="F20" s="2" t="n">
        <v>5</v>
      </c>
      <c r="G20" s="2" t="inlineStr">
        <is>
          <t>FULL</t>
        </is>
      </c>
      <c r="H20" s="2">
        <v>1</v>
      </c>
      <c r="I20" s="2">
        <f>H20*F20</f>
        <v>5</v>
      </c>
      <c r="J20" s="2">
        <f>IF(G20&lt;&gt;"NOT_CHECKED",F20,0)</f>
        <v>5</v>
      </c>
      <c r="K20" s="2" t="inlineStr">
        <is>
          <t>Mapped to meta_description_seo; length target treated editorially, not as a hard fail.</t>
        </is>
      </c>
      <c r="L20" s="2" t="inlineStr">
        <is>
          <t>SEO_Products row locked by product_key; live HTML/JSON snapshot 032</t>
        </is>
      </c>
    </row>
    <row r="21" ht="60" customHeight="1">
      <c r="A21" s="2" t="inlineStr">
        <is>
          <t>B04-032-D2</t>
        </is>
      </c>
      <c r="B21" s="2" t="inlineStr">
        <is>
          <t>20260909_154500</t>
        </is>
      </c>
      <c r="C21" s="2" t="n">
        <v>32</v>
      </c>
      <c r="D21" s="2" t="inlineStr">
        <is>
          <t>jeminise.com+christmas-cardinals-on-snowy-branches-patchwork-winter-quilt-8fa1a9e2ed-8fa1a9e2ed</t>
        </is>
      </c>
      <c r="E21" s="2" t="inlineStr">
        <is>
          <t>D2</t>
        </is>
      </c>
      <c r="F21" s="2" t="n">
        <v>10</v>
      </c>
      <c r="G21" s="2" t="inlineStr">
        <is>
          <t>FULL</t>
        </is>
      </c>
      <c r="H21" s="2">
        <v>1</v>
      </c>
      <c r="I21" s="2">
        <f>H21*F21</f>
        <v>10</v>
      </c>
      <c r="J21" s="2">
        <f>IF(G21&lt;&gt;"NOT_CHECKED",F21,0)</f>
        <v>10</v>
      </c>
      <c r="K21" s="2" t="inlineStr">
        <is>
          <t>Mapped to description_proposed_html; checked for customer-facing copy, claim support, material/care/components and no process wording.</t>
        </is>
      </c>
      <c r="L21" s="2" t="inlineStr">
        <is>
          <t>SEO_Products row locked by product_key; live HTML/JSON snapshot 032</t>
        </is>
      </c>
    </row>
    <row r="22" ht="60" customHeight="1">
      <c r="A22" s="2" t="inlineStr">
        <is>
          <t>B04-032-I1</t>
        </is>
      </c>
      <c r="B22" s="2" t="inlineStr">
        <is>
          <t>20260909_154500</t>
        </is>
      </c>
      <c r="C22" s="2" t="n">
        <v>32</v>
      </c>
      <c r="D22" s="2" t="inlineStr">
        <is>
          <t>jeminise.com+christmas-cardinals-on-snowy-branches-patchwork-winter-quilt-8fa1a9e2ed-8fa1a9e2ed</t>
        </is>
      </c>
      <c r="E22" s="2" t="inlineStr">
        <is>
          <t>I1</t>
        </is>
      </c>
      <c r="F22" s="2" t="n">
        <v>20</v>
      </c>
      <c r="G22" s="2" t="inlineStr">
        <is>
          <t>DERIVED</t>
        </is>
      </c>
      <c r="H22" s="2">
        <f>AVERAGEIF(QA_Images!C:C,C22,QA_Images!W:W)/100</f>
        <v>1</v>
      </c>
      <c r="I22" s="2">
        <f>H22*F22</f>
        <v>20</v>
      </c>
      <c r="J22" s="2">
        <f>AVERAGEIF(QA_Images!C:C,C22,QA_Images!X:X)/100*F22</f>
        <v>20</v>
      </c>
      <c r="K22" s="2" t="inlineStr">
        <is>
          <t>I1 comes only from 5 images for this product; direct image visual coverage is 100%.</t>
        </is>
      </c>
      <c r="L22" s="2" t="inlineStr">
        <is>
          <t>QA_Images rows 9:13</t>
        </is>
      </c>
    </row>
    <row r="23" ht="60" customHeight="1">
      <c r="A23" s="2" t="inlineStr">
        <is>
          <t>B04-032-E1</t>
        </is>
      </c>
      <c r="B23" s="2" t="inlineStr">
        <is>
          <t>20260909_154500</t>
        </is>
      </c>
      <c r="C23" s="2" t="n">
        <v>32</v>
      </c>
      <c r="D23" s="2" t="inlineStr">
        <is>
          <t>jeminise.com+christmas-cardinals-on-snowy-branches-patchwork-winter-quilt-8fa1a9e2ed-8fa1a9e2ed</t>
        </is>
      </c>
      <c r="E23" s="2" t="inlineStr">
        <is>
          <t>E1</t>
        </is>
      </c>
      <c r="F23" s="2" t="n">
        <v>5</v>
      </c>
      <c r="G23" s="2" t="inlineStr">
        <is>
          <t>PARTIAL</t>
        </is>
      </c>
      <c r="H23" s="2">
        <v>0.5</v>
      </c>
      <c r="I23" s="2">
        <f>H23*F23</f>
        <v>2.5</v>
      </c>
      <c r="J23" s="2">
        <f>IF(G23&lt;&gt;"NOT_CHECKED",F23,0)</f>
        <v>5</v>
      </c>
      <c r="K23" s="2" t="inlineStr">
        <is>
          <t>Evidence chain exists but trace metadata still carries r4/revision_summary r4 fields, so traceability is partial.</t>
        </is>
      </c>
      <c r="L23" s="2" t="inlineStr">
        <is>
          <t>Product_Evidence row; revision_summary.json; SEO_Products revision column</t>
        </is>
      </c>
    </row>
    <row r="24" ht="60" customHeight="1">
      <c r="A24" s="2" t="inlineStr">
        <is>
          <t>B04-033-P1</t>
        </is>
      </c>
      <c r="B24" s="2" t="inlineStr">
        <is>
          <t>20260909_154500</t>
        </is>
      </c>
      <c r="C24" s="2" t="n">
        <v>33</v>
      </c>
      <c r="D24" s="2" t="inlineStr">
        <is>
          <t>jeminise.com+cow-with-landscape-patchwork-quilt-animal-farmhouse-printed-quilt-set</t>
        </is>
      </c>
      <c r="E24" s="2" t="inlineStr">
        <is>
          <t>P1</t>
        </is>
      </c>
      <c r="F24" s="2" t="n">
        <v>15</v>
      </c>
      <c r="G24" s="2" t="inlineStr">
        <is>
          <t>FULL</t>
        </is>
      </c>
      <c r="H24" s="2">
        <v>1</v>
      </c>
      <c r="I24" s="2">
        <f>H24*F24</f>
        <v>15</v>
      </c>
      <c r="J24" s="2">
        <f>IF(G24&lt;&gt;"NOT_CHECKED",F24,0)</f>
        <v>15</v>
      </c>
      <c r="K24" s="2" t="inlineStr">
        <is>
          <t>Live page/JSON identity matched locked product ID/handle; proposed title reviewed against product motif for position 33.</t>
        </is>
      </c>
      <c r="L24" s="2" t="inlineStr">
        <is>
          <t>SEO_Products row locked by product_key; live HTML/JSON snapshot 033</t>
        </is>
      </c>
    </row>
    <row r="25" ht="60" customHeight="1">
      <c r="A25" s="2" t="inlineStr">
        <is>
          <t>B04-033-P2</t>
        </is>
      </c>
      <c r="B25" s="2" t="inlineStr">
        <is>
          <t>20260909_154500</t>
        </is>
      </c>
      <c r="C25" s="2" t="n">
        <v>33</v>
      </c>
      <c r="D25" s="2" t="inlineStr">
        <is>
          <t>jeminise.com+cow-with-landscape-patchwork-quilt-animal-farmhouse-printed-quilt-set</t>
        </is>
      </c>
      <c r="E25" s="2" t="inlineStr">
        <is>
          <t>P2</t>
        </is>
      </c>
      <c r="F25" s="2" t="n">
        <v>10</v>
      </c>
      <c r="G25" s="2" t="inlineStr">
        <is>
          <t>FULL</t>
        </is>
      </c>
      <c r="H25" s="2">
        <v>1</v>
      </c>
      <c r="I25" s="2">
        <f>H25*F25</f>
        <v>10</v>
      </c>
      <c r="J25" s="2">
        <f>IF(G25&lt;&gt;"NOT_CHECKED",F25,0)</f>
        <v>10</v>
      </c>
      <c r="K25" s="2" t="inlineStr">
        <is>
          <t>Claims checked against live body/options/customizer evidence. Customizer evidence: name control evidence found.</t>
        </is>
      </c>
      <c r="L25" s="2" t="inlineStr">
        <is>
          <t>SEO_Products row locked by product_key; live HTML/JSON snapshot 033</t>
        </is>
      </c>
    </row>
    <row r="26" ht="60" customHeight="1">
      <c r="A26" s="2" t="inlineStr">
        <is>
          <t>B04-033-K1</t>
        </is>
      </c>
      <c r="B26" s="2" t="inlineStr">
        <is>
          <t>20260909_154500</t>
        </is>
      </c>
      <c r="C26" s="2" t="n">
        <v>33</v>
      </c>
      <c r="D26" s="2" t="inlineStr">
        <is>
          <t>jeminise.com+cow-with-landscape-patchwork-quilt-animal-farmhouse-printed-quilt-set</t>
        </is>
      </c>
      <c r="E26" s="2" t="inlineStr">
        <is>
          <t>K1</t>
        </is>
      </c>
      <c r="F26" s="2" t="n">
        <v>10</v>
      </c>
      <c r="G26" s="2" t="inlineStr">
        <is>
          <t>FULL</t>
        </is>
      </c>
      <c r="H26" s="2">
        <v>1</v>
      </c>
      <c r="I26" s="2">
        <f>H26*F26</f>
        <v>10</v>
      </c>
      <c r="J26" s="2">
        <f>IF(G26&lt;&gt;"NOT_CHECKED",F26,0)</f>
        <v>10</v>
      </c>
      <c r="K26" s="2" t="inlineStr">
        <is>
          <t>Keyword choice reviewed against product-specific motif and fresh US/English comparator queries.</t>
        </is>
      </c>
      <c r="L26" s="2" t="inlineStr">
        <is>
          <t>Keyword_Map rows for product_key; Buyer_Search_Research; serp_004_033_1/2</t>
        </is>
      </c>
    </row>
    <row r="27" ht="60" customHeight="1">
      <c r="A27" s="2" t="inlineStr">
        <is>
          <t>B04-033-K2</t>
        </is>
      </c>
      <c r="B27" s="2" t="inlineStr">
        <is>
          <t>20260909_154500</t>
        </is>
      </c>
      <c r="C27" s="2" t="n">
        <v>33</v>
      </c>
      <c r="D27" s="2" t="inlineStr">
        <is>
          <t>jeminise.com+cow-with-landscape-patchwork-quilt-animal-farmhouse-printed-quilt-set</t>
        </is>
      </c>
      <c r="E27" s="2" t="inlineStr">
        <is>
          <t>K2</t>
        </is>
      </c>
      <c r="F27" s="2" t="n">
        <v>5</v>
      </c>
      <c r="G27" s="2" t="inlineStr">
        <is>
          <t>FULL</t>
        </is>
      </c>
      <c r="H27" s="2">
        <v>1</v>
      </c>
      <c r="I27" s="2">
        <f>H27*F27</f>
        <v>5</v>
      </c>
      <c r="J27" s="2">
        <f>IF(G27&lt;&gt;"NOT_CHECKED",F27,0)</f>
        <v>5</v>
      </c>
      <c r="K27" s="2" t="inlineStr">
        <is>
          <t>SERP/product-page language supports buyer intent for finished bedding, with caution where niche query volume is weak.</t>
        </is>
      </c>
      <c r="L27" s="2" t="inlineStr">
        <is>
          <t>Keyword_Map rows for product_key; Buyer_Search_Research; serp_004_033_1/2</t>
        </is>
      </c>
    </row>
    <row r="28" ht="60" customHeight="1">
      <c r="A28" s="2" t="inlineStr">
        <is>
          <t>B04-033-K3</t>
        </is>
      </c>
      <c r="B28" s="2" t="inlineStr">
        <is>
          <t>20260909_154500</t>
        </is>
      </c>
      <c r="C28" s="2" t="n">
        <v>33</v>
      </c>
      <c r="D28" s="2" t="inlineStr">
        <is>
          <t>jeminise.com+cow-with-landscape-patchwork-quilt-animal-farmhouse-printed-quilt-set</t>
        </is>
      </c>
      <c r="E28" s="2" t="inlineStr">
        <is>
          <t>K3</t>
        </is>
      </c>
      <c r="F28" s="2" t="n">
        <v>5</v>
      </c>
      <c r="G28" s="2" t="inlineStr">
        <is>
          <t>PARTIAL</t>
        </is>
      </c>
      <c r="H28" s="2">
        <v>0.5</v>
      </c>
      <c r="I28" s="2">
        <f>H28*F28</f>
        <v>2.5</v>
      </c>
      <c r="J28" s="2">
        <f>IF(G28&lt;&gt;"NOT_CHECKED",F28,0)</f>
        <v>5</v>
      </c>
      <c r="K28" s="2" t="inlineStr">
        <is>
          <t>Cannibalization checked across batch 04; football variants share broad root but differ by retro/grunge/cosmic/USA/paint/patriotic modifier.</t>
        </is>
      </c>
      <c r="L28" s="2" t="inlineStr">
        <is>
          <t>Keyword_Map rows for product_key; Buyer_Search_Research; serp_004_033_1/2</t>
        </is>
      </c>
    </row>
    <row r="29" ht="60" customHeight="1">
      <c r="A29" s="2" t="inlineStr">
        <is>
          <t>B04-033-T1</t>
        </is>
      </c>
      <c r="B29" s="2" t="inlineStr">
        <is>
          <t>20260909_154500</t>
        </is>
      </c>
      <c r="C29" s="2" t="n">
        <v>33</v>
      </c>
      <c r="D29" s="2" t="inlineStr">
        <is>
          <t>jeminise.com+cow-with-landscape-patchwork-quilt-animal-farmhouse-printed-quilt-set</t>
        </is>
      </c>
      <c r="E29" s="2" t="inlineStr">
        <is>
          <t>T1</t>
        </is>
      </c>
      <c r="F29" s="2" t="n">
        <v>10</v>
      </c>
      <c r="G29" s="2" t="inlineStr">
        <is>
          <t>FULL</t>
        </is>
      </c>
      <c r="H29" s="2">
        <v>1</v>
      </c>
      <c r="I29" s="2">
        <f>H29*F29</f>
        <v>10</v>
      </c>
      <c r="J29" s="2">
        <f>IF(G29&lt;&gt;"NOT_CHECKED",F29,0)</f>
        <v>10</v>
      </c>
      <c r="K29" s="2" t="inlineStr">
        <is>
          <t>Mapped to meta_title_seo per requested mapping; title is customer-facing and reflects product evidence.</t>
        </is>
      </c>
      <c r="L29" s="2" t="inlineStr">
        <is>
          <t>SEO_Products row locked by product_key; live HTML/JSON snapshot 033</t>
        </is>
      </c>
    </row>
    <row r="30" ht="60" customHeight="1">
      <c r="A30" s="2" t="inlineStr">
        <is>
          <t>B04-033-T2</t>
        </is>
      </c>
      <c r="B30" s="2" t="inlineStr">
        <is>
          <t>20260909_154500</t>
        </is>
      </c>
      <c r="C30" s="2" t="n">
        <v>33</v>
      </c>
      <c r="D30" s="2" t="inlineStr">
        <is>
          <t>jeminise.com+cow-with-landscape-patchwork-quilt-animal-farmhouse-printed-quilt-set</t>
        </is>
      </c>
      <c r="E30" s="2" t="inlineStr">
        <is>
          <t>T2</t>
        </is>
      </c>
      <c r="F30" s="2" t="n">
        <v>5</v>
      </c>
      <c r="G30" s="2" t="inlineStr">
        <is>
          <t>FULL</t>
        </is>
      </c>
      <c r="H30" s="2">
        <v>1</v>
      </c>
      <c r="I30" s="2">
        <f>H30*F30</f>
        <v>5</v>
      </c>
      <c r="J30" s="2">
        <f>IF(G30&lt;&gt;"NOT_CHECKED",F30,0)</f>
        <v>5</v>
      </c>
      <c r="K30" s="2" t="inlineStr">
        <is>
          <t>Mapped to title_proposed and live theme H1 context; wording is product-facing.</t>
        </is>
      </c>
      <c r="L30" s="2" t="inlineStr">
        <is>
          <t>SEO_Products row locked by product_key; live HTML/JSON snapshot 033</t>
        </is>
      </c>
    </row>
    <row r="31" ht="60" customHeight="1">
      <c r="A31" s="2" t="inlineStr">
        <is>
          <t>B04-033-D1</t>
        </is>
      </c>
      <c r="B31" s="2" t="inlineStr">
        <is>
          <t>20260909_154500</t>
        </is>
      </c>
      <c r="C31" s="2" t="n">
        <v>33</v>
      </c>
      <c r="D31" s="2" t="inlineStr">
        <is>
          <t>jeminise.com+cow-with-landscape-patchwork-quilt-animal-farmhouse-printed-quilt-set</t>
        </is>
      </c>
      <c r="E31" s="2" t="inlineStr">
        <is>
          <t>D1</t>
        </is>
      </c>
      <c r="F31" s="2" t="n">
        <v>5</v>
      </c>
      <c r="G31" s="2" t="inlineStr">
        <is>
          <t>FULL</t>
        </is>
      </c>
      <c r="H31" s="2">
        <v>1</v>
      </c>
      <c r="I31" s="2">
        <f>H31*F31</f>
        <v>5</v>
      </c>
      <c r="J31" s="2">
        <f>IF(G31&lt;&gt;"NOT_CHECKED",F31,0)</f>
        <v>5</v>
      </c>
      <c r="K31" s="2" t="inlineStr">
        <is>
          <t>Mapped to meta_description_seo; length target treated editorially, not as a hard fail.</t>
        </is>
      </c>
      <c r="L31" s="2" t="inlineStr">
        <is>
          <t>SEO_Products row locked by product_key; live HTML/JSON snapshot 033</t>
        </is>
      </c>
    </row>
    <row r="32" ht="60" customHeight="1">
      <c r="A32" s="2" t="inlineStr">
        <is>
          <t>B04-033-D2</t>
        </is>
      </c>
      <c r="B32" s="2" t="inlineStr">
        <is>
          <t>20260909_154500</t>
        </is>
      </c>
      <c r="C32" s="2" t="n">
        <v>33</v>
      </c>
      <c r="D32" s="2" t="inlineStr">
        <is>
          <t>jeminise.com+cow-with-landscape-patchwork-quilt-animal-farmhouse-printed-quilt-set</t>
        </is>
      </c>
      <c r="E32" s="2" t="inlineStr">
        <is>
          <t>D2</t>
        </is>
      </c>
      <c r="F32" s="2" t="n">
        <v>10</v>
      </c>
      <c r="G32" s="2" t="inlineStr">
        <is>
          <t>FULL</t>
        </is>
      </c>
      <c r="H32" s="2">
        <v>1</v>
      </c>
      <c r="I32" s="2">
        <f>H32*F32</f>
        <v>10</v>
      </c>
      <c r="J32" s="2">
        <f>IF(G32&lt;&gt;"NOT_CHECKED",F32,0)</f>
        <v>10</v>
      </c>
      <c r="K32" s="2" t="inlineStr">
        <is>
          <t>Mapped to description_proposed_html; checked for customer-facing copy, claim support, material/care/components and no process wording.</t>
        </is>
      </c>
      <c r="L32" s="2" t="inlineStr">
        <is>
          <t>SEO_Products row locked by product_key; live HTML/JSON snapshot 033</t>
        </is>
      </c>
    </row>
    <row r="33" ht="60" customHeight="1">
      <c r="A33" s="2" t="inlineStr">
        <is>
          <t>B04-033-I1</t>
        </is>
      </c>
      <c r="B33" s="2" t="inlineStr">
        <is>
          <t>20260909_154500</t>
        </is>
      </c>
      <c r="C33" s="2" t="n">
        <v>33</v>
      </c>
      <c r="D33" s="2" t="inlineStr">
        <is>
          <t>jeminise.com+cow-with-landscape-patchwork-quilt-animal-farmhouse-printed-quilt-set</t>
        </is>
      </c>
      <c r="E33" s="2" t="inlineStr">
        <is>
          <t>I1</t>
        </is>
      </c>
      <c r="F33" s="2" t="n">
        <v>20</v>
      </c>
      <c r="G33" s="2" t="inlineStr">
        <is>
          <t>DERIVED</t>
        </is>
      </c>
      <c r="H33" s="2">
        <f>AVERAGEIF(QA_Images!C:C,C33,QA_Images!W:W)/100</f>
        <v>1</v>
      </c>
      <c r="I33" s="2">
        <f>H33*F33</f>
        <v>20</v>
      </c>
      <c r="J33" s="2">
        <f>AVERAGEIF(QA_Images!C:C,C33,QA_Images!X:X)/100*F33</f>
        <v>20</v>
      </c>
      <c r="K33" s="2" t="inlineStr">
        <is>
          <t>I1 comes only from 7 images for this product; direct image visual coverage is 100%.</t>
        </is>
      </c>
      <c r="L33" s="2" t="inlineStr">
        <is>
          <t>QA_Images rows 14:20</t>
        </is>
      </c>
    </row>
    <row r="34" ht="60" customHeight="1">
      <c r="A34" s="2" t="inlineStr">
        <is>
          <t>B04-033-E1</t>
        </is>
      </c>
      <c r="B34" s="2" t="inlineStr">
        <is>
          <t>20260909_154500</t>
        </is>
      </c>
      <c r="C34" s="2" t="n">
        <v>33</v>
      </c>
      <c r="D34" s="2" t="inlineStr">
        <is>
          <t>jeminise.com+cow-with-landscape-patchwork-quilt-animal-farmhouse-printed-quilt-set</t>
        </is>
      </c>
      <c r="E34" s="2" t="inlineStr">
        <is>
          <t>E1</t>
        </is>
      </c>
      <c r="F34" s="2" t="n">
        <v>5</v>
      </c>
      <c r="G34" s="2" t="inlineStr">
        <is>
          <t>PARTIAL</t>
        </is>
      </c>
      <c r="H34" s="2">
        <v>0.5</v>
      </c>
      <c r="I34" s="2">
        <f>H34*F34</f>
        <v>2.5</v>
      </c>
      <c r="J34" s="2">
        <f>IF(G34&lt;&gt;"NOT_CHECKED",F34,0)</f>
        <v>5</v>
      </c>
      <c r="K34" s="2" t="inlineStr">
        <is>
          <t>Evidence chain exists but trace metadata still carries r4/revision_summary r4 fields, so traceability is partial.</t>
        </is>
      </c>
      <c r="L34" s="2" t="inlineStr">
        <is>
          <t>Product_Evidence row; revision_summary.json; SEO_Products revision column</t>
        </is>
      </c>
    </row>
    <row r="35" ht="60" customHeight="1">
      <c r="A35" s="2" t="inlineStr">
        <is>
          <t>B04-034-P1</t>
        </is>
      </c>
      <c r="B35" s="2" t="inlineStr">
        <is>
          <t>20260909_154500</t>
        </is>
      </c>
      <c r="C35" s="2" t="n">
        <v>34</v>
      </c>
      <c r="D35" s="2" t="inlineStr">
        <is>
          <t>jeminise.com+crocodile-patchwork-printed-quilts-animal-patchwork-bedding</t>
        </is>
      </c>
      <c r="E35" s="2" t="inlineStr">
        <is>
          <t>P1</t>
        </is>
      </c>
      <c r="F35" s="2" t="n">
        <v>15</v>
      </c>
      <c r="G35" s="2" t="inlineStr">
        <is>
          <t>FULL</t>
        </is>
      </c>
      <c r="H35" s="2">
        <v>1</v>
      </c>
      <c r="I35" s="2">
        <f>H35*F35</f>
        <v>15</v>
      </c>
      <c r="J35" s="2">
        <f>IF(G35&lt;&gt;"NOT_CHECKED",F35,0)</f>
        <v>15</v>
      </c>
      <c r="K35" s="2" t="inlineStr">
        <is>
          <t>Live page/JSON identity matched locked product ID/handle; proposed title reviewed against product motif for position 34.</t>
        </is>
      </c>
      <c r="L35" s="2" t="inlineStr">
        <is>
          <t>SEO_Products row locked by product_key; live HTML/JSON snapshot 034</t>
        </is>
      </c>
    </row>
    <row r="36" ht="60" customHeight="1">
      <c r="A36" s="2" t="inlineStr">
        <is>
          <t>B04-034-P2</t>
        </is>
      </c>
      <c r="B36" s="2" t="inlineStr">
        <is>
          <t>20260909_154500</t>
        </is>
      </c>
      <c r="C36" s="2" t="n">
        <v>34</v>
      </c>
      <c r="D36" s="2" t="inlineStr">
        <is>
          <t>jeminise.com+crocodile-patchwork-printed-quilts-animal-patchwork-bedding</t>
        </is>
      </c>
      <c r="E36" s="2" t="inlineStr">
        <is>
          <t>P2</t>
        </is>
      </c>
      <c r="F36" s="2" t="n">
        <v>10</v>
      </c>
      <c r="G36" s="2" t="inlineStr">
        <is>
          <t>PARTIAL</t>
        </is>
      </c>
      <c r="H36" s="2">
        <v>0.5</v>
      </c>
      <c r="I36" s="2">
        <f>H36*F36</f>
        <v>5</v>
      </c>
      <c r="J36" s="2">
        <f>IF(G36&lt;&gt;"NOT_CHECKED",F36,0)</f>
        <v>10</v>
      </c>
      <c r="K36" s="2" t="inlineStr">
        <is>
          <t>Claims checked against live body/options/customizer evidence. Customizer evidence: name control evidence found.</t>
        </is>
      </c>
      <c r="L36" s="2" t="inlineStr">
        <is>
          <t>SEO_Products row locked by product_key; live HTML/JSON snapshot 034</t>
        </is>
      </c>
    </row>
    <row r="37" ht="60" customHeight="1">
      <c r="A37" s="2" t="inlineStr">
        <is>
          <t>B04-034-K1</t>
        </is>
      </c>
      <c r="B37" s="2" t="inlineStr">
        <is>
          <t>20260909_154500</t>
        </is>
      </c>
      <c r="C37" s="2" t="n">
        <v>34</v>
      </c>
      <c r="D37" s="2" t="inlineStr">
        <is>
          <t>jeminise.com+crocodile-patchwork-printed-quilts-animal-patchwork-bedding</t>
        </is>
      </c>
      <c r="E37" s="2" t="inlineStr">
        <is>
          <t>K1</t>
        </is>
      </c>
      <c r="F37" s="2" t="n">
        <v>10</v>
      </c>
      <c r="G37" s="2" t="inlineStr">
        <is>
          <t>PARTIAL</t>
        </is>
      </c>
      <c r="H37" s="2">
        <v>0.5</v>
      </c>
      <c r="I37" s="2">
        <f>H37*F37</f>
        <v>5</v>
      </c>
      <c r="J37" s="2">
        <f>IF(G37&lt;&gt;"NOT_CHECKED",F37,0)</f>
        <v>10</v>
      </c>
      <c r="K37" s="2" t="inlineStr">
        <is>
          <t>Keyword choice reviewed against product-specific motif and fresh US/English comparator queries.</t>
        </is>
      </c>
      <c r="L37" s="2" t="inlineStr">
        <is>
          <t>Keyword_Map rows for product_key; Buyer_Search_Research; serp_004_034_1/2</t>
        </is>
      </c>
    </row>
    <row r="38" ht="60" customHeight="1">
      <c r="A38" s="2" t="inlineStr">
        <is>
          <t>B04-034-K2</t>
        </is>
      </c>
      <c r="B38" s="2" t="inlineStr">
        <is>
          <t>20260909_154500</t>
        </is>
      </c>
      <c r="C38" s="2" t="n">
        <v>34</v>
      </c>
      <c r="D38" s="2" t="inlineStr">
        <is>
          <t>jeminise.com+crocodile-patchwork-printed-quilts-animal-patchwork-bedding</t>
        </is>
      </c>
      <c r="E38" s="2" t="inlineStr">
        <is>
          <t>K2</t>
        </is>
      </c>
      <c r="F38" s="2" t="n">
        <v>5</v>
      </c>
      <c r="G38" s="2" t="inlineStr">
        <is>
          <t>PARTIAL</t>
        </is>
      </c>
      <c r="H38" s="2">
        <v>0.5</v>
      </c>
      <c r="I38" s="2">
        <f>H38*F38</f>
        <v>2.5</v>
      </c>
      <c r="J38" s="2">
        <f>IF(G38&lt;&gt;"NOT_CHECKED",F38,0)</f>
        <v>5</v>
      </c>
      <c r="K38" s="2" t="inlineStr">
        <is>
          <t>SERP/product-page language supports buyer intent for finished bedding, with caution where niche query volume is weak.</t>
        </is>
      </c>
      <c r="L38" s="2" t="inlineStr">
        <is>
          <t>Keyword_Map rows for product_key; Buyer_Search_Research; serp_004_034_1/2</t>
        </is>
      </c>
    </row>
    <row r="39" ht="60" customHeight="1">
      <c r="A39" s="2" t="inlineStr">
        <is>
          <t>B04-034-K3</t>
        </is>
      </c>
      <c r="B39" s="2" t="inlineStr">
        <is>
          <t>20260909_154500</t>
        </is>
      </c>
      <c r="C39" s="2" t="n">
        <v>34</v>
      </c>
      <c r="D39" s="2" t="inlineStr">
        <is>
          <t>jeminise.com+crocodile-patchwork-printed-quilts-animal-patchwork-bedding</t>
        </is>
      </c>
      <c r="E39" s="2" t="inlineStr">
        <is>
          <t>K3</t>
        </is>
      </c>
      <c r="F39" s="2" t="n">
        <v>5</v>
      </c>
      <c r="G39" s="2" t="inlineStr">
        <is>
          <t>PARTIAL</t>
        </is>
      </c>
      <c r="H39" s="2">
        <v>0.5</v>
      </c>
      <c r="I39" s="2">
        <f>H39*F39</f>
        <v>2.5</v>
      </c>
      <c r="J39" s="2">
        <f>IF(G39&lt;&gt;"NOT_CHECKED",F39,0)</f>
        <v>5</v>
      </c>
      <c r="K39" s="2" t="inlineStr">
        <is>
          <t>Cannibalization checked across batch 04; football variants share broad root but differ by retro/grunge/cosmic/USA/paint/patriotic modifier.</t>
        </is>
      </c>
      <c r="L39" s="2" t="inlineStr">
        <is>
          <t>Keyword_Map rows for product_key; Buyer_Search_Research; serp_004_034_1/2</t>
        </is>
      </c>
    </row>
    <row r="40" ht="60" customHeight="1">
      <c r="A40" s="2" t="inlineStr">
        <is>
          <t>B04-034-T1</t>
        </is>
      </c>
      <c r="B40" s="2" t="inlineStr">
        <is>
          <t>20260909_154500</t>
        </is>
      </c>
      <c r="C40" s="2" t="n">
        <v>34</v>
      </c>
      <c r="D40" s="2" t="inlineStr">
        <is>
          <t>jeminise.com+crocodile-patchwork-printed-quilts-animal-patchwork-bedding</t>
        </is>
      </c>
      <c r="E40" s="2" t="inlineStr">
        <is>
          <t>T1</t>
        </is>
      </c>
      <c r="F40" s="2" t="n">
        <v>10</v>
      </c>
      <c r="G40" s="2" t="inlineStr">
        <is>
          <t>FULL</t>
        </is>
      </c>
      <c r="H40" s="2">
        <v>1</v>
      </c>
      <c r="I40" s="2">
        <f>H40*F40</f>
        <v>10</v>
      </c>
      <c r="J40" s="2">
        <f>IF(G40&lt;&gt;"NOT_CHECKED",F40,0)</f>
        <v>10</v>
      </c>
      <c r="K40" s="2" t="inlineStr">
        <is>
          <t>Mapped to meta_title_seo per requested mapping; title is customer-facing and reflects product evidence.</t>
        </is>
      </c>
      <c r="L40" s="2" t="inlineStr">
        <is>
          <t>SEO_Products row locked by product_key; live HTML/JSON snapshot 034</t>
        </is>
      </c>
    </row>
    <row r="41" ht="60" customHeight="1">
      <c r="A41" s="2" t="inlineStr">
        <is>
          <t>B04-034-T2</t>
        </is>
      </c>
      <c r="B41" s="2" t="inlineStr">
        <is>
          <t>20260909_154500</t>
        </is>
      </c>
      <c r="C41" s="2" t="n">
        <v>34</v>
      </c>
      <c r="D41" s="2" t="inlineStr">
        <is>
          <t>jeminise.com+crocodile-patchwork-printed-quilts-animal-patchwork-bedding</t>
        </is>
      </c>
      <c r="E41" s="2" t="inlineStr">
        <is>
          <t>T2</t>
        </is>
      </c>
      <c r="F41" s="2" t="n">
        <v>5</v>
      </c>
      <c r="G41" s="2" t="inlineStr">
        <is>
          <t>FULL</t>
        </is>
      </c>
      <c r="H41" s="2">
        <v>1</v>
      </c>
      <c r="I41" s="2">
        <f>H41*F41</f>
        <v>5</v>
      </c>
      <c r="J41" s="2">
        <f>IF(G41&lt;&gt;"NOT_CHECKED",F41,0)</f>
        <v>5</v>
      </c>
      <c r="K41" s="2" t="inlineStr">
        <is>
          <t>Mapped to title_proposed and live theme H1 context; wording is product-facing.</t>
        </is>
      </c>
      <c r="L41" s="2" t="inlineStr">
        <is>
          <t>SEO_Products row locked by product_key; live HTML/JSON snapshot 034</t>
        </is>
      </c>
    </row>
    <row r="42" ht="60" customHeight="1">
      <c r="A42" s="2" t="inlineStr">
        <is>
          <t>B04-034-D1</t>
        </is>
      </c>
      <c r="B42" s="2" t="inlineStr">
        <is>
          <t>20260909_154500</t>
        </is>
      </c>
      <c r="C42" s="2" t="n">
        <v>34</v>
      </c>
      <c r="D42" s="2" t="inlineStr">
        <is>
          <t>jeminise.com+crocodile-patchwork-printed-quilts-animal-patchwork-bedding</t>
        </is>
      </c>
      <c r="E42" s="2" t="inlineStr">
        <is>
          <t>D1</t>
        </is>
      </c>
      <c r="F42" s="2" t="n">
        <v>5</v>
      </c>
      <c r="G42" s="2" t="inlineStr">
        <is>
          <t>FULL</t>
        </is>
      </c>
      <c r="H42" s="2">
        <v>1</v>
      </c>
      <c r="I42" s="2">
        <f>H42*F42</f>
        <v>5</v>
      </c>
      <c r="J42" s="2">
        <f>IF(G42&lt;&gt;"NOT_CHECKED",F42,0)</f>
        <v>5</v>
      </c>
      <c r="K42" s="2" t="inlineStr">
        <is>
          <t>Mapped to meta_description_seo; length target treated editorially, not as a hard fail.</t>
        </is>
      </c>
      <c r="L42" s="2" t="inlineStr">
        <is>
          <t>SEO_Products row locked by product_key; live HTML/JSON snapshot 034</t>
        </is>
      </c>
    </row>
    <row r="43" ht="60" customHeight="1">
      <c r="A43" s="2" t="inlineStr">
        <is>
          <t>B04-034-D2</t>
        </is>
      </c>
      <c r="B43" s="2" t="inlineStr">
        <is>
          <t>20260909_154500</t>
        </is>
      </c>
      <c r="C43" s="2" t="n">
        <v>34</v>
      </c>
      <c r="D43" s="2" t="inlineStr">
        <is>
          <t>jeminise.com+crocodile-patchwork-printed-quilts-animal-patchwork-bedding</t>
        </is>
      </c>
      <c r="E43" s="2" t="inlineStr">
        <is>
          <t>D2</t>
        </is>
      </c>
      <c r="F43" s="2" t="n">
        <v>10</v>
      </c>
      <c r="G43" s="2" t="inlineStr">
        <is>
          <t>PARTIAL</t>
        </is>
      </c>
      <c r="H43" s="2">
        <v>0.5</v>
      </c>
      <c r="I43" s="2">
        <f>H43*F43</f>
        <v>5</v>
      </c>
      <c r="J43" s="2">
        <f>IF(G43&lt;&gt;"NOT_CHECKED",F43,0)</f>
        <v>10</v>
      </c>
      <c r="K43" s="2" t="inlineStr">
        <is>
          <t>Mapped to description_proposed_html; checked for customer-facing copy, claim support, material/care/components and no process wording.</t>
        </is>
      </c>
      <c r="L43" s="2" t="inlineStr">
        <is>
          <t>SEO_Products row locked by product_key; live HTML/JSON snapshot 034</t>
        </is>
      </c>
    </row>
    <row r="44" ht="60" customHeight="1">
      <c r="A44" s="2" t="inlineStr">
        <is>
          <t>B04-034-I1</t>
        </is>
      </c>
      <c r="B44" s="2" t="inlineStr">
        <is>
          <t>20260909_154500</t>
        </is>
      </c>
      <c r="C44" s="2" t="n">
        <v>34</v>
      </c>
      <c r="D44" s="2" t="inlineStr">
        <is>
          <t>jeminise.com+crocodile-patchwork-printed-quilts-animal-patchwork-bedding</t>
        </is>
      </c>
      <c r="E44" s="2" t="inlineStr">
        <is>
          <t>I1</t>
        </is>
      </c>
      <c r="F44" s="2" t="n">
        <v>20</v>
      </c>
      <c r="G44" s="2" t="inlineStr">
        <is>
          <t>DERIVED</t>
        </is>
      </c>
      <c r="H44" s="2">
        <f>AVERAGEIF(QA_Images!C:C,C44,QA_Images!W:W)/100</f>
        <v>1</v>
      </c>
      <c r="I44" s="2">
        <f>H44*F44</f>
        <v>20</v>
      </c>
      <c r="J44" s="2">
        <f>AVERAGEIF(QA_Images!C:C,C44,QA_Images!X:X)/100*F44</f>
        <v>20</v>
      </c>
      <c r="K44" s="2" t="inlineStr">
        <is>
          <t>I1 comes only from 7 images for this product; direct image visual coverage is 100%.</t>
        </is>
      </c>
      <c r="L44" s="2" t="inlineStr">
        <is>
          <t>QA_Images rows 21:27</t>
        </is>
      </c>
    </row>
    <row r="45" ht="60" customHeight="1">
      <c r="A45" s="2" t="inlineStr">
        <is>
          <t>B04-034-E1</t>
        </is>
      </c>
      <c r="B45" s="2" t="inlineStr">
        <is>
          <t>20260909_154500</t>
        </is>
      </c>
      <c r="C45" s="2" t="n">
        <v>34</v>
      </c>
      <c r="D45" s="2" t="inlineStr">
        <is>
          <t>jeminise.com+crocodile-patchwork-printed-quilts-animal-patchwork-bedding</t>
        </is>
      </c>
      <c r="E45" s="2" t="inlineStr">
        <is>
          <t>E1</t>
        </is>
      </c>
      <c r="F45" s="2" t="n">
        <v>5</v>
      </c>
      <c r="G45" s="2" t="inlineStr">
        <is>
          <t>PARTIAL</t>
        </is>
      </c>
      <c r="H45" s="2">
        <v>0.5</v>
      </c>
      <c r="I45" s="2">
        <f>H45*F45</f>
        <v>2.5</v>
      </c>
      <c r="J45" s="2">
        <f>IF(G45&lt;&gt;"NOT_CHECKED",F45,0)</f>
        <v>5</v>
      </c>
      <c r="K45" s="2" t="inlineStr">
        <is>
          <t>Evidence chain exists but trace metadata still carries r4/revision_summary r4 fields, so traceability is partial.</t>
        </is>
      </c>
      <c r="L45" s="2" t="inlineStr">
        <is>
          <t>Product_Evidence row; revision_summary.json; SEO_Products revision column</t>
        </is>
      </c>
    </row>
    <row r="46" ht="60" customHeight="1">
      <c r="A46" s="2" t="inlineStr">
        <is>
          <t>B04-035-P1</t>
        </is>
      </c>
      <c r="B46" s="2" t="inlineStr">
        <is>
          <t>20260909_154500</t>
        </is>
      </c>
      <c r="C46" s="2" t="n">
        <v>35</v>
      </c>
      <c r="D46" s="2" t="inlineStr">
        <is>
          <t>jeminise.com+custom-retro-football-art-bedding-set-c66211cf75-c66211cf75</t>
        </is>
      </c>
      <c r="E46" s="2" t="inlineStr">
        <is>
          <t>P1</t>
        </is>
      </c>
      <c r="F46" s="2" t="n">
        <v>15</v>
      </c>
      <c r="G46" s="2" t="inlineStr">
        <is>
          <t>FULL</t>
        </is>
      </c>
      <c r="H46" s="2">
        <v>1</v>
      </c>
      <c r="I46" s="2">
        <f>H46*F46</f>
        <v>15</v>
      </c>
      <c r="J46" s="2">
        <f>IF(G46&lt;&gt;"NOT_CHECKED",F46,0)</f>
        <v>15</v>
      </c>
      <c r="K46" s="2" t="inlineStr">
        <is>
          <t>Live page/JSON identity matched locked product ID/handle; proposed title reviewed against product motif for position 35.</t>
        </is>
      </c>
      <c r="L46" s="2" t="inlineStr">
        <is>
          <t>SEO_Products row locked by product_key; live HTML/JSON snapshot 035</t>
        </is>
      </c>
    </row>
    <row r="47" ht="60" customHeight="1">
      <c r="A47" s="2" t="inlineStr">
        <is>
          <t>B04-035-P2</t>
        </is>
      </c>
      <c r="B47" s="2" t="inlineStr">
        <is>
          <t>20260909_154500</t>
        </is>
      </c>
      <c r="C47" s="2" t="n">
        <v>35</v>
      </c>
      <c r="D47" s="2" t="inlineStr">
        <is>
          <t>jeminise.com+custom-retro-football-art-bedding-set-c66211cf75-c66211cf75</t>
        </is>
      </c>
      <c r="E47" s="2" t="inlineStr">
        <is>
          <t>P2</t>
        </is>
      </c>
      <c r="F47" s="2" t="n">
        <v>10</v>
      </c>
      <c r="G47" s="2" t="inlineStr">
        <is>
          <t>PARTIAL</t>
        </is>
      </c>
      <c r="H47" s="2">
        <v>0.5</v>
      </c>
      <c r="I47" s="2">
        <f>H47*F47</f>
        <v>5</v>
      </c>
      <c r="J47" s="2">
        <f>IF(G47&lt;&gt;"NOT_CHECKED",F47,0)</f>
        <v>10</v>
      </c>
      <c r="K47" s="2" t="inlineStr">
        <is>
          <t>Claims checked against live body/options/customizer evidence. Customizer evidence: not found.</t>
        </is>
      </c>
      <c r="L47" s="2" t="inlineStr">
        <is>
          <t>SEO_Products row locked by product_key; live HTML/JSON snapshot 035</t>
        </is>
      </c>
    </row>
    <row r="48" ht="60" customHeight="1">
      <c r="A48" s="2" t="inlineStr">
        <is>
          <t>B04-035-K1</t>
        </is>
      </c>
      <c r="B48" s="2" t="inlineStr">
        <is>
          <t>20260909_154500</t>
        </is>
      </c>
      <c r="C48" s="2" t="n">
        <v>35</v>
      </c>
      <c r="D48" s="2" t="inlineStr">
        <is>
          <t>jeminise.com+custom-retro-football-art-bedding-set-c66211cf75-c66211cf75</t>
        </is>
      </c>
      <c r="E48" s="2" t="inlineStr">
        <is>
          <t>K1</t>
        </is>
      </c>
      <c r="F48" s="2" t="n">
        <v>10</v>
      </c>
      <c r="G48" s="2" t="inlineStr">
        <is>
          <t>FULL</t>
        </is>
      </c>
      <c r="H48" s="2">
        <v>1</v>
      </c>
      <c r="I48" s="2">
        <f>H48*F48</f>
        <v>10</v>
      </c>
      <c r="J48" s="2">
        <f>IF(G48&lt;&gt;"NOT_CHECKED",F48,0)</f>
        <v>10</v>
      </c>
      <c r="K48" s="2" t="inlineStr">
        <is>
          <t>Keyword choice reviewed against product-specific motif and fresh US/English comparator queries.</t>
        </is>
      </c>
      <c r="L48" s="2" t="inlineStr">
        <is>
          <t>Keyword_Map rows for product_key; Buyer_Search_Research; serp_004_035_1/2</t>
        </is>
      </c>
    </row>
    <row r="49" ht="60" customHeight="1">
      <c r="A49" s="2" t="inlineStr">
        <is>
          <t>B04-035-K2</t>
        </is>
      </c>
      <c r="B49" s="2" t="inlineStr">
        <is>
          <t>20260909_154500</t>
        </is>
      </c>
      <c r="C49" s="2" t="n">
        <v>35</v>
      </c>
      <c r="D49" s="2" t="inlineStr">
        <is>
          <t>jeminise.com+custom-retro-football-art-bedding-set-c66211cf75-c66211cf75</t>
        </is>
      </c>
      <c r="E49" s="2" t="inlineStr">
        <is>
          <t>K2</t>
        </is>
      </c>
      <c r="F49" s="2" t="n">
        <v>5</v>
      </c>
      <c r="G49" s="2" t="inlineStr">
        <is>
          <t>FULL</t>
        </is>
      </c>
      <c r="H49" s="2">
        <v>1</v>
      </c>
      <c r="I49" s="2">
        <f>H49*F49</f>
        <v>5</v>
      </c>
      <c r="J49" s="2">
        <f>IF(G49&lt;&gt;"NOT_CHECKED",F49,0)</f>
        <v>5</v>
      </c>
      <c r="K49" s="2" t="inlineStr">
        <is>
          <t>SERP/product-page language supports buyer intent for finished bedding, with caution where niche query volume is weak.</t>
        </is>
      </c>
      <c r="L49" s="2" t="inlineStr">
        <is>
          <t>Keyword_Map rows for product_key; Buyer_Search_Research; serp_004_035_1/2</t>
        </is>
      </c>
    </row>
    <row r="50" ht="60" customHeight="1">
      <c r="A50" s="2" t="inlineStr">
        <is>
          <t>B04-035-K3</t>
        </is>
      </c>
      <c r="B50" s="2" t="inlineStr">
        <is>
          <t>20260909_154500</t>
        </is>
      </c>
      <c r="C50" s="2" t="n">
        <v>35</v>
      </c>
      <c r="D50" s="2" t="inlineStr">
        <is>
          <t>jeminise.com+custom-retro-football-art-bedding-set-c66211cf75-c66211cf75</t>
        </is>
      </c>
      <c r="E50" s="2" t="inlineStr">
        <is>
          <t>K3</t>
        </is>
      </c>
      <c r="F50" s="2" t="n">
        <v>5</v>
      </c>
      <c r="G50" s="2" t="inlineStr">
        <is>
          <t>PARTIAL</t>
        </is>
      </c>
      <c r="H50" s="2">
        <v>0.5</v>
      </c>
      <c r="I50" s="2">
        <f>H50*F50</f>
        <v>2.5</v>
      </c>
      <c r="J50" s="2">
        <f>IF(G50&lt;&gt;"NOT_CHECKED",F50,0)</f>
        <v>5</v>
      </c>
      <c r="K50" s="2" t="inlineStr">
        <is>
          <t>Cannibalization checked across batch 04; football variants share broad root but differ by retro/grunge/cosmic/USA/paint/patriotic modifier.</t>
        </is>
      </c>
      <c r="L50" s="2" t="inlineStr">
        <is>
          <t>Keyword_Map rows for product_key; Buyer_Search_Research; serp_004_035_1/2</t>
        </is>
      </c>
    </row>
    <row r="51" ht="60" customHeight="1">
      <c r="A51" s="2" t="inlineStr">
        <is>
          <t>B04-035-T1</t>
        </is>
      </c>
      <c r="B51" s="2" t="inlineStr">
        <is>
          <t>20260909_154500</t>
        </is>
      </c>
      <c r="C51" s="2" t="n">
        <v>35</v>
      </c>
      <c r="D51" s="2" t="inlineStr">
        <is>
          <t>jeminise.com+custom-retro-football-art-bedding-set-c66211cf75-c66211cf75</t>
        </is>
      </c>
      <c r="E51" s="2" t="inlineStr">
        <is>
          <t>T1</t>
        </is>
      </c>
      <c r="F51" s="2" t="n">
        <v>10</v>
      </c>
      <c r="G51" s="2" t="inlineStr">
        <is>
          <t>FULL</t>
        </is>
      </c>
      <c r="H51" s="2">
        <v>1</v>
      </c>
      <c r="I51" s="2">
        <f>H51*F51</f>
        <v>10</v>
      </c>
      <c r="J51" s="2">
        <f>IF(G51&lt;&gt;"NOT_CHECKED",F51,0)</f>
        <v>10</v>
      </c>
      <c r="K51" s="2" t="inlineStr">
        <is>
          <t>Mapped to meta_title_seo per requested mapping; title is customer-facing and reflects product evidence.</t>
        </is>
      </c>
      <c r="L51" s="2" t="inlineStr">
        <is>
          <t>SEO_Products row locked by product_key; live HTML/JSON snapshot 035</t>
        </is>
      </c>
    </row>
    <row r="52" ht="60" customHeight="1">
      <c r="A52" s="2" t="inlineStr">
        <is>
          <t>B04-035-T2</t>
        </is>
      </c>
      <c r="B52" s="2" t="inlineStr">
        <is>
          <t>20260909_154500</t>
        </is>
      </c>
      <c r="C52" s="2" t="n">
        <v>35</v>
      </c>
      <c r="D52" s="2" t="inlineStr">
        <is>
          <t>jeminise.com+custom-retro-football-art-bedding-set-c66211cf75-c66211cf75</t>
        </is>
      </c>
      <c r="E52" s="2" t="inlineStr">
        <is>
          <t>T2</t>
        </is>
      </c>
      <c r="F52" s="2" t="n">
        <v>5</v>
      </c>
      <c r="G52" s="2" t="inlineStr">
        <is>
          <t>FULL</t>
        </is>
      </c>
      <c r="H52" s="2">
        <v>1</v>
      </c>
      <c r="I52" s="2">
        <f>H52*F52</f>
        <v>5</v>
      </c>
      <c r="J52" s="2">
        <f>IF(G52&lt;&gt;"NOT_CHECKED",F52,0)</f>
        <v>5</v>
      </c>
      <c r="K52" s="2" t="inlineStr">
        <is>
          <t>Mapped to title_proposed and live theme H1 context; wording is product-facing.</t>
        </is>
      </c>
      <c r="L52" s="2" t="inlineStr">
        <is>
          <t>SEO_Products row locked by product_key; live HTML/JSON snapshot 035</t>
        </is>
      </c>
    </row>
    <row r="53" ht="60" customHeight="1">
      <c r="A53" s="2" t="inlineStr">
        <is>
          <t>B04-035-D1</t>
        </is>
      </c>
      <c r="B53" s="2" t="inlineStr">
        <is>
          <t>20260909_154500</t>
        </is>
      </c>
      <c r="C53" s="2" t="n">
        <v>35</v>
      </c>
      <c r="D53" s="2" t="inlineStr">
        <is>
          <t>jeminise.com+custom-retro-football-art-bedding-set-c66211cf75-c66211cf75</t>
        </is>
      </c>
      <c r="E53" s="2" t="inlineStr">
        <is>
          <t>D1</t>
        </is>
      </c>
      <c r="F53" s="2" t="n">
        <v>5</v>
      </c>
      <c r="G53" s="2" t="inlineStr">
        <is>
          <t>FULL</t>
        </is>
      </c>
      <c r="H53" s="2">
        <v>1</v>
      </c>
      <c r="I53" s="2">
        <f>H53*F53</f>
        <v>5</v>
      </c>
      <c r="J53" s="2">
        <f>IF(G53&lt;&gt;"NOT_CHECKED",F53,0)</f>
        <v>5</v>
      </c>
      <c r="K53" s="2" t="inlineStr">
        <is>
          <t>Mapped to meta_description_seo; length target treated editorially, not as a hard fail.</t>
        </is>
      </c>
      <c r="L53" s="2" t="inlineStr">
        <is>
          <t>SEO_Products row locked by product_key; live HTML/JSON snapshot 035</t>
        </is>
      </c>
    </row>
    <row r="54" ht="60" customHeight="1">
      <c r="A54" s="2" t="inlineStr">
        <is>
          <t>B04-035-D2</t>
        </is>
      </c>
      <c r="B54" s="2" t="inlineStr">
        <is>
          <t>20260909_154500</t>
        </is>
      </c>
      <c r="C54" s="2" t="n">
        <v>35</v>
      </c>
      <c r="D54" s="2" t="inlineStr">
        <is>
          <t>jeminise.com+custom-retro-football-art-bedding-set-c66211cf75-c66211cf75</t>
        </is>
      </c>
      <c r="E54" s="2" t="inlineStr">
        <is>
          <t>D2</t>
        </is>
      </c>
      <c r="F54" s="2" t="n">
        <v>10</v>
      </c>
      <c r="G54" s="2" t="inlineStr">
        <is>
          <t>PARTIAL</t>
        </is>
      </c>
      <c r="H54" s="2">
        <v>0.5</v>
      </c>
      <c r="I54" s="2">
        <f>H54*F54</f>
        <v>5</v>
      </c>
      <c r="J54" s="2">
        <f>IF(G54&lt;&gt;"NOT_CHECKED",F54,0)</f>
        <v>10</v>
      </c>
      <c r="K54" s="2" t="inlineStr">
        <is>
          <t>Mapped to description_proposed_html; checked for customer-facing copy, claim support, material/care/components and no process wording.</t>
        </is>
      </c>
      <c r="L54" s="2" t="inlineStr">
        <is>
          <t>SEO_Products row locked by product_key; live HTML/JSON snapshot 035</t>
        </is>
      </c>
    </row>
    <row r="55" ht="60" customHeight="1">
      <c r="A55" s="2" t="inlineStr">
        <is>
          <t>B04-035-I1</t>
        </is>
      </c>
      <c r="B55" s="2" t="inlineStr">
        <is>
          <t>20260909_154500</t>
        </is>
      </c>
      <c r="C55" s="2" t="n">
        <v>35</v>
      </c>
      <c r="D55" s="2" t="inlineStr">
        <is>
          <t>jeminise.com+custom-retro-football-art-bedding-set-c66211cf75-c66211cf75</t>
        </is>
      </c>
      <c r="E55" s="2" t="inlineStr">
        <is>
          <t>I1</t>
        </is>
      </c>
      <c r="F55" s="2" t="n">
        <v>20</v>
      </c>
      <c r="G55" s="2" t="inlineStr">
        <is>
          <t>DERIVED</t>
        </is>
      </c>
      <c r="H55" s="2">
        <f>AVERAGEIF(QA_Images!C:C,C55,QA_Images!W:W)/100</f>
        <v>1</v>
      </c>
      <c r="I55" s="2">
        <f>H55*F55</f>
        <v>20</v>
      </c>
      <c r="J55" s="2">
        <f>AVERAGEIF(QA_Images!C:C,C55,QA_Images!X:X)/100*F55</f>
        <v>20</v>
      </c>
      <c r="K55" s="2" t="inlineStr">
        <is>
          <t>I1 comes only from 6 images for this product; direct image visual coverage is 100%.</t>
        </is>
      </c>
      <c r="L55" s="2" t="inlineStr">
        <is>
          <t>QA_Images rows 28:33</t>
        </is>
      </c>
    </row>
    <row r="56" ht="60" customHeight="1">
      <c r="A56" s="2" t="inlineStr">
        <is>
          <t>B04-035-E1</t>
        </is>
      </c>
      <c r="B56" s="2" t="inlineStr">
        <is>
          <t>20260909_154500</t>
        </is>
      </c>
      <c r="C56" s="2" t="n">
        <v>35</v>
      </c>
      <c r="D56" s="2" t="inlineStr">
        <is>
          <t>jeminise.com+custom-retro-football-art-bedding-set-c66211cf75-c66211cf75</t>
        </is>
      </c>
      <c r="E56" s="2" t="inlineStr">
        <is>
          <t>E1</t>
        </is>
      </c>
      <c r="F56" s="2" t="n">
        <v>5</v>
      </c>
      <c r="G56" s="2" t="inlineStr">
        <is>
          <t>PARTIAL</t>
        </is>
      </c>
      <c r="H56" s="2">
        <v>0.5</v>
      </c>
      <c r="I56" s="2">
        <f>H56*F56</f>
        <v>2.5</v>
      </c>
      <c r="J56" s="2">
        <f>IF(G56&lt;&gt;"NOT_CHECKED",F56,0)</f>
        <v>5</v>
      </c>
      <c r="K56" s="2" t="inlineStr">
        <is>
          <t>Evidence chain exists but trace metadata still carries r4/revision_summary r4 fields, so traceability is partial.</t>
        </is>
      </c>
      <c r="L56" s="2" t="inlineStr">
        <is>
          <t>Product_Evidence row; revision_summary.json; SEO_Products revision column</t>
        </is>
      </c>
    </row>
    <row r="57" ht="60" customHeight="1">
      <c r="A57" s="2" t="inlineStr">
        <is>
          <t>B04-036-P1</t>
        </is>
      </c>
      <c r="B57" s="2" t="inlineStr">
        <is>
          <t>20260909_154500</t>
        </is>
      </c>
      <c r="C57" s="2" t="n">
        <v>36</v>
      </c>
      <c r="D57" s="2" t="inlineStr">
        <is>
          <t>jeminise.com+custom-american-football-close-up-on-grunge-vintage-comforter-26540e3264-26540e3264</t>
        </is>
      </c>
      <c r="E57" s="2" t="inlineStr">
        <is>
          <t>P1</t>
        </is>
      </c>
      <c r="F57" s="2" t="n">
        <v>15</v>
      </c>
      <c r="G57" s="2" t="inlineStr">
        <is>
          <t>FULL</t>
        </is>
      </c>
      <c r="H57" s="2">
        <v>1</v>
      </c>
      <c r="I57" s="2">
        <f>H57*F57</f>
        <v>15</v>
      </c>
      <c r="J57" s="2">
        <f>IF(G57&lt;&gt;"NOT_CHECKED",F57,0)</f>
        <v>15</v>
      </c>
      <c r="K57" s="2" t="inlineStr">
        <is>
          <t>Live page/JSON identity matched locked product ID/handle; proposed title reviewed against product motif for position 36.</t>
        </is>
      </c>
      <c r="L57" s="2" t="inlineStr">
        <is>
          <t>SEO_Products row locked by product_key; live HTML/JSON snapshot 036</t>
        </is>
      </c>
    </row>
    <row r="58" ht="60" customHeight="1">
      <c r="A58" s="2" t="inlineStr">
        <is>
          <t>B04-036-P2</t>
        </is>
      </c>
      <c r="B58" s="2" t="inlineStr">
        <is>
          <t>20260909_154500</t>
        </is>
      </c>
      <c r="C58" s="2" t="n">
        <v>36</v>
      </c>
      <c r="D58" s="2" t="inlineStr">
        <is>
          <t>jeminise.com+custom-american-football-close-up-on-grunge-vintage-comforter-26540e3264-26540e3264</t>
        </is>
      </c>
      <c r="E58" s="2" t="inlineStr">
        <is>
          <t>P2</t>
        </is>
      </c>
      <c r="F58" s="2" t="n">
        <v>10</v>
      </c>
      <c r="G58" s="2" t="inlineStr">
        <is>
          <t>PARTIAL</t>
        </is>
      </c>
      <c r="H58" s="2">
        <v>0.5</v>
      </c>
      <c r="I58" s="2">
        <f>H58*F58</f>
        <v>5</v>
      </c>
      <c r="J58" s="2">
        <f>IF(G58&lt;&gt;"NOT_CHECKED",F58,0)</f>
        <v>10</v>
      </c>
      <c r="K58" s="2" t="inlineStr">
        <is>
          <t>Claims checked against live body/options/customizer evidence. Customizer evidence: not found.</t>
        </is>
      </c>
      <c r="L58" s="2" t="inlineStr">
        <is>
          <t>SEO_Products row locked by product_key; live HTML/JSON snapshot 036</t>
        </is>
      </c>
    </row>
    <row r="59" ht="60" customHeight="1">
      <c r="A59" s="2" t="inlineStr">
        <is>
          <t>B04-036-K1</t>
        </is>
      </c>
      <c r="B59" s="2" t="inlineStr">
        <is>
          <t>20260909_154500</t>
        </is>
      </c>
      <c r="C59" s="2" t="n">
        <v>36</v>
      </c>
      <c r="D59" s="2" t="inlineStr">
        <is>
          <t>jeminise.com+custom-american-football-close-up-on-grunge-vintage-comforter-26540e3264-26540e3264</t>
        </is>
      </c>
      <c r="E59" s="2" t="inlineStr">
        <is>
          <t>K1</t>
        </is>
      </c>
      <c r="F59" s="2" t="n">
        <v>10</v>
      </c>
      <c r="G59" s="2" t="inlineStr">
        <is>
          <t>FULL</t>
        </is>
      </c>
      <c r="H59" s="2">
        <v>1</v>
      </c>
      <c r="I59" s="2">
        <f>H59*F59</f>
        <v>10</v>
      </c>
      <c r="J59" s="2">
        <f>IF(G59&lt;&gt;"NOT_CHECKED",F59,0)</f>
        <v>10</v>
      </c>
      <c r="K59" s="2" t="inlineStr">
        <is>
          <t>Keyword choice reviewed against product-specific motif and fresh US/English comparator queries.</t>
        </is>
      </c>
      <c r="L59" s="2" t="inlineStr">
        <is>
          <t>Keyword_Map rows for product_key; Buyer_Search_Research; serp_004_036_1/2</t>
        </is>
      </c>
    </row>
    <row r="60" ht="60" customHeight="1">
      <c r="A60" s="2" t="inlineStr">
        <is>
          <t>B04-036-K2</t>
        </is>
      </c>
      <c r="B60" s="2" t="inlineStr">
        <is>
          <t>20260909_154500</t>
        </is>
      </c>
      <c r="C60" s="2" t="n">
        <v>36</v>
      </c>
      <c r="D60" s="2" t="inlineStr">
        <is>
          <t>jeminise.com+custom-american-football-close-up-on-grunge-vintage-comforter-26540e3264-26540e3264</t>
        </is>
      </c>
      <c r="E60" s="2" t="inlineStr">
        <is>
          <t>K2</t>
        </is>
      </c>
      <c r="F60" s="2" t="n">
        <v>5</v>
      </c>
      <c r="G60" s="2" t="inlineStr">
        <is>
          <t>FULL</t>
        </is>
      </c>
      <c r="H60" s="2">
        <v>1</v>
      </c>
      <c r="I60" s="2">
        <f>H60*F60</f>
        <v>5</v>
      </c>
      <c r="J60" s="2">
        <f>IF(G60&lt;&gt;"NOT_CHECKED",F60,0)</f>
        <v>5</v>
      </c>
      <c r="K60" s="2" t="inlineStr">
        <is>
          <t>SERP/product-page language supports buyer intent for finished bedding, with caution where niche query volume is weak.</t>
        </is>
      </c>
      <c r="L60" s="2" t="inlineStr">
        <is>
          <t>Keyword_Map rows for product_key; Buyer_Search_Research; serp_004_036_1/2</t>
        </is>
      </c>
    </row>
    <row r="61" ht="60" customHeight="1">
      <c r="A61" s="2" t="inlineStr">
        <is>
          <t>B04-036-K3</t>
        </is>
      </c>
      <c r="B61" s="2" t="inlineStr">
        <is>
          <t>20260909_154500</t>
        </is>
      </c>
      <c r="C61" s="2" t="n">
        <v>36</v>
      </c>
      <c r="D61" s="2" t="inlineStr">
        <is>
          <t>jeminise.com+custom-american-football-close-up-on-grunge-vintage-comforter-26540e3264-26540e3264</t>
        </is>
      </c>
      <c r="E61" s="2" t="inlineStr">
        <is>
          <t>K3</t>
        </is>
      </c>
      <c r="F61" s="2" t="n">
        <v>5</v>
      </c>
      <c r="G61" s="2" t="inlineStr">
        <is>
          <t>PARTIAL</t>
        </is>
      </c>
      <c r="H61" s="2">
        <v>0.5</v>
      </c>
      <c r="I61" s="2">
        <f>H61*F61</f>
        <v>2.5</v>
      </c>
      <c r="J61" s="2">
        <f>IF(G61&lt;&gt;"NOT_CHECKED",F61,0)</f>
        <v>5</v>
      </c>
      <c r="K61" s="2" t="inlineStr">
        <is>
          <t>Cannibalization checked across batch 04; football variants share broad root but differ by retro/grunge/cosmic/USA/paint/patriotic modifier.</t>
        </is>
      </c>
      <c r="L61" s="2" t="inlineStr">
        <is>
          <t>Keyword_Map rows for product_key; Buyer_Search_Research; serp_004_036_1/2</t>
        </is>
      </c>
    </row>
    <row r="62" ht="60" customHeight="1">
      <c r="A62" s="2" t="inlineStr">
        <is>
          <t>B04-036-T1</t>
        </is>
      </c>
      <c r="B62" s="2" t="inlineStr">
        <is>
          <t>20260909_154500</t>
        </is>
      </c>
      <c r="C62" s="2" t="n">
        <v>36</v>
      </c>
      <c r="D62" s="2" t="inlineStr">
        <is>
          <t>jeminise.com+custom-american-football-close-up-on-grunge-vintage-comforter-26540e3264-26540e3264</t>
        </is>
      </c>
      <c r="E62" s="2" t="inlineStr">
        <is>
          <t>T1</t>
        </is>
      </c>
      <c r="F62" s="2" t="n">
        <v>10</v>
      </c>
      <c r="G62" s="2" t="inlineStr">
        <is>
          <t>FULL</t>
        </is>
      </c>
      <c r="H62" s="2">
        <v>1</v>
      </c>
      <c r="I62" s="2">
        <f>H62*F62</f>
        <v>10</v>
      </c>
      <c r="J62" s="2">
        <f>IF(G62&lt;&gt;"NOT_CHECKED",F62,0)</f>
        <v>10</v>
      </c>
      <c r="K62" s="2" t="inlineStr">
        <is>
          <t>Mapped to meta_title_seo per requested mapping; title is customer-facing and reflects product evidence.</t>
        </is>
      </c>
      <c r="L62" s="2" t="inlineStr">
        <is>
          <t>SEO_Products row locked by product_key; live HTML/JSON snapshot 036</t>
        </is>
      </c>
    </row>
    <row r="63" ht="60" customHeight="1">
      <c r="A63" s="2" t="inlineStr">
        <is>
          <t>B04-036-T2</t>
        </is>
      </c>
      <c r="B63" s="2" t="inlineStr">
        <is>
          <t>20260909_154500</t>
        </is>
      </c>
      <c r="C63" s="2" t="n">
        <v>36</v>
      </c>
      <c r="D63" s="2" t="inlineStr">
        <is>
          <t>jeminise.com+custom-american-football-close-up-on-grunge-vintage-comforter-26540e3264-26540e3264</t>
        </is>
      </c>
      <c r="E63" s="2" t="inlineStr">
        <is>
          <t>T2</t>
        </is>
      </c>
      <c r="F63" s="2" t="n">
        <v>5</v>
      </c>
      <c r="G63" s="2" t="inlineStr">
        <is>
          <t>FULL</t>
        </is>
      </c>
      <c r="H63" s="2">
        <v>1</v>
      </c>
      <c r="I63" s="2">
        <f>H63*F63</f>
        <v>5</v>
      </c>
      <c r="J63" s="2">
        <f>IF(G63&lt;&gt;"NOT_CHECKED",F63,0)</f>
        <v>5</v>
      </c>
      <c r="K63" s="2" t="inlineStr">
        <is>
          <t>Mapped to title_proposed and live theme H1 context; wording is product-facing.</t>
        </is>
      </c>
      <c r="L63" s="2" t="inlineStr">
        <is>
          <t>SEO_Products row locked by product_key; live HTML/JSON snapshot 036</t>
        </is>
      </c>
    </row>
    <row r="64" ht="60" customHeight="1">
      <c r="A64" s="2" t="inlineStr">
        <is>
          <t>B04-036-D1</t>
        </is>
      </c>
      <c r="B64" s="2" t="inlineStr">
        <is>
          <t>20260909_154500</t>
        </is>
      </c>
      <c r="C64" s="2" t="n">
        <v>36</v>
      </c>
      <c r="D64" s="2" t="inlineStr">
        <is>
          <t>jeminise.com+custom-american-football-close-up-on-grunge-vintage-comforter-26540e3264-26540e3264</t>
        </is>
      </c>
      <c r="E64" s="2" t="inlineStr">
        <is>
          <t>D1</t>
        </is>
      </c>
      <c r="F64" s="2" t="n">
        <v>5</v>
      </c>
      <c r="G64" s="2" t="inlineStr">
        <is>
          <t>FULL</t>
        </is>
      </c>
      <c r="H64" s="2">
        <v>1</v>
      </c>
      <c r="I64" s="2">
        <f>H64*F64</f>
        <v>5</v>
      </c>
      <c r="J64" s="2">
        <f>IF(G64&lt;&gt;"NOT_CHECKED",F64,0)</f>
        <v>5</v>
      </c>
      <c r="K64" s="2" t="inlineStr">
        <is>
          <t>Mapped to meta_description_seo; length target treated editorially, not as a hard fail.</t>
        </is>
      </c>
      <c r="L64" s="2" t="inlineStr">
        <is>
          <t>SEO_Products row locked by product_key; live HTML/JSON snapshot 036</t>
        </is>
      </c>
    </row>
    <row r="65" ht="60" customHeight="1">
      <c r="A65" s="2" t="inlineStr">
        <is>
          <t>B04-036-D2</t>
        </is>
      </c>
      <c r="B65" s="2" t="inlineStr">
        <is>
          <t>20260909_154500</t>
        </is>
      </c>
      <c r="C65" s="2" t="n">
        <v>36</v>
      </c>
      <c r="D65" s="2" t="inlineStr">
        <is>
          <t>jeminise.com+custom-american-football-close-up-on-grunge-vintage-comforter-26540e3264-26540e3264</t>
        </is>
      </c>
      <c r="E65" s="2" t="inlineStr">
        <is>
          <t>D2</t>
        </is>
      </c>
      <c r="F65" s="2" t="n">
        <v>10</v>
      </c>
      <c r="G65" s="2" t="inlineStr">
        <is>
          <t>PARTIAL</t>
        </is>
      </c>
      <c r="H65" s="2">
        <v>0.5</v>
      </c>
      <c r="I65" s="2">
        <f>H65*F65</f>
        <v>5</v>
      </c>
      <c r="J65" s="2">
        <f>IF(G65&lt;&gt;"NOT_CHECKED",F65,0)</f>
        <v>10</v>
      </c>
      <c r="K65" s="2" t="inlineStr">
        <is>
          <t>Mapped to description_proposed_html; checked for customer-facing copy, claim support, material/care/components and no process wording.</t>
        </is>
      </c>
      <c r="L65" s="2" t="inlineStr">
        <is>
          <t>SEO_Products row locked by product_key; live HTML/JSON snapshot 036</t>
        </is>
      </c>
    </row>
    <row r="66" ht="60" customHeight="1">
      <c r="A66" s="2" t="inlineStr">
        <is>
          <t>B04-036-I1</t>
        </is>
      </c>
      <c r="B66" s="2" t="inlineStr">
        <is>
          <t>20260909_154500</t>
        </is>
      </c>
      <c r="C66" s="2" t="n">
        <v>36</v>
      </c>
      <c r="D66" s="2" t="inlineStr">
        <is>
          <t>jeminise.com+custom-american-football-close-up-on-grunge-vintage-comforter-26540e3264-26540e3264</t>
        </is>
      </c>
      <c r="E66" s="2" t="inlineStr">
        <is>
          <t>I1</t>
        </is>
      </c>
      <c r="F66" s="2" t="n">
        <v>20</v>
      </c>
      <c r="G66" s="2" t="inlineStr">
        <is>
          <t>DERIVED</t>
        </is>
      </c>
      <c r="H66" s="2">
        <f>AVERAGEIF(QA_Images!C:C,C66,QA_Images!W:W)/100</f>
        <v>1</v>
      </c>
      <c r="I66" s="2">
        <f>H66*F66</f>
        <v>20</v>
      </c>
      <c r="J66" s="2">
        <f>AVERAGEIF(QA_Images!C:C,C66,QA_Images!X:X)/100*F66</f>
        <v>20</v>
      </c>
      <c r="K66" s="2" t="inlineStr">
        <is>
          <t>I1 comes only from 6 images for this product; direct image visual coverage is 100%.</t>
        </is>
      </c>
      <c r="L66" s="2" t="inlineStr">
        <is>
          <t>QA_Images rows 34:39</t>
        </is>
      </c>
    </row>
    <row r="67" ht="60" customHeight="1">
      <c r="A67" s="2" t="inlineStr">
        <is>
          <t>B04-036-E1</t>
        </is>
      </c>
      <c r="B67" s="2" t="inlineStr">
        <is>
          <t>20260909_154500</t>
        </is>
      </c>
      <c r="C67" s="2" t="n">
        <v>36</v>
      </c>
      <c r="D67" s="2" t="inlineStr">
        <is>
          <t>jeminise.com+custom-american-football-close-up-on-grunge-vintage-comforter-26540e3264-26540e3264</t>
        </is>
      </c>
      <c r="E67" s="2" t="inlineStr">
        <is>
          <t>E1</t>
        </is>
      </c>
      <c r="F67" s="2" t="n">
        <v>5</v>
      </c>
      <c r="G67" s="2" t="inlineStr">
        <is>
          <t>PARTIAL</t>
        </is>
      </c>
      <c r="H67" s="2">
        <v>0.5</v>
      </c>
      <c r="I67" s="2">
        <f>H67*F67</f>
        <v>2.5</v>
      </c>
      <c r="J67" s="2">
        <f>IF(G67&lt;&gt;"NOT_CHECKED",F67,0)</f>
        <v>5</v>
      </c>
      <c r="K67" s="2" t="inlineStr">
        <is>
          <t>Evidence chain exists but trace metadata still carries r4/revision_summary r4 fields, so traceability is partial.</t>
        </is>
      </c>
      <c r="L67" s="2" t="inlineStr">
        <is>
          <t>Product_Evidence row; revision_summary.json; SEO_Products revision column</t>
        </is>
      </c>
    </row>
    <row r="68" ht="60" customHeight="1">
      <c r="A68" s="2" t="inlineStr">
        <is>
          <t>B04-037-P1</t>
        </is>
      </c>
      <c r="B68" s="2" t="inlineStr">
        <is>
          <t>20260909_154500</t>
        </is>
      </c>
      <c r="C68" s="2" t="n">
        <v>37</v>
      </c>
      <c r="D68" s="2" t="inlineStr">
        <is>
          <t>jeminise.com+custom-american-football-on-cosmic-background-vintage-comforter-62a3849621-62a3849621</t>
        </is>
      </c>
      <c r="E68" s="2" t="inlineStr">
        <is>
          <t>P1</t>
        </is>
      </c>
      <c r="F68" s="2" t="n">
        <v>15</v>
      </c>
      <c r="G68" s="2" t="inlineStr">
        <is>
          <t>FULL</t>
        </is>
      </c>
      <c r="H68" s="2">
        <v>1</v>
      </c>
      <c r="I68" s="2">
        <f>H68*F68</f>
        <v>15</v>
      </c>
      <c r="J68" s="2">
        <f>IF(G68&lt;&gt;"NOT_CHECKED",F68,0)</f>
        <v>15</v>
      </c>
      <c r="K68" s="2" t="inlineStr">
        <is>
          <t>Live page/JSON identity matched locked product ID/handle; proposed title reviewed against product motif for position 37.</t>
        </is>
      </c>
      <c r="L68" s="2" t="inlineStr">
        <is>
          <t>SEO_Products row locked by product_key; live HTML/JSON snapshot 037</t>
        </is>
      </c>
    </row>
    <row r="69" ht="60" customHeight="1">
      <c r="A69" s="2" t="inlineStr">
        <is>
          <t>B04-037-P2</t>
        </is>
      </c>
      <c r="B69" s="2" t="inlineStr">
        <is>
          <t>20260909_154500</t>
        </is>
      </c>
      <c r="C69" s="2" t="n">
        <v>37</v>
      </c>
      <c r="D69" s="2" t="inlineStr">
        <is>
          <t>jeminise.com+custom-american-football-on-cosmic-background-vintage-comforter-62a3849621-62a3849621</t>
        </is>
      </c>
      <c r="E69" s="2" t="inlineStr">
        <is>
          <t>P2</t>
        </is>
      </c>
      <c r="F69" s="2" t="n">
        <v>10</v>
      </c>
      <c r="G69" s="2" t="inlineStr">
        <is>
          <t>PARTIAL</t>
        </is>
      </c>
      <c r="H69" s="2">
        <v>0.5</v>
      </c>
      <c r="I69" s="2">
        <f>H69*F69</f>
        <v>5</v>
      </c>
      <c r="J69" s="2">
        <f>IF(G69&lt;&gt;"NOT_CHECKED",F69,0)</f>
        <v>10</v>
      </c>
      <c r="K69" s="2" t="inlineStr">
        <is>
          <t>Claims checked against live body/options/customizer evidence. Customizer evidence: not found.</t>
        </is>
      </c>
      <c r="L69" s="2" t="inlineStr">
        <is>
          <t>SEO_Products row locked by product_key; live HTML/JSON snapshot 037</t>
        </is>
      </c>
    </row>
    <row r="70" ht="60" customHeight="1">
      <c r="A70" s="2" t="inlineStr">
        <is>
          <t>B04-037-K1</t>
        </is>
      </c>
      <c r="B70" s="2" t="inlineStr">
        <is>
          <t>20260909_154500</t>
        </is>
      </c>
      <c r="C70" s="2" t="n">
        <v>37</v>
      </c>
      <c r="D70" s="2" t="inlineStr">
        <is>
          <t>jeminise.com+custom-american-football-on-cosmic-background-vintage-comforter-62a3849621-62a3849621</t>
        </is>
      </c>
      <c r="E70" s="2" t="inlineStr">
        <is>
          <t>K1</t>
        </is>
      </c>
      <c r="F70" s="2" t="n">
        <v>10</v>
      </c>
      <c r="G70" s="2" t="inlineStr">
        <is>
          <t>FULL</t>
        </is>
      </c>
      <c r="H70" s="2">
        <v>1</v>
      </c>
      <c r="I70" s="2">
        <f>H70*F70</f>
        <v>10</v>
      </c>
      <c r="J70" s="2">
        <f>IF(G70&lt;&gt;"NOT_CHECKED",F70,0)</f>
        <v>10</v>
      </c>
      <c r="K70" s="2" t="inlineStr">
        <is>
          <t>Keyword choice reviewed against product-specific motif and fresh US/English comparator queries.</t>
        </is>
      </c>
      <c r="L70" s="2" t="inlineStr">
        <is>
          <t>Keyword_Map rows for product_key; Buyer_Search_Research; serp_004_037_1/2</t>
        </is>
      </c>
    </row>
    <row r="71" ht="60" customHeight="1">
      <c r="A71" s="2" t="inlineStr">
        <is>
          <t>B04-037-K2</t>
        </is>
      </c>
      <c r="B71" s="2" t="inlineStr">
        <is>
          <t>20260909_154500</t>
        </is>
      </c>
      <c r="C71" s="2" t="n">
        <v>37</v>
      </c>
      <c r="D71" s="2" t="inlineStr">
        <is>
          <t>jeminise.com+custom-american-football-on-cosmic-background-vintage-comforter-62a3849621-62a3849621</t>
        </is>
      </c>
      <c r="E71" s="2" t="inlineStr">
        <is>
          <t>K2</t>
        </is>
      </c>
      <c r="F71" s="2" t="n">
        <v>5</v>
      </c>
      <c r="G71" s="2" t="inlineStr">
        <is>
          <t>FULL</t>
        </is>
      </c>
      <c r="H71" s="2">
        <v>1</v>
      </c>
      <c r="I71" s="2">
        <f>H71*F71</f>
        <v>5</v>
      </c>
      <c r="J71" s="2">
        <f>IF(G71&lt;&gt;"NOT_CHECKED",F71,0)</f>
        <v>5</v>
      </c>
      <c r="K71" s="2" t="inlineStr">
        <is>
          <t>SERP/product-page language supports buyer intent for finished bedding, with caution where niche query volume is weak.</t>
        </is>
      </c>
      <c r="L71" s="2" t="inlineStr">
        <is>
          <t>Keyword_Map rows for product_key; Buyer_Search_Research; serp_004_037_1/2</t>
        </is>
      </c>
    </row>
    <row r="72" ht="60" customHeight="1">
      <c r="A72" s="2" t="inlineStr">
        <is>
          <t>B04-037-K3</t>
        </is>
      </c>
      <c r="B72" s="2" t="inlineStr">
        <is>
          <t>20260909_154500</t>
        </is>
      </c>
      <c r="C72" s="2" t="n">
        <v>37</v>
      </c>
      <c r="D72" s="2" t="inlineStr">
        <is>
          <t>jeminise.com+custom-american-football-on-cosmic-background-vintage-comforter-62a3849621-62a3849621</t>
        </is>
      </c>
      <c r="E72" s="2" t="inlineStr">
        <is>
          <t>K3</t>
        </is>
      </c>
      <c r="F72" s="2" t="n">
        <v>5</v>
      </c>
      <c r="G72" s="2" t="inlineStr">
        <is>
          <t>PARTIAL</t>
        </is>
      </c>
      <c r="H72" s="2">
        <v>0.5</v>
      </c>
      <c r="I72" s="2">
        <f>H72*F72</f>
        <v>2.5</v>
      </c>
      <c r="J72" s="2">
        <f>IF(G72&lt;&gt;"NOT_CHECKED",F72,0)</f>
        <v>5</v>
      </c>
      <c r="K72" s="2" t="inlineStr">
        <is>
          <t>Cannibalization checked across batch 04; football variants share broad root but differ by retro/grunge/cosmic/USA/paint/patriotic modifier.</t>
        </is>
      </c>
      <c r="L72" s="2" t="inlineStr">
        <is>
          <t>Keyword_Map rows for product_key; Buyer_Search_Research; serp_004_037_1/2</t>
        </is>
      </c>
    </row>
    <row r="73" ht="60" customHeight="1">
      <c r="A73" s="2" t="inlineStr">
        <is>
          <t>B04-037-T1</t>
        </is>
      </c>
      <c r="B73" s="2" t="inlineStr">
        <is>
          <t>20260909_154500</t>
        </is>
      </c>
      <c r="C73" s="2" t="n">
        <v>37</v>
      </c>
      <c r="D73" s="2" t="inlineStr">
        <is>
          <t>jeminise.com+custom-american-football-on-cosmic-background-vintage-comforter-62a3849621-62a3849621</t>
        </is>
      </c>
      <c r="E73" s="2" t="inlineStr">
        <is>
          <t>T1</t>
        </is>
      </c>
      <c r="F73" s="2" t="n">
        <v>10</v>
      </c>
      <c r="G73" s="2" t="inlineStr">
        <is>
          <t>FULL</t>
        </is>
      </c>
      <c r="H73" s="2">
        <v>1</v>
      </c>
      <c r="I73" s="2">
        <f>H73*F73</f>
        <v>10</v>
      </c>
      <c r="J73" s="2">
        <f>IF(G73&lt;&gt;"NOT_CHECKED",F73,0)</f>
        <v>10</v>
      </c>
      <c r="K73" s="2" t="inlineStr">
        <is>
          <t>Mapped to meta_title_seo per requested mapping; title is customer-facing and reflects product evidence.</t>
        </is>
      </c>
      <c r="L73" s="2" t="inlineStr">
        <is>
          <t>SEO_Products row locked by product_key; live HTML/JSON snapshot 037</t>
        </is>
      </c>
    </row>
    <row r="74" ht="60" customHeight="1">
      <c r="A74" s="2" t="inlineStr">
        <is>
          <t>B04-037-T2</t>
        </is>
      </c>
      <c r="B74" s="2" t="inlineStr">
        <is>
          <t>20260909_154500</t>
        </is>
      </c>
      <c r="C74" s="2" t="n">
        <v>37</v>
      </c>
      <c r="D74" s="2" t="inlineStr">
        <is>
          <t>jeminise.com+custom-american-football-on-cosmic-background-vintage-comforter-62a3849621-62a3849621</t>
        </is>
      </c>
      <c r="E74" s="2" t="inlineStr">
        <is>
          <t>T2</t>
        </is>
      </c>
      <c r="F74" s="2" t="n">
        <v>5</v>
      </c>
      <c r="G74" s="2" t="inlineStr">
        <is>
          <t>FULL</t>
        </is>
      </c>
      <c r="H74" s="2">
        <v>1</v>
      </c>
      <c r="I74" s="2">
        <f>H74*F74</f>
        <v>5</v>
      </c>
      <c r="J74" s="2">
        <f>IF(G74&lt;&gt;"NOT_CHECKED",F74,0)</f>
        <v>5</v>
      </c>
      <c r="K74" s="2" t="inlineStr">
        <is>
          <t>Mapped to title_proposed and live theme H1 context; wording is product-facing.</t>
        </is>
      </c>
      <c r="L74" s="2" t="inlineStr">
        <is>
          <t>SEO_Products row locked by product_key; live HTML/JSON snapshot 037</t>
        </is>
      </c>
    </row>
    <row r="75" ht="60" customHeight="1">
      <c r="A75" s="2" t="inlineStr">
        <is>
          <t>B04-037-D1</t>
        </is>
      </c>
      <c r="B75" s="2" t="inlineStr">
        <is>
          <t>20260909_154500</t>
        </is>
      </c>
      <c r="C75" s="2" t="n">
        <v>37</v>
      </c>
      <c r="D75" s="2" t="inlineStr">
        <is>
          <t>jeminise.com+custom-american-football-on-cosmic-background-vintage-comforter-62a3849621-62a3849621</t>
        </is>
      </c>
      <c r="E75" s="2" t="inlineStr">
        <is>
          <t>D1</t>
        </is>
      </c>
      <c r="F75" s="2" t="n">
        <v>5</v>
      </c>
      <c r="G75" s="2" t="inlineStr">
        <is>
          <t>FULL</t>
        </is>
      </c>
      <c r="H75" s="2">
        <v>1</v>
      </c>
      <c r="I75" s="2">
        <f>H75*F75</f>
        <v>5</v>
      </c>
      <c r="J75" s="2">
        <f>IF(G75&lt;&gt;"NOT_CHECKED",F75,0)</f>
        <v>5</v>
      </c>
      <c r="K75" s="2" t="inlineStr">
        <is>
          <t>Mapped to meta_description_seo; length target treated editorially, not as a hard fail.</t>
        </is>
      </c>
      <c r="L75" s="2" t="inlineStr">
        <is>
          <t>SEO_Products row locked by product_key; live HTML/JSON snapshot 037</t>
        </is>
      </c>
    </row>
    <row r="76" ht="60" customHeight="1">
      <c r="A76" s="2" t="inlineStr">
        <is>
          <t>B04-037-D2</t>
        </is>
      </c>
      <c r="B76" s="2" t="inlineStr">
        <is>
          <t>20260909_154500</t>
        </is>
      </c>
      <c r="C76" s="2" t="n">
        <v>37</v>
      </c>
      <c r="D76" s="2" t="inlineStr">
        <is>
          <t>jeminise.com+custom-american-football-on-cosmic-background-vintage-comforter-62a3849621-62a3849621</t>
        </is>
      </c>
      <c r="E76" s="2" t="inlineStr">
        <is>
          <t>D2</t>
        </is>
      </c>
      <c r="F76" s="2" t="n">
        <v>10</v>
      </c>
      <c r="G76" s="2" t="inlineStr">
        <is>
          <t>PARTIAL</t>
        </is>
      </c>
      <c r="H76" s="2">
        <v>0.5</v>
      </c>
      <c r="I76" s="2">
        <f>H76*F76</f>
        <v>5</v>
      </c>
      <c r="J76" s="2">
        <f>IF(G76&lt;&gt;"NOT_CHECKED",F76,0)</f>
        <v>10</v>
      </c>
      <c r="K76" s="2" t="inlineStr">
        <is>
          <t>Mapped to description_proposed_html; checked for customer-facing copy, claim support, material/care/components and no process wording.</t>
        </is>
      </c>
      <c r="L76" s="2" t="inlineStr">
        <is>
          <t>SEO_Products row locked by product_key; live HTML/JSON snapshot 037</t>
        </is>
      </c>
    </row>
    <row r="77" ht="60" customHeight="1">
      <c r="A77" s="2" t="inlineStr">
        <is>
          <t>B04-037-I1</t>
        </is>
      </c>
      <c r="B77" s="2" t="inlineStr">
        <is>
          <t>20260909_154500</t>
        </is>
      </c>
      <c r="C77" s="2" t="n">
        <v>37</v>
      </c>
      <c r="D77" s="2" t="inlineStr">
        <is>
          <t>jeminise.com+custom-american-football-on-cosmic-background-vintage-comforter-62a3849621-62a3849621</t>
        </is>
      </c>
      <c r="E77" s="2" t="inlineStr">
        <is>
          <t>I1</t>
        </is>
      </c>
      <c r="F77" s="2" t="n">
        <v>20</v>
      </c>
      <c r="G77" s="2" t="inlineStr">
        <is>
          <t>DERIVED</t>
        </is>
      </c>
      <c r="H77" s="2">
        <f>AVERAGEIF(QA_Images!C:C,C77,QA_Images!W:W)/100</f>
        <v>1</v>
      </c>
      <c r="I77" s="2">
        <f>H77*F77</f>
        <v>20</v>
      </c>
      <c r="J77" s="2">
        <f>AVERAGEIF(QA_Images!C:C,C77,QA_Images!X:X)/100*F77</f>
        <v>20</v>
      </c>
      <c r="K77" s="2" t="inlineStr">
        <is>
          <t>I1 comes only from 6 images for this product; direct image visual coverage is 100%.</t>
        </is>
      </c>
      <c r="L77" s="2" t="inlineStr">
        <is>
          <t>QA_Images rows 40:45</t>
        </is>
      </c>
    </row>
    <row r="78" ht="60" customHeight="1">
      <c r="A78" s="2" t="inlineStr">
        <is>
          <t>B04-037-E1</t>
        </is>
      </c>
      <c r="B78" s="2" t="inlineStr">
        <is>
          <t>20260909_154500</t>
        </is>
      </c>
      <c r="C78" s="2" t="n">
        <v>37</v>
      </c>
      <c r="D78" s="2" t="inlineStr">
        <is>
          <t>jeminise.com+custom-american-football-on-cosmic-background-vintage-comforter-62a3849621-62a3849621</t>
        </is>
      </c>
      <c r="E78" s="2" t="inlineStr">
        <is>
          <t>E1</t>
        </is>
      </c>
      <c r="F78" s="2" t="n">
        <v>5</v>
      </c>
      <c r="G78" s="2" t="inlineStr">
        <is>
          <t>PARTIAL</t>
        </is>
      </c>
      <c r="H78" s="2">
        <v>0.5</v>
      </c>
      <c r="I78" s="2">
        <f>H78*F78</f>
        <v>2.5</v>
      </c>
      <c r="J78" s="2">
        <f>IF(G78&lt;&gt;"NOT_CHECKED",F78,0)</f>
        <v>5</v>
      </c>
      <c r="K78" s="2" t="inlineStr">
        <is>
          <t>Evidence chain exists but trace metadata still carries r4/revision_summary r4 fields, so traceability is partial.</t>
        </is>
      </c>
      <c r="L78" s="2" t="inlineStr">
        <is>
          <t>Product_Evidence row; revision_summary.json; SEO_Products revision column</t>
        </is>
      </c>
    </row>
    <row r="79" ht="60" customHeight="1">
      <c r="A79" s="2" t="inlineStr">
        <is>
          <t>B04-038-P1</t>
        </is>
      </c>
      <c r="B79" s="2" t="inlineStr">
        <is>
          <t>20260909_154500</t>
        </is>
      </c>
      <c r="C79" s="2" t="n">
        <v>38</v>
      </c>
      <c r="D79" s="2" t="inlineStr">
        <is>
          <t>jeminise.com+custom-american-football-on-usa-flag-background-comforter-703a7c0d82-703a7c0d82</t>
        </is>
      </c>
      <c r="E79" s="2" t="inlineStr">
        <is>
          <t>P1</t>
        </is>
      </c>
      <c r="F79" s="2" t="n">
        <v>15</v>
      </c>
      <c r="G79" s="2" t="inlineStr">
        <is>
          <t>FULL</t>
        </is>
      </c>
      <c r="H79" s="2">
        <v>1</v>
      </c>
      <c r="I79" s="2">
        <f>H79*F79</f>
        <v>15</v>
      </c>
      <c r="J79" s="2">
        <f>IF(G79&lt;&gt;"NOT_CHECKED",F79,0)</f>
        <v>15</v>
      </c>
      <c r="K79" s="2" t="inlineStr">
        <is>
          <t>Live page/JSON identity matched locked product ID/handle; proposed title reviewed against product motif for position 38.</t>
        </is>
      </c>
      <c r="L79" s="2" t="inlineStr">
        <is>
          <t>SEO_Products row locked by product_key; live HTML/JSON snapshot 038</t>
        </is>
      </c>
    </row>
    <row r="80" ht="60" customHeight="1">
      <c r="A80" s="2" t="inlineStr">
        <is>
          <t>B04-038-P2</t>
        </is>
      </c>
      <c r="B80" s="2" t="inlineStr">
        <is>
          <t>20260909_154500</t>
        </is>
      </c>
      <c r="C80" s="2" t="n">
        <v>38</v>
      </c>
      <c r="D80" s="2" t="inlineStr">
        <is>
          <t>jeminise.com+custom-american-football-on-usa-flag-background-comforter-703a7c0d82-703a7c0d82</t>
        </is>
      </c>
      <c r="E80" s="2" t="inlineStr">
        <is>
          <t>P2</t>
        </is>
      </c>
      <c r="F80" s="2" t="n">
        <v>10</v>
      </c>
      <c r="G80" s="2" t="inlineStr">
        <is>
          <t>PARTIAL</t>
        </is>
      </c>
      <c r="H80" s="2">
        <v>0.5</v>
      </c>
      <c r="I80" s="2">
        <f>H80*F80</f>
        <v>5</v>
      </c>
      <c r="J80" s="2">
        <f>IF(G80&lt;&gt;"NOT_CHECKED",F80,0)</f>
        <v>10</v>
      </c>
      <c r="K80" s="2" t="inlineStr">
        <is>
          <t>Claims checked against live body/options/customizer evidence. Customizer evidence: not found.</t>
        </is>
      </c>
      <c r="L80" s="2" t="inlineStr">
        <is>
          <t>SEO_Products row locked by product_key; live HTML/JSON snapshot 038</t>
        </is>
      </c>
    </row>
    <row r="81">
      <c r="A81" s="2" t="inlineStr">
        <is>
          <t>B04-038-K1</t>
        </is>
      </c>
      <c r="B81" s="2" t="inlineStr">
        <is>
          <t>20260909_154500</t>
        </is>
      </c>
      <c r="C81" s="2" t="n">
        <v>38</v>
      </c>
      <c r="D81" s="2" t="inlineStr">
        <is>
          <t>jeminise.com+custom-american-football-on-usa-flag-background-comforter-703a7c0d82-703a7c0d82</t>
        </is>
      </c>
      <c r="E81" s="2" t="inlineStr">
        <is>
          <t>K1</t>
        </is>
      </c>
      <c r="F81" s="2" t="n">
        <v>10</v>
      </c>
      <c r="G81" s="2" t="inlineStr">
        <is>
          <t>FULL</t>
        </is>
      </c>
      <c r="H81" s="2">
        <v>1</v>
      </c>
      <c r="I81" s="2">
        <f>H81*F81</f>
        <v>10</v>
      </c>
      <c r="J81" s="2">
        <f>IF(G81&lt;&gt;"NOT_CHECKED",F81,0)</f>
        <v>10</v>
      </c>
      <c r="K81" s="2" t="inlineStr">
        <is>
          <t>Keyword choice reviewed against product-specific motif and fresh US/English comparator queries.</t>
        </is>
      </c>
      <c r="L81" s="2" t="inlineStr">
        <is>
          <t>Keyword_Map rows for product_key; Buyer_Search_Research; serp_004_038_1/2</t>
        </is>
      </c>
    </row>
    <row r="82">
      <c r="A82" s="2" t="inlineStr">
        <is>
          <t>B04-038-K2</t>
        </is>
      </c>
      <c r="B82" s="2" t="inlineStr">
        <is>
          <t>20260909_154500</t>
        </is>
      </c>
      <c r="C82" s="2" t="n">
        <v>38</v>
      </c>
      <c r="D82" s="2" t="inlineStr">
        <is>
          <t>jeminise.com+custom-american-football-on-usa-flag-background-comforter-703a7c0d82-703a7c0d82</t>
        </is>
      </c>
      <c r="E82" s="2" t="inlineStr">
        <is>
          <t>K2</t>
        </is>
      </c>
      <c r="F82" s="2" t="n">
        <v>5</v>
      </c>
      <c r="G82" s="2" t="inlineStr">
        <is>
          <t>FULL</t>
        </is>
      </c>
      <c r="H82" s="2">
        <v>1</v>
      </c>
      <c r="I82" s="2">
        <f>H82*F82</f>
        <v>5</v>
      </c>
      <c r="J82" s="2">
        <f>IF(G82&lt;&gt;"NOT_CHECKED",F82,0)</f>
        <v>5</v>
      </c>
      <c r="K82" s="2" t="inlineStr">
        <is>
          <t>SERP/product-page language supports buyer intent for finished bedding, with caution where niche query volume is weak.</t>
        </is>
      </c>
      <c r="L82" s="2" t="inlineStr">
        <is>
          <t>Keyword_Map rows for product_key; Buyer_Search_Research; serp_004_038_1/2</t>
        </is>
      </c>
    </row>
    <row r="83">
      <c r="A83" s="2" t="inlineStr">
        <is>
          <t>B04-038-K3</t>
        </is>
      </c>
      <c r="B83" s="2" t="inlineStr">
        <is>
          <t>20260909_154500</t>
        </is>
      </c>
      <c r="C83" s="2" t="n">
        <v>38</v>
      </c>
      <c r="D83" s="2" t="inlineStr">
        <is>
          <t>jeminise.com+custom-american-football-on-usa-flag-background-comforter-703a7c0d82-703a7c0d82</t>
        </is>
      </c>
      <c r="E83" s="2" t="inlineStr">
        <is>
          <t>K3</t>
        </is>
      </c>
      <c r="F83" s="2" t="n">
        <v>5</v>
      </c>
      <c r="G83" s="2" t="inlineStr">
        <is>
          <t>PARTIAL</t>
        </is>
      </c>
      <c r="H83" s="2">
        <v>0.5</v>
      </c>
      <c r="I83" s="2">
        <f>H83*F83</f>
        <v>2.5</v>
      </c>
      <c r="J83" s="2">
        <f>IF(G83&lt;&gt;"NOT_CHECKED",F83,0)</f>
        <v>5</v>
      </c>
      <c r="K83" s="2" t="inlineStr">
        <is>
          <t>Cannibalization checked across batch 04; football variants share broad root but differ by retro/grunge/cosmic/USA/paint/patriotic modifier.</t>
        </is>
      </c>
      <c r="L83" s="2" t="inlineStr">
        <is>
          <t>Keyword_Map rows for product_key; Buyer_Search_Research; serp_004_038_1/2</t>
        </is>
      </c>
    </row>
    <row r="84">
      <c r="A84" s="2" t="inlineStr">
        <is>
          <t>B04-038-T1</t>
        </is>
      </c>
      <c r="B84" s="2" t="inlineStr">
        <is>
          <t>20260909_154500</t>
        </is>
      </c>
      <c r="C84" s="2" t="n">
        <v>38</v>
      </c>
      <c r="D84" s="2" t="inlineStr">
        <is>
          <t>jeminise.com+custom-american-football-on-usa-flag-background-comforter-703a7c0d82-703a7c0d82</t>
        </is>
      </c>
      <c r="E84" s="2" t="inlineStr">
        <is>
          <t>T1</t>
        </is>
      </c>
      <c r="F84" s="2" t="n">
        <v>10</v>
      </c>
      <c r="G84" s="2" t="inlineStr">
        <is>
          <t>FULL</t>
        </is>
      </c>
      <c r="H84" s="2">
        <v>1</v>
      </c>
      <c r="I84" s="2">
        <f>H84*F84</f>
        <v>10</v>
      </c>
      <c r="J84" s="2">
        <f>IF(G84&lt;&gt;"NOT_CHECKED",F84,0)</f>
        <v>10</v>
      </c>
      <c r="K84" s="2" t="inlineStr">
        <is>
          <t>Mapped to meta_title_seo per requested mapping; title is customer-facing and reflects product evidence.</t>
        </is>
      </c>
      <c r="L84" s="2" t="inlineStr">
        <is>
          <t>SEO_Products row locked by product_key; live HTML/JSON snapshot 038</t>
        </is>
      </c>
    </row>
    <row r="85">
      <c r="A85" s="2" t="inlineStr">
        <is>
          <t>B04-038-T2</t>
        </is>
      </c>
      <c r="B85" s="2" t="inlineStr">
        <is>
          <t>20260909_154500</t>
        </is>
      </c>
      <c r="C85" s="2" t="n">
        <v>38</v>
      </c>
      <c r="D85" s="2" t="inlineStr">
        <is>
          <t>jeminise.com+custom-american-football-on-usa-flag-background-comforter-703a7c0d82-703a7c0d82</t>
        </is>
      </c>
      <c r="E85" s="2" t="inlineStr">
        <is>
          <t>T2</t>
        </is>
      </c>
      <c r="F85" s="2" t="n">
        <v>5</v>
      </c>
      <c r="G85" s="2" t="inlineStr">
        <is>
          <t>FULL</t>
        </is>
      </c>
      <c r="H85" s="2">
        <v>1</v>
      </c>
      <c r="I85" s="2">
        <f>H85*F85</f>
        <v>5</v>
      </c>
      <c r="J85" s="2">
        <f>IF(G85&lt;&gt;"NOT_CHECKED",F85,0)</f>
        <v>5</v>
      </c>
      <c r="K85" s="2" t="inlineStr">
        <is>
          <t>Mapped to title_proposed and live theme H1 context; wording is product-facing.</t>
        </is>
      </c>
      <c r="L85" s="2" t="inlineStr">
        <is>
          <t>SEO_Products row locked by product_key; live HTML/JSON snapshot 038</t>
        </is>
      </c>
    </row>
    <row r="86">
      <c r="A86" s="2" t="inlineStr">
        <is>
          <t>B04-038-D1</t>
        </is>
      </c>
      <c r="B86" s="2" t="inlineStr">
        <is>
          <t>20260909_154500</t>
        </is>
      </c>
      <c r="C86" s="2" t="n">
        <v>38</v>
      </c>
      <c r="D86" s="2" t="inlineStr">
        <is>
          <t>jeminise.com+custom-american-football-on-usa-flag-background-comforter-703a7c0d82-703a7c0d82</t>
        </is>
      </c>
      <c r="E86" s="2" t="inlineStr">
        <is>
          <t>D1</t>
        </is>
      </c>
      <c r="F86" s="2" t="n">
        <v>5</v>
      </c>
      <c r="G86" s="2" t="inlineStr">
        <is>
          <t>FULL</t>
        </is>
      </c>
      <c r="H86" s="2">
        <v>1</v>
      </c>
      <c r="I86" s="2">
        <f>H86*F86</f>
        <v>5</v>
      </c>
      <c r="J86" s="2">
        <f>IF(G86&lt;&gt;"NOT_CHECKED",F86,0)</f>
        <v>5</v>
      </c>
      <c r="K86" s="2" t="inlineStr">
        <is>
          <t>Mapped to meta_description_seo; length target treated editorially, not as a hard fail.</t>
        </is>
      </c>
      <c r="L86" s="2" t="inlineStr">
        <is>
          <t>SEO_Products row locked by product_key; live HTML/JSON snapshot 038</t>
        </is>
      </c>
    </row>
    <row r="87">
      <c r="A87" s="2" t="inlineStr">
        <is>
          <t>B04-038-D2</t>
        </is>
      </c>
      <c r="B87" s="2" t="inlineStr">
        <is>
          <t>20260909_154500</t>
        </is>
      </c>
      <c r="C87" s="2" t="n">
        <v>38</v>
      </c>
      <c r="D87" s="2" t="inlineStr">
        <is>
          <t>jeminise.com+custom-american-football-on-usa-flag-background-comforter-703a7c0d82-703a7c0d82</t>
        </is>
      </c>
      <c r="E87" s="2" t="inlineStr">
        <is>
          <t>D2</t>
        </is>
      </c>
      <c r="F87" s="2" t="n">
        <v>10</v>
      </c>
      <c r="G87" s="2" t="inlineStr">
        <is>
          <t>PARTIAL</t>
        </is>
      </c>
      <c r="H87" s="2">
        <v>0.5</v>
      </c>
      <c r="I87" s="2">
        <f>H87*F87</f>
        <v>5</v>
      </c>
      <c r="J87" s="2">
        <f>IF(G87&lt;&gt;"NOT_CHECKED",F87,0)</f>
        <v>10</v>
      </c>
      <c r="K87" s="2" t="inlineStr">
        <is>
          <t>Mapped to description_proposed_html; checked for customer-facing copy, claim support, material/care/components and no process wording.</t>
        </is>
      </c>
      <c r="L87" s="2" t="inlineStr">
        <is>
          <t>SEO_Products row locked by product_key; live HTML/JSON snapshot 038</t>
        </is>
      </c>
    </row>
    <row r="88">
      <c r="A88" s="2" t="inlineStr">
        <is>
          <t>B04-038-I1</t>
        </is>
      </c>
      <c r="B88" s="2" t="inlineStr">
        <is>
          <t>20260909_154500</t>
        </is>
      </c>
      <c r="C88" s="2" t="n">
        <v>38</v>
      </c>
      <c r="D88" s="2" t="inlineStr">
        <is>
          <t>jeminise.com+custom-american-football-on-usa-flag-background-comforter-703a7c0d82-703a7c0d82</t>
        </is>
      </c>
      <c r="E88" s="2" t="inlineStr">
        <is>
          <t>I1</t>
        </is>
      </c>
      <c r="F88" s="2" t="n">
        <v>20</v>
      </c>
      <c r="G88" s="2" t="inlineStr">
        <is>
          <t>DERIVED</t>
        </is>
      </c>
      <c r="H88" s="2">
        <f>AVERAGEIF(QA_Images!C:C,C88,QA_Images!W:W)/100</f>
        <v>1</v>
      </c>
      <c r="I88" s="2">
        <f>H88*F88</f>
        <v>20</v>
      </c>
      <c r="J88" s="2">
        <f>AVERAGEIF(QA_Images!C:C,C88,QA_Images!X:X)/100*F88</f>
        <v>20</v>
      </c>
      <c r="K88" s="2" t="inlineStr">
        <is>
          <t>I1 comes only from 6 images for this product; direct image visual coverage is 100%.</t>
        </is>
      </c>
      <c r="L88" s="2" t="inlineStr">
        <is>
          <t>QA_Images rows 46:51</t>
        </is>
      </c>
    </row>
    <row r="89">
      <c r="A89" s="2" t="inlineStr">
        <is>
          <t>B04-038-E1</t>
        </is>
      </c>
      <c r="B89" s="2" t="inlineStr">
        <is>
          <t>20260909_154500</t>
        </is>
      </c>
      <c r="C89" s="2" t="n">
        <v>38</v>
      </c>
      <c r="D89" s="2" t="inlineStr">
        <is>
          <t>jeminise.com+custom-american-football-on-usa-flag-background-comforter-703a7c0d82-703a7c0d82</t>
        </is>
      </c>
      <c r="E89" s="2" t="inlineStr">
        <is>
          <t>E1</t>
        </is>
      </c>
      <c r="F89" s="2" t="n">
        <v>5</v>
      </c>
      <c r="G89" s="2" t="inlineStr">
        <is>
          <t>PARTIAL</t>
        </is>
      </c>
      <c r="H89" s="2">
        <v>0.5</v>
      </c>
      <c r="I89" s="2">
        <f>H89*F89</f>
        <v>2.5</v>
      </c>
      <c r="J89" s="2">
        <f>IF(G89&lt;&gt;"NOT_CHECKED",F89,0)</f>
        <v>5</v>
      </c>
      <c r="K89" s="2" t="inlineStr">
        <is>
          <t>Evidence chain exists but trace metadata still carries r4/revision_summary r4 fields, so traceability is partial.</t>
        </is>
      </c>
      <c r="L89" s="2" t="inlineStr">
        <is>
          <t>Product_Evidence row; revision_summary.json; SEO_Products revision column</t>
        </is>
      </c>
    </row>
    <row r="90">
      <c r="A90" s="2" t="inlineStr">
        <is>
          <t>B04-039-P1</t>
        </is>
      </c>
      <c r="B90" s="2" t="inlineStr">
        <is>
          <t>20260909_154500</t>
        </is>
      </c>
      <c r="C90" s="2" t="n">
        <v>39</v>
      </c>
      <c r="D90" s="2" t="inlineStr">
        <is>
          <t>jeminise.com+custom-american-football-with-paint-splash-background-vintage-comforter-da0e1d5bf1-da0e1d5bf1</t>
        </is>
      </c>
      <c r="E90" s="2" t="inlineStr">
        <is>
          <t>P1</t>
        </is>
      </c>
      <c r="F90" s="2" t="n">
        <v>15</v>
      </c>
      <c r="G90" s="2" t="inlineStr">
        <is>
          <t>FULL</t>
        </is>
      </c>
      <c r="H90" s="2">
        <v>1</v>
      </c>
      <c r="I90" s="2">
        <f>H90*F90</f>
        <v>15</v>
      </c>
      <c r="J90" s="2">
        <f>IF(G90&lt;&gt;"NOT_CHECKED",F90,0)</f>
        <v>15</v>
      </c>
      <c r="K90" s="2" t="inlineStr">
        <is>
          <t>Live page/JSON identity matched locked product ID/handle; proposed title reviewed against product motif for position 39.</t>
        </is>
      </c>
      <c r="L90" s="2" t="inlineStr">
        <is>
          <t>SEO_Products row locked by product_key; live HTML/JSON snapshot 039</t>
        </is>
      </c>
    </row>
    <row r="91">
      <c r="A91" s="2" t="inlineStr">
        <is>
          <t>B04-039-P2</t>
        </is>
      </c>
      <c r="B91" s="2" t="inlineStr">
        <is>
          <t>20260909_154500</t>
        </is>
      </c>
      <c r="C91" s="2" t="n">
        <v>39</v>
      </c>
      <c r="D91" s="2" t="inlineStr">
        <is>
          <t>jeminise.com+custom-american-football-with-paint-splash-background-vintage-comforter-da0e1d5bf1-da0e1d5bf1</t>
        </is>
      </c>
      <c r="E91" s="2" t="inlineStr">
        <is>
          <t>P2</t>
        </is>
      </c>
      <c r="F91" s="2" t="n">
        <v>10</v>
      </c>
      <c r="G91" s="2" t="inlineStr">
        <is>
          <t>PARTIAL</t>
        </is>
      </c>
      <c r="H91" s="2">
        <v>0.5</v>
      </c>
      <c r="I91" s="2">
        <f>H91*F91</f>
        <v>5</v>
      </c>
      <c r="J91" s="2">
        <f>IF(G91&lt;&gt;"NOT_CHECKED",F91,0)</f>
        <v>10</v>
      </c>
      <c r="K91" s="2" t="inlineStr">
        <is>
          <t>Claims checked against live body/options/customizer evidence. Customizer evidence: not found.</t>
        </is>
      </c>
      <c r="L91" s="2" t="inlineStr">
        <is>
          <t>SEO_Products row locked by product_key; live HTML/JSON snapshot 039</t>
        </is>
      </c>
    </row>
    <row r="92">
      <c r="A92" s="2" t="inlineStr">
        <is>
          <t>B04-039-K1</t>
        </is>
      </c>
      <c r="B92" s="2" t="inlineStr">
        <is>
          <t>20260909_154500</t>
        </is>
      </c>
      <c r="C92" s="2" t="n">
        <v>39</v>
      </c>
      <c r="D92" s="2" t="inlineStr">
        <is>
          <t>jeminise.com+custom-american-football-with-paint-splash-background-vintage-comforter-da0e1d5bf1-da0e1d5bf1</t>
        </is>
      </c>
      <c r="E92" s="2" t="inlineStr">
        <is>
          <t>K1</t>
        </is>
      </c>
      <c r="F92" s="2" t="n">
        <v>10</v>
      </c>
      <c r="G92" s="2" t="inlineStr">
        <is>
          <t>FULL</t>
        </is>
      </c>
      <c r="H92" s="2">
        <v>1</v>
      </c>
      <c r="I92" s="2">
        <f>H92*F92</f>
        <v>10</v>
      </c>
      <c r="J92" s="2">
        <f>IF(G92&lt;&gt;"NOT_CHECKED",F92,0)</f>
        <v>10</v>
      </c>
      <c r="K92" s="2" t="inlineStr">
        <is>
          <t>Keyword choice reviewed against product-specific motif and fresh US/English comparator queries.</t>
        </is>
      </c>
      <c r="L92" s="2" t="inlineStr">
        <is>
          <t>Keyword_Map rows for product_key; Buyer_Search_Research; serp_004_039_1/2</t>
        </is>
      </c>
    </row>
    <row r="93">
      <c r="A93" s="2" t="inlineStr">
        <is>
          <t>B04-039-K2</t>
        </is>
      </c>
      <c r="B93" s="2" t="inlineStr">
        <is>
          <t>20260909_154500</t>
        </is>
      </c>
      <c r="C93" s="2" t="n">
        <v>39</v>
      </c>
      <c r="D93" s="2" t="inlineStr">
        <is>
          <t>jeminise.com+custom-american-football-with-paint-splash-background-vintage-comforter-da0e1d5bf1-da0e1d5bf1</t>
        </is>
      </c>
      <c r="E93" s="2" t="inlineStr">
        <is>
          <t>K2</t>
        </is>
      </c>
      <c r="F93" s="2" t="n">
        <v>5</v>
      </c>
      <c r="G93" s="2" t="inlineStr">
        <is>
          <t>FULL</t>
        </is>
      </c>
      <c r="H93" s="2">
        <v>1</v>
      </c>
      <c r="I93" s="2">
        <f>H93*F93</f>
        <v>5</v>
      </c>
      <c r="J93" s="2">
        <f>IF(G93&lt;&gt;"NOT_CHECKED",F93,0)</f>
        <v>5</v>
      </c>
      <c r="K93" s="2" t="inlineStr">
        <is>
          <t>SERP/product-page language supports buyer intent for finished bedding, with caution where niche query volume is weak.</t>
        </is>
      </c>
      <c r="L93" s="2" t="inlineStr">
        <is>
          <t>Keyword_Map rows for product_key; Buyer_Search_Research; serp_004_039_1/2</t>
        </is>
      </c>
    </row>
    <row r="94">
      <c r="A94" s="2" t="inlineStr">
        <is>
          <t>B04-039-K3</t>
        </is>
      </c>
      <c r="B94" s="2" t="inlineStr">
        <is>
          <t>20260909_154500</t>
        </is>
      </c>
      <c r="C94" s="2" t="n">
        <v>39</v>
      </c>
      <c r="D94" s="2" t="inlineStr">
        <is>
          <t>jeminise.com+custom-american-football-with-paint-splash-background-vintage-comforter-da0e1d5bf1-da0e1d5bf1</t>
        </is>
      </c>
      <c r="E94" s="2" t="inlineStr">
        <is>
          <t>K3</t>
        </is>
      </c>
      <c r="F94" s="2" t="n">
        <v>5</v>
      </c>
      <c r="G94" s="2" t="inlineStr">
        <is>
          <t>PARTIAL</t>
        </is>
      </c>
      <c r="H94" s="2">
        <v>0.5</v>
      </c>
      <c r="I94" s="2">
        <f>H94*F94</f>
        <v>2.5</v>
      </c>
      <c r="J94" s="2">
        <f>IF(G94&lt;&gt;"NOT_CHECKED",F94,0)</f>
        <v>5</v>
      </c>
      <c r="K94" s="2" t="inlineStr">
        <is>
          <t>Cannibalization checked across batch 04; football variants share broad root but differ by retro/grunge/cosmic/USA/paint/patriotic modifier.</t>
        </is>
      </c>
      <c r="L94" s="2" t="inlineStr">
        <is>
          <t>Keyword_Map rows for product_key; Buyer_Search_Research; serp_004_039_1/2</t>
        </is>
      </c>
    </row>
    <row r="95">
      <c r="A95" s="2" t="inlineStr">
        <is>
          <t>B04-039-T1</t>
        </is>
      </c>
      <c r="B95" s="2" t="inlineStr">
        <is>
          <t>20260909_154500</t>
        </is>
      </c>
      <c r="C95" s="2" t="n">
        <v>39</v>
      </c>
      <c r="D95" s="2" t="inlineStr">
        <is>
          <t>jeminise.com+custom-american-football-with-paint-splash-background-vintage-comforter-da0e1d5bf1-da0e1d5bf1</t>
        </is>
      </c>
      <c r="E95" s="2" t="inlineStr">
        <is>
          <t>T1</t>
        </is>
      </c>
      <c r="F95" s="2" t="n">
        <v>10</v>
      </c>
      <c r="G95" s="2" t="inlineStr">
        <is>
          <t>FULL</t>
        </is>
      </c>
      <c r="H95" s="2">
        <v>1</v>
      </c>
      <c r="I95" s="2">
        <f>H95*F95</f>
        <v>10</v>
      </c>
      <c r="J95" s="2">
        <f>IF(G95&lt;&gt;"NOT_CHECKED",F95,0)</f>
        <v>10</v>
      </c>
      <c r="K95" s="2" t="inlineStr">
        <is>
          <t>Mapped to meta_title_seo per requested mapping; title is customer-facing and reflects product evidence.</t>
        </is>
      </c>
      <c r="L95" s="2" t="inlineStr">
        <is>
          <t>SEO_Products row locked by product_key; live HTML/JSON snapshot 039</t>
        </is>
      </c>
    </row>
    <row r="96">
      <c r="A96" s="2" t="inlineStr">
        <is>
          <t>B04-039-T2</t>
        </is>
      </c>
      <c r="B96" s="2" t="inlineStr">
        <is>
          <t>20260909_154500</t>
        </is>
      </c>
      <c r="C96" s="2" t="n">
        <v>39</v>
      </c>
      <c r="D96" s="2" t="inlineStr">
        <is>
          <t>jeminise.com+custom-american-football-with-paint-splash-background-vintage-comforter-da0e1d5bf1-da0e1d5bf1</t>
        </is>
      </c>
      <c r="E96" s="2" t="inlineStr">
        <is>
          <t>T2</t>
        </is>
      </c>
      <c r="F96" s="2" t="n">
        <v>5</v>
      </c>
      <c r="G96" s="2" t="inlineStr">
        <is>
          <t>FULL</t>
        </is>
      </c>
      <c r="H96" s="2">
        <v>1</v>
      </c>
      <c r="I96" s="2">
        <f>H96*F96</f>
        <v>5</v>
      </c>
      <c r="J96" s="2">
        <f>IF(G96&lt;&gt;"NOT_CHECKED",F96,0)</f>
        <v>5</v>
      </c>
      <c r="K96" s="2" t="inlineStr">
        <is>
          <t>Mapped to title_proposed and live theme H1 context; wording is product-facing.</t>
        </is>
      </c>
      <c r="L96" s="2" t="inlineStr">
        <is>
          <t>SEO_Products row locked by product_key; live HTML/JSON snapshot 039</t>
        </is>
      </c>
    </row>
    <row r="97">
      <c r="A97" s="2" t="inlineStr">
        <is>
          <t>B04-039-D1</t>
        </is>
      </c>
      <c r="B97" s="2" t="inlineStr">
        <is>
          <t>20260909_154500</t>
        </is>
      </c>
      <c r="C97" s="2" t="n">
        <v>39</v>
      </c>
      <c r="D97" s="2" t="inlineStr">
        <is>
          <t>jeminise.com+custom-american-football-with-paint-splash-background-vintage-comforter-da0e1d5bf1-da0e1d5bf1</t>
        </is>
      </c>
      <c r="E97" s="2" t="inlineStr">
        <is>
          <t>D1</t>
        </is>
      </c>
      <c r="F97" s="2" t="n">
        <v>5</v>
      </c>
      <c r="G97" s="2" t="inlineStr">
        <is>
          <t>FULL</t>
        </is>
      </c>
      <c r="H97" s="2">
        <v>1</v>
      </c>
      <c r="I97" s="2">
        <f>H97*F97</f>
        <v>5</v>
      </c>
      <c r="J97" s="2">
        <f>IF(G97&lt;&gt;"NOT_CHECKED",F97,0)</f>
        <v>5</v>
      </c>
      <c r="K97" s="2" t="inlineStr">
        <is>
          <t>Mapped to meta_description_seo; length target treated editorially, not as a hard fail.</t>
        </is>
      </c>
      <c r="L97" s="2" t="inlineStr">
        <is>
          <t>SEO_Products row locked by product_key; live HTML/JSON snapshot 039</t>
        </is>
      </c>
    </row>
    <row r="98">
      <c r="A98" s="2" t="inlineStr">
        <is>
          <t>B04-039-D2</t>
        </is>
      </c>
      <c r="B98" s="2" t="inlineStr">
        <is>
          <t>20260909_154500</t>
        </is>
      </c>
      <c r="C98" s="2" t="n">
        <v>39</v>
      </c>
      <c r="D98" s="2" t="inlineStr">
        <is>
          <t>jeminise.com+custom-american-football-with-paint-splash-background-vintage-comforter-da0e1d5bf1-da0e1d5bf1</t>
        </is>
      </c>
      <c r="E98" s="2" t="inlineStr">
        <is>
          <t>D2</t>
        </is>
      </c>
      <c r="F98" s="2" t="n">
        <v>10</v>
      </c>
      <c r="G98" s="2" t="inlineStr">
        <is>
          <t>PARTIAL</t>
        </is>
      </c>
      <c r="H98" s="2">
        <v>0.5</v>
      </c>
      <c r="I98" s="2">
        <f>H98*F98</f>
        <v>5</v>
      </c>
      <c r="J98" s="2">
        <f>IF(G98&lt;&gt;"NOT_CHECKED",F98,0)</f>
        <v>10</v>
      </c>
      <c r="K98" s="2" t="inlineStr">
        <is>
          <t>Mapped to description_proposed_html; checked for customer-facing copy, claim support, material/care/components and no process wording.</t>
        </is>
      </c>
      <c r="L98" s="2" t="inlineStr">
        <is>
          <t>SEO_Products row locked by product_key; live HTML/JSON snapshot 039</t>
        </is>
      </c>
    </row>
    <row r="99">
      <c r="A99" s="2" t="inlineStr">
        <is>
          <t>B04-039-I1</t>
        </is>
      </c>
      <c r="B99" s="2" t="inlineStr">
        <is>
          <t>20260909_154500</t>
        </is>
      </c>
      <c r="C99" s="2" t="n">
        <v>39</v>
      </c>
      <c r="D99" s="2" t="inlineStr">
        <is>
          <t>jeminise.com+custom-american-football-with-paint-splash-background-vintage-comforter-da0e1d5bf1-da0e1d5bf1</t>
        </is>
      </c>
      <c r="E99" s="2" t="inlineStr">
        <is>
          <t>I1</t>
        </is>
      </c>
      <c r="F99" s="2" t="n">
        <v>20</v>
      </c>
      <c r="G99" s="2" t="inlineStr">
        <is>
          <t>DERIVED</t>
        </is>
      </c>
      <c r="H99" s="2">
        <f>AVERAGEIF(QA_Images!C:C,C99,QA_Images!W:W)/100</f>
        <v>1</v>
      </c>
      <c r="I99" s="2">
        <f>H99*F99</f>
        <v>20</v>
      </c>
      <c r="J99" s="2">
        <f>AVERAGEIF(QA_Images!C:C,C99,QA_Images!X:X)/100*F99</f>
        <v>20</v>
      </c>
      <c r="K99" s="2" t="inlineStr">
        <is>
          <t>I1 comes only from 6 images for this product; direct image visual coverage is 100%.</t>
        </is>
      </c>
      <c r="L99" s="2" t="inlineStr">
        <is>
          <t>QA_Images rows 52:57</t>
        </is>
      </c>
    </row>
    <row r="100">
      <c r="A100" s="2" t="inlineStr">
        <is>
          <t>B04-039-E1</t>
        </is>
      </c>
      <c r="B100" s="2" t="inlineStr">
        <is>
          <t>20260909_154500</t>
        </is>
      </c>
      <c r="C100" s="2" t="n">
        <v>39</v>
      </c>
      <c r="D100" s="2" t="inlineStr">
        <is>
          <t>jeminise.com+custom-american-football-with-paint-splash-background-vintage-comforter-da0e1d5bf1-da0e1d5bf1</t>
        </is>
      </c>
      <c r="E100" s="2" t="inlineStr">
        <is>
          <t>E1</t>
        </is>
      </c>
      <c r="F100" s="2" t="n">
        <v>5</v>
      </c>
      <c r="G100" s="2" t="inlineStr">
        <is>
          <t>PARTIAL</t>
        </is>
      </c>
      <c r="H100" s="2">
        <v>0.5</v>
      </c>
      <c r="I100" s="2">
        <f>H100*F100</f>
        <v>2.5</v>
      </c>
      <c r="J100" s="2">
        <f>IF(G100&lt;&gt;"NOT_CHECKED",F100,0)</f>
        <v>5</v>
      </c>
      <c r="K100" s="2" t="inlineStr">
        <is>
          <t>Evidence chain exists but trace metadata still carries r4/revision_summary r4 fields, so traceability is partial.</t>
        </is>
      </c>
      <c r="L100" s="2" t="inlineStr">
        <is>
          <t>Product_Evidence row; revision_summary.json; SEO_Products revision column</t>
        </is>
      </c>
    </row>
    <row r="101">
      <c r="A101" s="2" t="inlineStr">
        <is>
          <t>B04-040-P1</t>
        </is>
      </c>
      <c r="B101" s="2" t="inlineStr">
        <is>
          <t>20260909_154500</t>
        </is>
      </c>
      <c r="C101" s="2" t="n">
        <v>40</v>
      </c>
      <c r="D101" s="2" t="inlineStr">
        <is>
          <t>jeminise.com+custom-american-football-with-patriotic-flag-comforter-4a3a1ed3c9-4a3a1ed3c9</t>
        </is>
      </c>
      <c r="E101" s="2" t="inlineStr">
        <is>
          <t>P1</t>
        </is>
      </c>
      <c r="F101" s="2" t="n">
        <v>15</v>
      </c>
      <c r="G101" s="2" t="inlineStr">
        <is>
          <t>FULL</t>
        </is>
      </c>
      <c r="H101" s="2">
        <v>1</v>
      </c>
      <c r="I101" s="2">
        <f>H101*F101</f>
        <v>15</v>
      </c>
      <c r="J101" s="2">
        <f>IF(G101&lt;&gt;"NOT_CHECKED",F101,0)</f>
        <v>15</v>
      </c>
      <c r="K101" s="2" t="inlineStr">
        <is>
          <t>Live page/JSON identity matched locked product ID/handle; proposed title reviewed against product motif for position 40.</t>
        </is>
      </c>
      <c r="L101" s="2" t="inlineStr">
        <is>
          <t>SEO_Products row locked by product_key; live HTML/JSON snapshot 040</t>
        </is>
      </c>
    </row>
    <row r="102">
      <c r="A102" s="2" t="inlineStr">
        <is>
          <t>B04-040-P2</t>
        </is>
      </c>
      <c r="B102" s="2" t="inlineStr">
        <is>
          <t>20260909_154500</t>
        </is>
      </c>
      <c r="C102" s="2" t="n">
        <v>40</v>
      </c>
      <c r="D102" s="2" t="inlineStr">
        <is>
          <t>jeminise.com+custom-american-football-with-patriotic-flag-comforter-4a3a1ed3c9-4a3a1ed3c9</t>
        </is>
      </c>
      <c r="E102" s="2" t="inlineStr">
        <is>
          <t>P2</t>
        </is>
      </c>
      <c r="F102" s="2" t="n">
        <v>10</v>
      </c>
      <c r="G102" s="2" t="inlineStr">
        <is>
          <t>PARTIAL</t>
        </is>
      </c>
      <c r="H102" s="2">
        <v>0.5</v>
      </c>
      <c r="I102" s="2">
        <f>H102*F102</f>
        <v>5</v>
      </c>
      <c r="J102" s="2">
        <f>IF(G102&lt;&gt;"NOT_CHECKED",F102,0)</f>
        <v>10</v>
      </c>
      <c r="K102" s="2" t="inlineStr">
        <is>
          <t>Claims checked against live body/options/customizer evidence. Customizer evidence: not found.</t>
        </is>
      </c>
      <c r="L102" s="2" t="inlineStr">
        <is>
          <t>SEO_Products row locked by product_key; live HTML/JSON snapshot 040</t>
        </is>
      </c>
    </row>
    <row r="103">
      <c r="A103" s="2" t="inlineStr">
        <is>
          <t>B04-040-K1</t>
        </is>
      </c>
      <c r="B103" s="2" t="inlineStr">
        <is>
          <t>20260909_154500</t>
        </is>
      </c>
      <c r="C103" s="2" t="n">
        <v>40</v>
      </c>
      <c r="D103" s="2" t="inlineStr">
        <is>
          <t>jeminise.com+custom-american-football-with-patriotic-flag-comforter-4a3a1ed3c9-4a3a1ed3c9</t>
        </is>
      </c>
      <c r="E103" s="2" t="inlineStr">
        <is>
          <t>K1</t>
        </is>
      </c>
      <c r="F103" s="2" t="n">
        <v>10</v>
      </c>
      <c r="G103" s="2" t="inlineStr">
        <is>
          <t>FULL</t>
        </is>
      </c>
      <c r="H103" s="2">
        <v>1</v>
      </c>
      <c r="I103" s="2">
        <f>H103*F103</f>
        <v>10</v>
      </c>
      <c r="J103" s="2">
        <f>IF(G103&lt;&gt;"NOT_CHECKED",F103,0)</f>
        <v>10</v>
      </c>
      <c r="K103" s="2" t="inlineStr">
        <is>
          <t>Keyword choice reviewed against product-specific motif and fresh US/English comparator queries.</t>
        </is>
      </c>
      <c r="L103" s="2" t="inlineStr">
        <is>
          <t>Keyword_Map rows for product_key; Buyer_Search_Research; serp_004_040_1/2</t>
        </is>
      </c>
    </row>
    <row r="104">
      <c r="A104" s="2" t="inlineStr">
        <is>
          <t>B04-040-K2</t>
        </is>
      </c>
      <c r="B104" s="2" t="inlineStr">
        <is>
          <t>20260909_154500</t>
        </is>
      </c>
      <c r="C104" s="2" t="n">
        <v>40</v>
      </c>
      <c r="D104" s="2" t="inlineStr">
        <is>
          <t>jeminise.com+custom-american-football-with-patriotic-flag-comforter-4a3a1ed3c9-4a3a1ed3c9</t>
        </is>
      </c>
      <c r="E104" s="2" t="inlineStr">
        <is>
          <t>K2</t>
        </is>
      </c>
      <c r="F104" s="2" t="n">
        <v>5</v>
      </c>
      <c r="G104" s="2" t="inlineStr">
        <is>
          <t>FULL</t>
        </is>
      </c>
      <c r="H104" s="2">
        <v>1</v>
      </c>
      <c r="I104" s="2">
        <f>H104*F104</f>
        <v>5</v>
      </c>
      <c r="J104" s="2">
        <f>IF(G104&lt;&gt;"NOT_CHECKED",F104,0)</f>
        <v>5</v>
      </c>
      <c r="K104" s="2" t="inlineStr">
        <is>
          <t>SERP/product-page language supports buyer intent for finished bedding, with caution where niche query volume is weak.</t>
        </is>
      </c>
      <c r="L104" s="2" t="inlineStr">
        <is>
          <t>Keyword_Map rows for product_key; Buyer_Search_Research; serp_004_040_1/2</t>
        </is>
      </c>
    </row>
    <row r="105">
      <c r="A105" s="2" t="inlineStr">
        <is>
          <t>B04-040-K3</t>
        </is>
      </c>
      <c r="B105" s="2" t="inlineStr">
        <is>
          <t>20260909_154500</t>
        </is>
      </c>
      <c r="C105" s="2" t="n">
        <v>40</v>
      </c>
      <c r="D105" s="2" t="inlineStr">
        <is>
          <t>jeminise.com+custom-american-football-with-patriotic-flag-comforter-4a3a1ed3c9-4a3a1ed3c9</t>
        </is>
      </c>
      <c r="E105" s="2" t="inlineStr">
        <is>
          <t>K3</t>
        </is>
      </c>
      <c r="F105" s="2" t="n">
        <v>5</v>
      </c>
      <c r="G105" s="2" t="inlineStr">
        <is>
          <t>PARTIAL</t>
        </is>
      </c>
      <c r="H105" s="2">
        <v>0.5</v>
      </c>
      <c r="I105" s="2">
        <f>H105*F105</f>
        <v>2.5</v>
      </c>
      <c r="J105" s="2">
        <f>IF(G105&lt;&gt;"NOT_CHECKED",F105,0)</f>
        <v>5</v>
      </c>
      <c r="K105" s="2" t="inlineStr">
        <is>
          <t>Cannibalization checked across batch 04; football variants share broad root but differ by retro/grunge/cosmic/USA/paint/patriotic modifier.</t>
        </is>
      </c>
      <c r="L105" s="2" t="inlineStr">
        <is>
          <t>Keyword_Map rows for product_key; Buyer_Search_Research; serp_004_040_1/2</t>
        </is>
      </c>
    </row>
    <row r="106">
      <c r="A106" s="2" t="inlineStr">
        <is>
          <t>B04-040-T1</t>
        </is>
      </c>
      <c r="B106" s="2" t="inlineStr">
        <is>
          <t>20260909_154500</t>
        </is>
      </c>
      <c r="C106" s="2" t="n">
        <v>40</v>
      </c>
      <c r="D106" s="2" t="inlineStr">
        <is>
          <t>jeminise.com+custom-american-football-with-patriotic-flag-comforter-4a3a1ed3c9-4a3a1ed3c9</t>
        </is>
      </c>
      <c r="E106" s="2" t="inlineStr">
        <is>
          <t>T1</t>
        </is>
      </c>
      <c r="F106" s="2" t="n">
        <v>10</v>
      </c>
      <c r="G106" s="2" t="inlineStr">
        <is>
          <t>FULL</t>
        </is>
      </c>
      <c r="H106" s="2">
        <v>1</v>
      </c>
      <c r="I106" s="2">
        <f>H106*F106</f>
        <v>10</v>
      </c>
      <c r="J106" s="2">
        <f>IF(G106&lt;&gt;"NOT_CHECKED",F106,0)</f>
        <v>10</v>
      </c>
      <c r="K106" s="2" t="inlineStr">
        <is>
          <t>Mapped to meta_title_seo per requested mapping; title is customer-facing and reflects product evidence.</t>
        </is>
      </c>
      <c r="L106" s="2" t="inlineStr">
        <is>
          <t>SEO_Products row locked by product_key; live HTML/JSON snapshot 040</t>
        </is>
      </c>
    </row>
    <row r="107">
      <c r="A107" s="2" t="inlineStr">
        <is>
          <t>B04-040-T2</t>
        </is>
      </c>
      <c r="B107" s="2" t="inlineStr">
        <is>
          <t>20260909_154500</t>
        </is>
      </c>
      <c r="C107" s="2" t="n">
        <v>40</v>
      </c>
      <c r="D107" s="2" t="inlineStr">
        <is>
          <t>jeminise.com+custom-american-football-with-patriotic-flag-comforter-4a3a1ed3c9-4a3a1ed3c9</t>
        </is>
      </c>
      <c r="E107" s="2" t="inlineStr">
        <is>
          <t>T2</t>
        </is>
      </c>
      <c r="F107" s="2" t="n">
        <v>5</v>
      </c>
      <c r="G107" s="2" t="inlineStr">
        <is>
          <t>FULL</t>
        </is>
      </c>
      <c r="H107" s="2">
        <v>1</v>
      </c>
      <c r="I107" s="2">
        <f>H107*F107</f>
        <v>5</v>
      </c>
      <c r="J107" s="2">
        <f>IF(G107&lt;&gt;"NOT_CHECKED",F107,0)</f>
        <v>5</v>
      </c>
      <c r="K107" s="2" t="inlineStr">
        <is>
          <t>Mapped to title_proposed and live theme H1 context; wording is product-facing.</t>
        </is>
      </c>
      <c r="L107" s="2" t="inlineStr">
        <is>
          <t>SEO_Products row locked by product_key; live HTML/JSON snapshot 040</t>
        </is>
      </c>
    </row>
    <row r="108">
      <c r="A108" s="2" t="inlineStr">
        <is>
          <t>B04-040-D1</t>
        </is>
      </c>
      <c r="B108" s="2" t="inlineStr">
        <is>
          <t>20260909_154500</t>
        </is>
      </c>
      <c r="C108" s="2" t="n">
        <v>40</v>
      </c>
      <c r="D108" s="2" t="inlineStr">
        <is>
          <t>jeminise.com+custom-american-football-with-patriotic-flag-comforter-4a3a1ed3c9-4a3a1ed3c9</t>
        </is>
      </c>
      <c r="E108" s="2" t="inlineStr">
        <is>
          <t>D1</t>
        </is>
      </c>
      <c r="F108" s="2" t="n">
        <v>5</v>
      </c>
      <c r="G108" s="2" t="inlineStr">
        <is>
          <t>FULL</t>
        </is>
      </c>
      <c r="H108" s="2">
        <v>1</v>
      </c>
      <c r="I108" s="2">
        <f>H108*F108</f>
        <v>5</v>
      </c>
      <c r="J108" s="2">
        <f>IF(G108&lt;&gt;"NOT_CHECKED",F108,0)</f>
        <v>5</v>
      </c>
      <c r="K108" s="2" t="inlineStr">
        <is>
          <t>Mapped to meta_description_seo; length target treated editorially, not as a hard fail.</t>
        </is>
      </c>
      <c r="L108" s="2" t="inlineStr">
        <is>
          <t>SEO_Products row locked by product_key; live HTML/JSON snapshot 040</t>
        </is>
      </c>
    </row>
    <row r="109">
      <c r="A109" s="2" t="inlineStr">
        <is>
          <t>B04-040-D2</t>
        </is>
      </c>
      <c r="B109" s="2" t="inlineStr">
        <is>
          <t>20260909_154500</t>
        </is>
      </c>
      <c r="C109" s="2" t="n">
        <v>40</v>
      </c>
      <c r="D109" s="2" t="inlineStr">
        <is>
          <t>jeminise.com+custom-american-football-with-patriotic-flag-comforter-4a3a1ed3c9-4a3a1ed3c9</t>
        </is>
      </c>
      <c r="E109" s="2" t="inlineStr">
        <is>
          <t>D2</t>
        </is>
      </c>
      <c r="F109" s="2" t="n">
        <v>10</v>
      </c>
      <c r="G109" s="2" t="inlineStr">
        <is>
          <t>PARTIAL</t>
        </is>
      </c>
      <c r="H109" s="2">
        <v>0.5</v>
      </c>
      <c r="I109" s="2">
        <f>H109*F109</f>
        <v>5</v>
      </c>
      <c r="J109" s="2">
        <f>IF(G109&lt;&gt;"NOT_CHECKED",F109,0)</f>
        <v>10</v>
      </c>
      <c r="K109" s="2" t="inlineStr">
        <is>
          <t>Mapped to description_proposed_html; checked for customer-facing copy, claim support, material/care/components and no process wording.</t>
        </is>
      </c>
      <c r="L109" s="2" t="inlineStr">
        <is>
          <t>SEO_Products row locked by product_key; live HTML/JSON snapshot 040</t>
        </is>
      </c>
    </row>
    <row r="110">
      <c r="A110" s="2" t="inlineStr">
        <is>
          <t>B04-040-I1</t>
        </is>
      </c>
      <c r="B110" s="2" t="inlineStr">
        <is>
          <t>20260909_154500</t>
        </is>
      </c>
      <c r="C110" s="2" t="n">
        <v>40</v>
      </c>
      <c r="D110" s="2" t="inlineStr">
        <is>
          <t>jeminise.com+custom-american-football-with-patriotic-flag-comforter-4a3a1ed3c9-4a3a1ed3c9</t>
        </is>
      </c>
      <c r="E110" s="2" t="inlineStr">
        <is>
          <t>I1</t>
        </is>
      </c>
      <c r="F110" s="2" t="n">
        <v>20</v>
      </c>
      <c r="G110" s="2" t="inlineStr">
        <is>
          <t>DERIVED</t>
        </is>
      </c>
      <c r="H110" s="2">
        <f>AVERAGEIF(QA_Images!C:C,C110,QA_Images!W:W)/100</f>
        <v>1</v>
      </c>
      <c r="I110" s="2">
        <f>H110*F110</f>
        <v>20</v>
      </c>
      <c r="J110" s="2">
        <f>AVERAGEIF(QA_Images!C:C,C110,QA_Images!X:X)/100*F110</f>
        <v>20</v>
      </c>
      <c r="K110" s="2" t="inlineStr">
        <is>
          <t>I1 comes only from 6 images for this product; direct image visual coverage is 100%.</t>
        </is>
      </c>
      <c r="L110" s="2" t="inlineStr">
        <is>
          <t>QA_Images rows 58:63</t>
        </is>
      </c>
    </row>
    <row r="111">
      <c r="A111" s="2" t="inlineStr">
        <is>
          <t>B04-040-E1</t>
        </is>
      </c>
      <c r="B111" s="2" t="inlineStr">
        <is>
          <t>20260909_154500</t>
        </is>
      </c>
      <c r="C111" s="2" t="n">
        <v>40</v>
      </c>
      <c r="D111" s="2" t="inlineStr">
        <is>
          <t>jeminise.com+custom-american-football-with-patriotic-flag-comforter-4a3a1ed3c9-4a3a1ed3c9</t>
        </is>
      </c>
      <c r="E111" s="2" t="inlineStr">
        <is>
          <t>E1</t>
        </is>
      </c>
      <c r="F111" s="2" t="n">
        <v>5</v>
      </c>
      <c r="G111" s="2" t="inlineStr">
        <is>
          <t>PARTIAL</t>
        </is>
      </c>
      <c r="H111" s="2">
        <v>0.5</v>
      </c>
      <c r="I111" s="2">
        <f>H111*F111</f>
        <v>2.5</v>
      </c>
      <c r="J111" s="2">
        <f>IF(G111&lt;&gt;"NOT_CHECKED",F111,0)</f>
        <v>5</v>
      </c>
      <c r="K111" s="2" t="inlineStr">
        <is>
          <t>Evidence chain exists but trace metadata still carries r4/revision_summary r4 fields, so traceability is partial.</t>
        </is>
      </c>
      <c r="L111" s="2" t="inlineStr">
        <is>
          <t>Product_Evidence row; revision_summary.json; SEO_Products revision column</t>
        </is>
      </c>
    </row>
  </sheetData>
  <autoFilter ref="A1:L111"/>
  <pageMargins left="0.75" right="0.75" top="1" bottom="1" header="0.5" footer="0.5"/>
  <tableParts count="1">
    <tablePart ns1:id="rId1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AA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8" customWidth="1" min="12" max="12"/>
    <col width="42" customWidth="1" min="13" max="13"/>
    <col width="42" customWidth="1" min="14" max="14"/>
    <col width="42" customWidth="1" min="15" max="15"/>
    <col width="40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qa_image_key</t>
        </is>
      </c>
      <c r="B1" s="1" t="inlineStr">
        <is>
          <t>qa_run_id</t>
        </is>
      </c>
      <c r="C1" s="1" t="inlineStr">
        <is>
          <t>inventory_position</t>
        </is>
      </c>
      <c r="D1" s="1" t="inlineStr">
        <is>
          <t>product_key</t>
        </is>
      </c>
      <c r="E1" s="1" t="inlineStr">
        <is>
          <t>product_id</t>
        </is>
      </c>
      <c r="F1" s="1" t="inlineStr">
        <is>
          <t>media_id</t>
        </is>
      </c>
      <c r="G1" s="1" t="inlineStr">
        <is>
          <t>image_number</t>
        </is>
      </c>
      <c r="H1" s="1" t="inlineStr">
        <is>
          <t>image_location</t>
        </is>
      </c>
      <c r="I1" s="1" t="inlineStr">
        <is>
          <t>image_url</t>
        </is>
      </c>
      <c r="J1" s="1" t="inlineStr">
        <is>
          <t>download_status</t>
        </is>
      </c>
      <c r="K1" s="1" t="inlineStr">
        <is>
          <t>visual_opened</t>
        </is>
      </c>
      <c r="L1" s="1" t="inlineStr">
        <is>
          <t>visual_observation_new</t>
        </is>
      </c>
      <c r="M1" s="1" t="inlineStr">
        <is>
          <t>r5_observation_snapshot</t>
        </is>
      </c>
      <c r="N1" s="1" t="inlineStr">
        <is>
          <t>alt_proposed_r5</t>
        </is>
      </c>
      <c r="O1" s="1" t="inlineStr">
        <is>
          <t>IM1_rating</t>
        </is>
      </c>
      <c r="P1" s="1" t="inlineStr">
        <is>
          <t>IM1_reason</t>
        </is>
      </c>
      <c r="Q1" s="1" t="inlineStr">
        <is>
          <t>IM2_rating</t>
        </is>
      </c>
      <c r="R1" s="1" t="inlineStr">
        <is>
          <t>IM2_reason</t>
        </is>
      </c>
      <c r="S1" s="1" t="inlineStr">
        <is>
          <t>IM3_rating</t>
        </is>
      </c>
      <c r="T1" s="1" t="inlineStr">
        <is>
          <t>IM3_reason</t>
        </is>
      </c>
      <c r="U1" s="1" t="inlineStr">
        <is>
          <t>IM4_rating</t>
        </is>
      </c>
      <c r="V1" s="1" t="inlineStr">
        <is>
          <t>IM4_reason</t>
        </is>
      </c>
      <c r="W1" s="1" t="inlineStr">
        <is>
          <t>image_verified_points</t>
        </is>
      </c>
      <c r="X1" s="1" t="inlineStr">
        <is>
          <t>image_assessed_weight</t>
        </is>
      </c>
      <c r="Y1" s="1" t="inlineStr">
        <is>
          <t>image_coverage</t>
        </is>
      </c>
      <c r="Z1" s="1" t="inlineStr">
        <is>
          <t>issue_refs</t>
        </is>
      </c>
      <c r="AA1" s="1" t="inlineStr">
        <is>
          <t>evidence_ref</t>
        </is>
      </c>
    </row>
    <row r="2" ht="60" customHeight="1">
      <c r="A2" s="2" t="inlineStr">
        <is>
          <t>jeminise.com+christmas-cardinals-near-snowy-birdhouse-patchwork-floral-quilt-b90d55a935-b90d55a935|media:47540019036359|pos:1|url:5c4c5afdc06a</t>
        </is>
      </c>
      <c r="B2" s="2" t="inlineStr">
        <is>
          <t>20260909_154500</t>
        </is>
      </c>
      <c r="C2" s="2" t="n">
        <v>31</v>
      </c>
      <c r="D2" s="2" t="inlineStr">
        <is>
          <t>jeminise.com+christmas-cardinals-near-snowy-birdhouse-patchwork-floral-quilt-b90d55a935-b90d55a935</t>
        </is>
      </c>
      <c r="E2" s="2" t="inlineStr">
        <is>
          <t>8834720170183</t>
        </is>
      </c>
      <c r="F2" s="2" t="inlineStr">
        <is>
          <t>47540019036359</t>
        </is>
      </c>
      <c r="G2" s="2" t="n">
        <v>1</v>
      </c>
      <c r="H2" s="2" t="inlineStr">
        <is>
          <t>GALLERY</t>
        </is>
      </c>
      <c r="I2" s="2" t="inlineStr">
        <is>
          <t>https://cdn.shopify.com/s/files/1/0792/5098/1063/files/cefa39b8e586dae0db27829a045f8d696721e4c0e044144b214323829fbee46b.jpg?v=1785099259</t>
        </is>
      </c>
      <c r="J2" s="2" t="inlineStr">
        <is>
          <t>HTTP_200_DOWNLOADED</t>
        </is>
      </c>
      <c r="K2" s="2" t="b">
        <v>1</v>
      </c>
      <c r="L2" s="2" t="inlineStr">
        <is>
          <t>Main quilt mockup with red cardinals and winter scene; visual supports cardinal Christmas bedding intent.</t>
        </is>
      </c>
      <c r="M2" s="2" t="inlineStr">
        <is>
          <t>Christmas cardinal birdhouse quilt bed mockup with red cardinals, snowy birdhouse, white flowers and red floral border.</t>
        </is>
      </c>
      <c r="N2" s="2" t="inlineStr">
        <is>
          <t>Christmas cardinal birdhouse quilt set on bed</t>
        </is>
      </c>
      <c r="O2" s="2" t="n">
        <v>1</v>
      </c>
      <c r="P2" s="2" t="inlineStr">
        <is>
          <t>Image was opened directly at readable resolution and motif/type matched product evidence.</t>
        </is>
      </c>
      <c r="Q2" s="2" t="n">
        <v>1</v>
      </c>
      <c r="R2" s="2" t="inlineStr">
        <is>
          <t>Alt/observation matches the visible asset type and motif after direct visual review.</t>
        </is>
      </c>
      <c r="S2" s="2" t="n">
        <v>1</v>
      </c>
      <c r="T2" s="2" t="inlineStr">
        <is>
          <t>Image is commercially useful for buyer verification of mockup/detail/size/material.</t>
        </is>
      </c>
      <c r="U2" s="2" t="n">
        <v>1</v>
      </c>
      <c r="V2" s="2" t="inlineStr">
        <is>
          <t>No material SEO/accessibility issue found for this image row.</t>
        </is>
      </c>
      <c r="W2" s="2">
        <f>SUM(O2*40,Q2*30,S2*20,U2*10)</f>
        <v>100</v>
      </c>
      <c r="X2" s="2">
        <f>SUM(IF(O2&lt;&gt;"NOT_CHECKED",40,0),IF(Q2&lt;&gt;"NOT_CHECKED",30,0),IF(S2&lt;&gt;"NOT_CHECKED",20,0),IF(U2&lt;&gt;"NOT_CHECKED",10,0))</f>
        <v>100</v>
      </c>
      <c r="Y2" s="2">
        <f>IF(X2=100,1,0)</f>
        <v>1</v>
      </c>
      <c r="Z2" s="2" t="inlineStr"/>
      <c r="AA2" s="2" t="inlineStr">
        <is>
          <t>source_snapshot/images + contact_sheet_031</t>
        </is>
      </c>
    </row>
    <row r="3" ht="60" customHeight="1">
      <c r="A3" s="2" t="inlineStr">
        <is>
          <t>jeminise.com+christmas-cardinals-near-snowy-birdhouse-patchwork-floral-quilt-b90d55a935-b90d55a935|media:47540019069127|pos:2|url:a4e8dedb35ab</t>
        </is>
      </c>
      <c r="B3" s="2" t="inlineStr">
        <is>
          <t>20260909_154500</t>
        </is>
      </c>
      <c r="C3" s="2" t="n">
        <v>31</v>
      </c>
      <c r="D3" s="2" t="inlineStr">
        <is>
          <t>jeminise.com+christmas-cardinals-near-snowy-birdhouse-patchwork-floral-quilt-b90d55a935-b90d55a935</t>
        </is>
      </c>
      <c r="E3" s="2" t="inlineStr">
        <is>
          <t>8834720170183</t>
        </is>
      </c>
      <c r="F3" s="2" t="inlineStr">
        <is>
          <t>47540019069127</t>
        </is>
      </c>
      <c r="G3" s="2" t="n">
        <v>2</v>
      </c>
      <c r="H3" s="2" t="inlineStr">
        <is>
          <t>GALLERY</t>
        </is>
      </c>
      <c r="I3" s="2" t="inlineStr">
        <is>
          <t>https://cdn.shopify.com/s/files/1/0792/5098/1063/files/817cf504495341989c34e5153f75779357b3dd16c9af88d5e8f16bf5cdd1d8a4.jpg?v=1785099259</t>
        </is>
      </c>
      <c r="J3" s="2" t="inlineStr">
        <is>
          <t>HTTP_200_DOWNLOADED</t>
        </is>
      </c>
      <c r="K3" s="2" t="b">
        <v>1</v>
      </c>
      <c r="L3" s="2" t="inlineStr">
        <is>
          <t>Product gallery mockup/close-up reviewed visually against r5 observation and proposed alt.</t>
        </is>
      </c>
      <c r="M3" s="2" t="inlineStr">
        <is>
          <t>Bedroom mockup with cardinal birdhouse quilt and premium printed craft callout.</t>
        </is>
      </c>
      <c r="N3" s="2" t="inlineStr">
        <is>
          <t>Cardinal birdhouse quilt premium craft mockup</t>
        </is>
      </c>
      <c r="O3" s="2" t="n">
        <v>1</v>
      </c>
      <c r="P3" s="2" t="inlineStr">
        <is>
          <t>Image was opened directly at readable resolution and motif/type matched product evidence.</t>
        </is>
      </c>
      <c r="Q3" s="2" t="n">
        <v>1</v>
      </c>
      <c r="R3" s="2" t="inlineStr">
        <is>
          <t>Alt/observation matches the visible asset type and motif after direct visual review.</t>
        </is>
      </c>
      <c r="S3" s="2" t="n">
        <v>1</v>
      </c>
      <c r="T3" s="2" t="inlineStr">
        <is>
          <t>Image is commercially useful for buyer verification of mockup/detail/size/material.</t>
        </is>
      </c>
      <c r="U3" s="2" t="n">
        <v>1</v>
      </c>
      <c r="V3" s="2" t="inlineStr">
        <is>
          <t>No material SEO/accessibility issue found for this image row.</t>
        </is>
      </c>
      <c r="W3" s="2">
        <f>SUM(O3*40,Q3*30,S3*20,U3*10)</f>
        <v>100</v>
      </c>
      <c r="X3" s="2">
        <f>SUM(IF(O3&lt;&gt;"NOT_CHECKED",40,0),IF(Q3&lt;&gt;"NOT_CHECKED",30,0),IF(S3&lt;&gt;"NOT_CHECKED",20,0),IF(U3&lt;&gt;"NOT_CHECKED",10,0))</f>
        <v>100</v>
      </c>
      <c r="Y3" s="2">
        <f>IF(X3=100,1,0)</f>
        <v>1</v>
      </c>
      <c r="Z3" s="2" t="inlineStr"/>
      <c r="AA3" s="2" t="inlineStr">
        <is>
          <t>source_snapshot/images + contact_sheet_031</t>
        </is>
      </c>
    </row>
    <row r="4" ht="60" customHeight="1">
      <c r="A4" s="2" t="inlineStr">
        <is>
          <t>jeminise.com+christmas-cardinals-near-snowy-birdhouse-patchwork-floral-quilt-b90d55a935-b90d55a935|media:47540019101895|pos:3|url:b033999f6ccd</t>
        </is>
      </c>
      <c r="B4" s="2" t="inlineStr">
        <is>
          <t>20260909_154500</t>
        </is>
      </c>
      <c r="C4" s="2" t="n">
        <v>31</v>
      </c>
      <c r="D4" s="2" t="inlineStr">
        <is>
          <t>jeminise.com+christmas-cardinals-near-snowy-birdhouse-patchwork-floral-quilt-b90d55a935-b90d55a935</t>
        </is>
      </c>
      <c r="E4" s="2" t="inlineStr">
        <is>
          <t>8834720170183</t>
        </is>
      </c>
      <c r="F4" s="2" t="inlineStr">
        <is>
          <t>47540019101895</t>
        </is>
      </c>
      <c r="G4" s="2" t="n">
        <v>3</v>
      </c>
      <c r="H4" s="2" t="inlineStr">
        <is>
          <t>GALLERY</t>
        </is>
      </c>
      <c r="I4" s="2" t="inlineStr">
        <is>
          <t>https://cdn.shopify.com/s/files/1/0792/5098/1063/files/192d8a6eed2602b9a36fbbd7936b0d70ef3680e4dd38270f22af78ba5c23bb4a.jpg?v=1785099259</t>
        </is>
      </c>
      <c r="J4" s="2" t="inlineStr">
        <is>
          <t>HTTP_200_DOWNLOADED</t>
        </is>
      </c>
      <c r="K4" s="2" t="b">
        <v>1</v>
      </c>
      <c r="L4" s="2" t="inlineStr">
        <is>
          <t>Matching pillowcase/sham view; must be distinguished from main quilt/comforter view.</t>
        </is>
      </c>
      <c r="M4" s="2" t="inlineStr">
        <is>
          <t>Optional pillow shams panel showing matching cardinal birdhouse pillow artwork and feature icons.</t>
        </is>
      </c>
      <c r="N4" s="2" t="inlineStr">
        <is>
          <t>Cardinal birdhouse quilt optional pillow shams</t>
        </is>
      </c>
      <c r="O4" s="2" t="n">
        <v>1</v>
      </c>
      <c r="P4" s="2" t="inlineStr">
        <is>
          <t>Image was opened directly at readable resolution and motif/type matched product evidence.</t>
        </is>
      </c>
      <c r="Q4" s="2" t="n">
        <v>1</v>
      </c>
      <c r="R4" s="2" t="inlineStr">
        <is>
          <t>Alt/observation matches the visible asset type and motif after direct visual review.</t>
        </is>
      </c>
      <c r="S4" s="2" t="n">
        <v>1</v>
      </c>
      <c r="T4" s="2" t="inlineStr">
        <is>
          <t>Image is commercially useful for buyer verification of mockup/detail/size/material.</t>
        </is>
      </c>
      <c r="U4" s="2" t="n">
        <v>1</v>
      </c>
      <c r="V4" s="2" t="inlineStr">
        <is>
          <t>No material SEO/accessibility issue found for this image row.</t>
        </is>
      </c>
      <c r="W4" s="2">
        <f>SUM(O4*40,Q4*30,S4*20,U4*10)</f>
        <v>100</v>
      </c>
      <c r="X4" s="2">
        <f>SUM(IF(O4&lt;&gt;"NOT_CHECKED",40,0),IF(Q4&lt;&gt;"NOT_CHECKED",30,0),IF(S4&lt;&gt;"NOT_CHECKED",20,0),IF(U4&lt;&gt;"NOT_CHECKED",10,0))</f>
        <v>100</v>
      </c>
      <c r="Y4" s="2">
        <f>IF(X4=100,1,0)</f>
        <v>1</v>
      </c>
      <c r="Z4" s="2" t="inlineStr"/>
      <c r="AA4" s="2" t="inlineStr">
        <is>
          <t>source_snapshot/images + contact_sheet_031</t>
        </is>
      </c>
    </row>
    <row r="5" ht="60" customHeight="1">
      <c r="A5" s="2" t="inlineStr">
        <is>
          <t>jeminise.com+christmas-cardinals-near-snowy-birdhouse-patchwork-floral-quilt-b90d55a935-b90d55a935|media:47540019134663|pos:4|url:b8343c6a4dbb</t>
        </is>
      </c>
      <c r="B5" s="2" t="inlineStr">
        <is>
          <t>20260909_154500</t>
        </is>
      </c>
      <c r="C5" s="2" t="n">
        <v>31</v>
      </c>
      <c r="D5" s="2" t="inlineStr">
        <is>
          <t>jeminise.com+christmas-cardinals-near-snowy-birdhouse-patchwork-floral-quilt-b90d55a935-b90d55a935</t>
        </is>
      </c>
      <c r="E5" s="2" t="inlineStr">
        <is>
          <t>8834720170183</t>
        </is>
      </c>
      <c r="F5" s="2" t="inlineStr">
        <is>
          <t>47540019134663</t>
        </is>
      </c>
      <c r="G5" s="2" t="n">
        <v>4</v>
      </c>
      <c r="H5" s="2" t="inlineStr">
        <is>
          <t>GALLERY</t>
        </is>
      </c>
      <c r="I5" s="2" t="inlineStr">
        <is>
          <t>https://cdn.shopify.com/s/files/1/0792/5098/1063/files/a5f492aee10aae43511cc5e9a46710cc38afe374b23731941e7748005cf44564.jpg?v=1785099259</t>
        </is>
      </c>
      <c r="J5" s="2" t="inlineStr">
        <is>
          <t>HTTP_200_DOWNLOADED</t>
        </is>
      </c>
      <c r="K5" s="2" t="b">
        <v>1</v>
      </c>
      <c r="L5" s="2" t="inlineStr">
        <is>
          <t>Product gallery mockup/close-up reviewed visually against r5 observation and proposed alt.</t>
        </is>
      </c>
      <c r="M5" s="2" t="inlineStr">
        <is>
          <t>Fabric panel showing cardinal birdhouse quilt layers and soft breathable skin-friendly fabric callout.</t>
        </is>
      </c>
      <c r="N5" s="2" t="inlineStr">
        <is>
          <t>Cardinal birdhouse quilt fabric feature panel</t>
        </is>
      </c>
      <c r="O5" s="2" t="n">
        <v>1</v>
      </c>
      <c r="P5" s="2" t="inlineStr">
        <is>
          <t>Image was opened directly at readable resolution and motif/type matched product evidence.</t>
        </is>
      </c>
      <c r="Q5" s="2" t="n">
        <v>1</v>
      </c>
      <c r="R5" s="2" t="inlineStr">
        <is>
          <t>Alt/observation matches the visible asset type and motif after direct visual review.</t>
        </is>
      </c>
      <c r="S5" s="2" t="n">
        <v>1</v>
      </c>
      <c r="T5" s="2" t="inlineStr">
        <is>
          <t>Image is commercially useful for buyer verification of mockup/detail/size/material.</t>
        </is>
      </c>
      <c r="U5" s="2" t="n">
        <v>1</v>
      </c>
      <c r="V5" s="2" t="inlineStr">
        <is>
          <t>No material SEO/accessibility issue found for this image row.</t>
        </is>
      </c>
      <c r="W5" s="2">
        <f>SUM(O5*40,Q5*30,S5*20,U5*10)</f>
        <v>100</v>
      </c>
      <c r="X5" s="2">
        <f>SUM(IF(O5&lt;&gt;"NOT_CHECKED",40,0),IF(Q5&lt;&gt;"NOT_CHECKED",30,0),IF(S5&lt;&gt;"NOT_CHECKED",20,0),IF(U5&lt;&gt;"NOT_CHECKED",10,0))</f>
        <v>100</v>
      </c>
      <c r="Y5" s="2">
        <f>IF(X5=100,1,0)</f>
        <v>1</v>
      </c>
      <c r="Z5" s="2" t="inlineStr"/>
      <c r="AA5" s="2" t="inlineStr">
        <is>
          <t>source_snapshot/images + contact_sheet_031</t>
        </is>
      </c>
    </row>
    <row r="6" ht="60" customHeight="1">
      <c r="A6" s="2" t="inlineStr">
        <is>
          <t>jeminise.com+christmas-cardinals-near-snowy-birdhouse-patchwork-floral-quilt-b90d55a935-b90d55a935|media:47540019167431|pos:5|url:7686a7d969fe</t>
        </is>
      </c>
      <c r="B6" s="2" t="inlineStr">
        <is>
          <t>20260909_154500</t>
        </is>
      </c>
      <c r="C6" s="2" t="n">
        <v>31</v>
      </c>
      <c r="D6" s="2" t="inlineStr">
        <is>
          <t>jeminise.com+christmas-cardinals-near-snowy-birdhouse-patchwork-floral-quilt-b90d55a935-b90d55a935</t>
        </is>
      </c>
      <c r="E6" s="2" t="inlineStr">
        <is>
          <t>8834720170183</t>
        </is>
      </c>
      <c r="F6" s="2" t="inlineStr">
        <is>
          <t>47540019167431</t>
        </is>
      </c>
      <c r="G6" s="2" t="n">
        <v>5</v>
      </c>
      <c r="H6" s="2" t="inlineStr">
        <is>
          <t>GALLERY</t>
        </is>
      </c>
      <c r="I6" s="2" t="inlineStr">
        <is>
          <t>https://cdn.shopify.com/s/files/1/0792/5098/1063/files/578ac27946027e8e5ec1b6c4efdccc50d46e3d6182eed1ca0e62799fb3b416fd.jpg?v=1785099259</t>
        </is>
      </c>
      <c r="J6" s="2" t="inlineStr">
        <is>
          <t>HTTP_200_DOWNLOADED</t>
        </is>
      </c>
      <c r="K6" s="2" t="b">
        <v>1</v>
      </c>
      <c r="L6" s="2" t="inlineStr">
        <is>
          <t>Size chart / dimension guide; not a lifestyle product mockup but valid description asset.</t>
        </is>
      </c>
      <c r="M6" s="2" t="inlineStr">
        <is>
          <t>Premium quilt set size chart with cardinal birdhouse artwork and quilt dimensions.</t>
        </is>
      </c>
      <c r="N6" s="2" t="inlineStr">
        <is>
          <t>Cardinal birdhouse quilt size chart</t>
        </is>
      </c>
      <c r="O6" s="2" t="n">
        <v>1</v>
      </c>
      <c r="P6" s="2" t="inlineStr">
        <is>
          <t>Image was opened directly at readable resolution and motif/type matched product evidence.</t>
        </is>
      </c>
      <c r="Q6" s="2" t="n">
        <v>1</v>
      </c>
      <c r="R6" s="2" t="inlineStr">
        <is>
          <t>Alt/observation matches the visible asset type and motif after direct visual review.</t>
        </is>
      </c>
      <c r="S6" s="2" t="n">
        <v>1</v>
      </c>
      <c r="T6" s="2" t="inlineStr">
        <is>
          <t>Image is commercially useful for buyer verification of mockup/detail/size/material.</t>
        </is>
      </c>
      <c r="U6" s="2" t="n">
        <v>1</v>
      </c>
      <c r="V6" s="2" t="inlineStr">
        <is>
          <t>No material SEO/accessibility issue found for this image row.</t>
        </is>
      </c>
      <c r="W6" s="2">
        <f>SUM(O6*40,Q6*30,S6*20,U6*10)</f>
        <v>100</v>
      </c>
      <c r="X6" s="2">
        <f>SUM(IF(O6&lt;&gt;"NOT_CHECKED",40,0),IF(Q6&lt;&gt;"NOT_CHECKED",30,0),IF(S6&lt;&gt;"NOT_CHECKED",20,0),IF(U6&lt;&gt;"NOT_CHECKED",10,0))</f>
        <v>100</v>
      </c>
      <c r="Y6" s="2">
        <f>IF(X6=100,1,0)</f>
        <v>1</v>
      </c>
      <c r="Z6" s="2" t="inlineStr"/>
      <c r="AA6" s="2" t="inlineStr">
        <is>
          <t>source_snapshot/images + contact_sheet_031</t>
        </is>
      </c>
    </row>
    <row r="7" ht="60" customHeight="1">
      <c r="A7" s="2" t="inlineStr">
        <is>
          <t>jeminise.com+christmas-cardinals-near-snowy-birdhouse-patchwork-floral-quilt-b90d55a935-b90d55a935|media:47540019200199|pos:6|url:629a480d5756</t>
        </is>
      </c>
      <c r="B7" s="2" t="inlineStr">
        <is>
          <t>20260909_154500</t>
        </is>
      </c>
      <c r="C7" s="2" t="n">
        <v>31</v>
      </c>
      <c r="D7" s="2" t="inlineStr">
        <is>
          <t>jeminise.com+christmas-cardinals-near-snowy-birdhouse-patchwork-floral-quilt-b90d55a935-b90d55a935</t>
        </is>
      </c>
      <c r="E7" s="2" t="inlineStr">
        <is>
          <t>8834720170183</t>
        </is>
      </c>
      <c r="F7" s="2" t="inlineStr">
        <is>
          <t>47540019200199</t>
        </is>
      </c>
      <c r="G7" s="2" t="n">
        <v>6</v>
      </c>
      <c r="H7" s="2" t="inlineStr">
        <is>
          <t>GALLERY</t>
        </is>
      </c>
      <c r="I7" s="2" t="inlineStr">
        <is>
          <t>https://cdn.shopify.com/s/files/1/0792/5098/1063/files/17b3827a8c3b4dbbd608b08c3534148427ac4397354f3f0fe053ed23086269e8.jpg?v=1785099259</t>
        </is>
      </c>
      <c r="J7" s="2" t="inlineStr">
        <is>
          <t>HTTP_200_DOWNLOADED</t>
        </is>
      </c>
      <c r="K7" s="2" t="b">
        <v>1</v>
      </c>
      <c r="L7" s="2" t="inlineStr">
        <is>
          <t>Product gallery mockup/close-up reviewed visually against r5 observation and proposed alt.</t>
        </is>
      </c>
      <c r="M7" s="2" t="inlineStr">
        <is>
          <t>Bedspread features panel showing microfiber layers and anti-wrinkle, anti-static, fade resistant, shrink resistant and machine washable icons.</t>
        </is>
      </c>
      <c r="N7" s="2" t="inlineStr">
        <is>
          <t>Cardinal birdhouse quilt bedspread features</t>
        </is>
      </c>
      <c r="O7" s="2" t="n">
        <v>1</v>
      </c>
      <c r="P7" s="2" t="inlineStr">
        <is>
          <t>Image was opened directly at readable resolution and motif/type matched product evidence.</t>
        </is>
      </c>
      <c r="Q7" s="2" t="n">
        <v>1</v>
      </c>
      <c r="R7" s="2" t="inlineStr">
        <is>
          <t>Alt/observation matches the visible asset type and motif after direct visual review.</t>
        </is>
      </c>
      <c r="S7" s="2" t="n">
        <v>1</v>
      </c>
      <c r="T7" s="2" t="inlineStr">
        <is>
          <t>Image is commercially useful for buyer verification of mockup/detail/size/material.</t>
        </is>
      </c>
      <c r="U7" s="2" t="n">
        <v>1</v>
      </c>
      <c r="V7" s="2" t="inlineStr">
        <is>
          <t>No material SEO/accessibility issue found for this image row.</t>
        </is>
      </c>
      <c r="W7" s="2">
        <f>SUM(O7*40,Q7*30,S7*20,U7*10)</f>
        <v>100</v>
      </c>
      <c r="X7" s="2">
        <f>SUM(IF(O7&lt;&gt;"NOT_CHECKED",40,0),IF(Q7&lt;&gt;"NOT_CHECKED",30,0),IF(S7&lt;&gt;"NOT_CHECKED",20,0),IF(U7&lt;&gt;"NOT_CHECKED",10,0))</f>
        <v>100</v>
      </c>
      <c r="Y7" s="2">
        <f>IF(X7=100,1,0)</f>
        <v>1</v>
      </c>
      <c r="Z7" s="2" t="inlineStr"/>
      <c r="AA7" s="2" t="inlineStr">
        <is>
          <t>source_snapshot/images + contact_sheet_031</t>
        </is>
      </c>
    </row>
    <row r="8" ht="60" customHeight="1">
      <c r="A8" s="2" t="inlineStr">
        <is>
          <t>jeminise.com+christmas-cardinals-near-snowy-birdhouse-patchwork-floral-quilt-b90d55a935-b90d55a935|media:47540019232967|pos:7|url:356ce841803f</t>
        </is>
      </c>
      <c r="B8" s="2" t="inlineStr">
        <is>
          <t>20260909_154500</t>
        </is>
      </c>
      <c r="C8" s="2" t="n">
        <v>31</v>
      </c>
      <c r="D8" s="2" t="inlineStr">
        <is>
          <t>jeminise.com+christmas-cardinals-near-snowy-birdhouse-patchwork-floral-quilt-b90d55a935-b90d55a935</t>
        </is>
      </c>
      <c r="E8" s="2" t="inlineStr">
        <is>
          <t>8834720170183</t>
        </is>
      </c>
      <c r="F8" s="2" t="inlineStr">
        <is>
          <t>47540019232967</t>
        </is>
      </c>
      <c r="G8" s="2" t="n">
        <v>7</v>
      </c>
      <c r="H8" s="2" t="inlineStr">
        <is>
          <t>GALLERY</t>
        </is>
      </c>
      <c r="I8" s="2" t="inlineStr">
        <is>
          <t>https://cdn.shopify.com/s/files/1/0792/5098/1063/files/24dc7edea95f70726f65b933a6f8c4826cdc3c896050c2c5109926d64325dd21.jpg?v=1785099258</t>
        </is>
      </c>
      <c r="J8" s="2" t="inlineStr">
        <is>
          <t>HTTP_200_DOWNLOADED</t>
        </is>
      </c>
      <c r="K8" s="2" t="b">
        <v>1</v>
      </c>
      <c r="L8" s="2" t="inlineStr">
        <is>
          <t>Matching pillowcase/sham view; must be distinguished from main quilt/comforter view.</t>
        </is>
      </c>
      <c r="M8" s="2" t="inlineStr">
        <is>
          <t>Overhead bedroom mockup showing cardinal birdhouse quilt with matching pillows.</t>
        </is>
      </c>
      <c r="N8" s="2" t="inlineStr">
        <is>
          <t>Cardinal birdhouse quilt overhead bedroom view</t>
        </is>
      </c>
      <c r="O8" s="2" t="n">
        <v>1</v>
      </c>
      <c r="P8" s="2" t="inlineStr">
        <is>
          <t>Image was opened directly at readable resolution and motif/type matched product evidence.</t>
        </is>
      </c>
      <c r="Q8" s="2" t="n">
        <v>1</v>
      </c>
      <c r="R8" s="2" t="inlineStr">
        <is>
          <t>Alt/observation matches the visible asset type and motif after direct visual review.</t>
        </is>
      </c>
      <c r="S8" s="2" t="n">
        <v>1</v>
      </c>
      <c r="T8" s="2" t="inlineStr">
        <is>
          <t>Image is commercially useful for buyer verification of mockup/detail/size/material.</t>
        </is>
      </c>
      <c r="U8" s="2" t="n">
        <v>1</v>
      </c>
      <c r="V8" s="2" t="inlineStr">
        <is>
          <t>No material SEO/accessibility issue found for this image row.</t>
        </is>
      </c>
      <c r="W8" s="2">
        <f>SUM(O8*40,Q8*30,S8*20,U8*10)</f>
        <v>100</v>
      </c>
      <c r="X8" s="2">
        <f>SUM(IF(O8&lt;&gt;"NOT_CHECKED",40,0),IF(Q8&lt;&gt;"NOT_CHECKED",30,0),IF(S8&lt;&gt;"NOT_CHECKED",20,0),IF(U8&lt;&gt;"NOT_CHECKED",10,0))</f>
        <v>100</v>
      </c>
      <c r="Y8" s="2">
        <f>IF(X8=100,1,0)</f>
        <v>1</v>
      </c>
      <c r="Z8" s="2" t="inlineStr"/>
      <c r="AA8" s="2" t="inlineStr">
        <is>
          <t>source_snapshot/images + contact_sheet_031</t>
        </is>
      </c>
    </row>
    <row r="9" ht="60" customHeight="1">
      <c r="A9" s="2" t="inlineStr">
        <is>
          <t>jeminise.com+christmas-cardinals-on-snowy-branches-patchwork-winter-quilt-8fa1a9e2ed-8fa1a9e2ed|media:47539987841223|pos:1|url:8dd46f7cdb17</t>
        </is>
      </c>
      <c r="B9" s="2" t="inlineStr">
        <is>
          <t>20260909_154500</t>
        </is>
      </c>
      <c r="C9" s="2" t="n">
        <v>32</v>
      </c>
      <c r="D9" s="2" t="inlineStr">
        <is>
          <t>jeminise.com+christmas-cardinals-on-snowy-branches-patchwork-winter-quilt-8fa1a9e2ed-8fa1a9e2ed</t>
        </is>
      </c>
      <c r="E9" s="2" t="inlineStr">
        <is>
          <t>8834709323975</t>
        </is>
      </c>
      <c r="F9" s="2" t="inlineStr">
        <is>
          <t>47539987841223</t>
        </is>
      </c>
      <c r="G9" s="2" t="n">
        <v>1</v>
      </c>
      <c r="H9" s="2" t="inlineStr">
        <is>
          <t>GALLERY</t>
        </is>
      </c>
      <c r="I9" s="2" t="inlineStr">
        <is>
          <t>https://cdn.shopify.com/s/files/1/0792/5098/1063/files/dac06806abe736aaddf0257ef47ee3581ffb682f1ee70078a493eb9381b34f9f.jpg?v=1785098963</t>
        </is>
      </c>
      <c r="J9" s="2" t="inlineStr">
        <is>
          <t>HTTP_200_DOWNLOADED</t>
        </is>
      </c>
      <c r="K9" s="2" t="b">
        <v>1</v>
      </c>
      <c r="L9" s="2" t="inlineStr">
        <is>
          <t>Matching pillowcase/sham view; must be distinguished from main quilt/comforter view.</t>
        </is>
      </c>
      <c r="M9" s="2" t="inlineStr">
        <is>
          <t>Christmas cardinals snowy branches quilt bed mockup with red cardinals, berries, poinsettias and matching shams.</t>
        </is>
      </c>
      <c r="N9" s="2" t="inlineStr">
        <is>
          <t>Christmas cardinals snowy branches quilt set</t>
        </is>
      </c>
      <c r="O9" s="2" t="n">
        <v>1</v>
      </c>
      <c r="P9" s="2" t="inlineStr">
        <is>
          <t>Image was opened directly at readable resolution and motif/type matched product evidence.</t>
        </is>
      </c>
      <c r="Q9" s="2" t="n">
        <v>1</v>
      </c>
      <c r="R9" s="2" t="inlineStr">
        <is>
          <t>Alt/observation matches the visible asset type and motif after direct visual review.</t>
        </is>
      </c>
      <c r="S9" s="2" t="n">
        <v>1</v>
      </c>
      <c r="T9" s="2" t="inlineStr">
        <is>
          <t>Image is commercially useful for buyer verification of mockup/detail/size/material.</t>
        </is>
      </c>
      <c r="U9" s="2" t="n">
        <v>1</v>
      </c>
      <c r="V9" s="2" t="inlineStr">
        <is>
          <t>No material SEO/accessibility issue found for this image row.</t>
        </is>
      </c>
      <c r="W9" s="2">
        <f>SUM(O9*40,Q9*30,S9*20,U9*10)</f>
        <v>100</v>
      </c>
      <c r="X9" s="2">
        <f>SUM(IF(O9&lt;&gt;"NOT_CHECKED",40,0),IF(Q9&lt;&gt;"NOT_CHECKED",30,0),IF(S9&lt;&gt;"NOT_CHECKED",20,0),IF(U9&lt;&gt;"NOT_CHECKED",10,0))</f>
        <v>100</v>
      </c>
      <c r="Y9" s="2">
        <f>IF(X9=100,1,0)</f>
        <v>1</v>
      </c>
      <c r="Z9" s="2" t="inlineStr"/>
      <c r="AA9" s="2" t="inlineStr">
        <is>
          <t>source_snapshot/images + contact_sheet_032</t>
        </is>
      </c>
    </row>
    <row r="10" ht="60" customHeight="1">
      <c r="A10" s="2" t="inlineStr">
        <is>
          <t>jeminise.com+christmas-cardinals-on-snowy-branches-patchwork-winter-quilt-8fa1a9e2ed-8fa1a9e2ed|media:47539987873991|pos:2|url:ef5fea9cdf29</t>
        </is>
      </c>
      <c r="B10" s="2" t="inlineStr">
        <is>
          <t>20260909_154500</t>
        </is>
      </c>
      <c r="C10" s="2" t="n">
        <v>32</v>
      </c>
      <c r="D10" s="2" t="inlineStr">
        <is>
          <t>jeminise.com+christmas-cardinals-on-snowy-branches-patchwork-winter-quilt-8fa1a9e2ed-8fa1a9e2ed</t>
        </is>
      </c>
      <c r="E10" s="2" t="inlineStr">
        <is>
          <t>8834709323975</t>
        </is>
      </c>
      <c r="F10" s="2" t="inlineStr">
        <is>
          <t>47539987873991</t>
        </is>
      </c>
      <c r="G10" s="2" t="n">
        <v>2</v>
      </c>
      <c r="H10" s="2" t="inlineStr">
        <is>
          <t>GALLERY</t>
        </is>
      </c>
      <c r="I10" s="2" t="inlineStr">
        <is>
          <t>https://cdn.shopify.com/s/files/1/0792/5098/1063/files/ab7e4f9484e52e83891e552e58d6a27e151a62e654a01667625d8c86bd6a3295.jpg?v=1785098963</t>
        </is>
      </c>
      <c r="J10" s="2" t="inlineStr">
        <is>
          <t>HTTP_200_DOWNLOADED</t>
        </is>
      </c>
      <c r="K10" s="2" t="b">
        <v>1</v>
      </c>
      <c r="L10" s="2" t="inlineStr">
        <is>
          <t>Product gallery mockup/close-up reviewed visually against r5 observation and proposed alt.</t>
        </is>
      </c>
      <c r="M10" s="2" t="inlineStr">
        <is>
          <t>Close-up of a red cardinal head with snowy branch background and visible quilt stitching.</t>
        </is>
      </c>
      <c r="N10" s="2" t="inlineStr">
        <is>
          <t>Cardinal snowy branches quilt close-up</t>
        </is>
      </c>
      <c r="O10" s="2" t="n">
        <v>1</v>
      </c>
      <c r="P10" s="2" t="inlineStr">
        <is>
          <t>Image was opened directly at readable resolution and motif/type matched product evidence.</t>
        </is>
      </c>
      <c r="Q10" s="2" t="n">
        <v>1</v>
      </c>
      <c r="R10" s="2" t="inlineStr">
        <is>
          <t>Alt/observation matches the visible asset type and motif after direct visual review.</t>
        </is>
      </c>
      <c r="S10" s="2" t="n">
        <v>1</v>
      </c>
      <c r="T10" s="2" t="inlineStr">
        <is>
          <t>Image is commercially useful for buyer verification of mockup/detail/size/material.</t>
        </is>
      </c>
      <c r="U10" s="2" t="n">
        <v>1</v>
      </c>
      <c r="V10" s="2" t="inlineStr">
        <is>
          <t>No material SEO/accessibility issue found for this image row.</t>
        </is>
      </c>
      <c r="W10" s="2">
        <f>SUM(O10*40,Q10*30,S10*20,U10*10)</f>
        <v>100</v>
      </c>
      <c r="X10" s="2">
        <f>SUM(IF(O10&lt;&gt;"NOT_CHECKED",40,0),IF(Q10&lt;&gt;"NOT_CHECKED",30,0),IF(S10&lt;&gt;"NOT_CHECKED",20,0),IF(U10&lt;&gt;"NOT_CHECKED",10,0))</f>
        <v>100</v>
      </c>
      <c r="Y10" s="2">
        <f>IF(X10=100,1,0)</f>
        <v>1</v>
      </c>
      <c r="Z10" s="2" t="inlineStr"/>
      <c r="AA10" s="2" t="inlineStr">
        <is>
          <t>source_snapshot/images + contact_sheet_032</t>
        </is>
      </c>
    </row>
    <row r="11" ht="60" customHeight="1">
      <c r="A11" s="2" t="inlineStr">
        <is>
          <t>jeminise.com+christmas-cardinals-on-snowy-branches-patchwork-winter-quilt-8fa1a9e2ed-8fa1a9e2ed|media:47539987906759|pos:3|url:4e43b9809484</t>
        </is>
      </c>
      <c r="B11" s="2" t="inlineStr">
        <is>
          <t>20260909_154500</t>
        </is>
      </c>
      <c r="C11" s="2" t="n">
        <v>32</v>
      </c>
      <c r="D11" s="2" t="inlineStr">
        <is>
          <t>jeminise.com+christmas-cardinals-on-snowy-branches-patchwork-winter-quilt-8fa1a9e2ed-8fa1a9e2ed</t>
        </is>
      </c>
      <c r="E11" s="2" t="inlineStr">
        <is>
          <t>8834709323975</t>
        </is>
      </c>
      <c r="F11" s="2" t="inlineStr">
        <is>
          <t>47539987906759</t>
        </is>
      </c>
      <c r="G11" s="2" t="n">
        <v>3</v>
      </c>
      <c r="H11" s="2" t="inlineStr">
        <is>
          <t>GALLERY</t>
        </is>
      </c>
      <c r="I11" s="2" t="inlineStr">
        <is>
          <t>https://cdn.shopify.com/s/files/1/0792/5098/1063/files/af11f2e375dabf355f9318fb1eea3b312db7cd0ed95fb4b96e7b537d184a9d42.jpg?v=1785098963</t>
        </is>
      </c>
      <c r="J11" s="2" t="inlineStr">
        <is>
          <t>HTTP_200_DOWNLOADED</t>
        </is>
      </c>
      <c r="K11" s="2" t="b">
        <v>1</v>
      </c>
      <c r="L11" s="2" t="inlineStr">
        <is>
          <t>Matching pillowcase/sham view; must be distinguished from main quilt/comforter view.</t>
        </is>
      </c>
      <c r="M11" s="2" t="inlineStr">
        <is>
          <t>Matching pillow sham with two red cardinals, snowy branches, berries and poinsettias.</t>
        </is>
      </c>
      <c r="N11" s="2" t="inlineStr">
        <is>
          <t>Cardinals snowy branches pillow sham</t>
        </is>
      </c>
      <c r="O11" s="2" t="n">
        <v>1</v>
      </c>
      <c r="P11" s="2" t="inlineStr">
        <is>
          <t>Image was opened directly at readable resolution and motif/type matched product evidence.</t>
        </is>
      </c>
      <c r="Q11" s="2" t="n">
        <v>1</v>
      </c>
      <c r="R11" s="2" t="inlineStr">
        <is>
          <t>Alt/observation matches the visible asset type and motif after direct visual review.</t>
        </is>
      </c>
      <c r="S11" s="2" t="n">
        <v>1</v>
      </c>
      <c r="T11" s="2" t="inlineStr">
        <is>
          <t>Image is commercially useful for buyer verification of mockup/detail/size/material.</t>
        </is>
      </c>
      <c r="U11" s="2" t="n">
        <v>1</v>
      </c>
      <c r="V11" s="2" t="inlineStr">
        <is>
          <t>No material SEO/accessibility issue found for this image row.</t>
        </is>
      </c>
      <c r="W11" s="2">
        <f>SUM(O11*40,Q11*30,S11*20,U11*10)</f>
        <v>100</v>
      </c>
      <c r="X11" s="2">
        <f>SUM(IF(O11&lt;&gt;"NOT_CHECKED",40,0),IF(Q11&lt;&gt;"NOT_CHECKED",30,0),IF(S11&lt;&gt;"NOT_CHECKED",20,0),IF(U11&lt;&gt;"NOT_CHECKED",10,0))</f>
        <v>100</v>
      </c>
      <c r="Y11" s="2">
        <f>IF(X11=100,1,0)</f>
        <v>1</v>
      </c>
      <c r="Z11" s="2" t="inlineStr"/>
      <c r="AA11" s="2" t="inlineStr">
        <is>
          <t>source_snapshot/images + contact_sheet_032</t>
        </is>
      </c>
    </row>
    <row r="12" ht="60" customHeight="1">
      <c r="A12" s="2" t="inlineStr">
        <is>
          <t>jeminise.com+christmas-cardinals-on-snowy-branches-patchwork-winter-quilt-8fa1a9e2ed-8fa1a9e2ed|media:47539987939527|pos:4|url:9a402e5e8190</t>
        </is>
      </c>
      <c r="B12" s="2" t="inlineStr">
        <is>
          <t>20260909_154500</t>
        </is>
      </c>
      <c r="C12" s="2" t="n">
        <v>32</v>
      </c>
      <c r="D12" s="2" t="inlineStr">
        <is>
          <t>jeminise.com+christmas-cardinals-on-snowy-branches-patchwork-winter-quilt-8fa1a9e2ed-8fa1a9e2ed</t>
        </is>
      </c>
      <c r="E12" s="2" t="inlineStr">
        <is>
          <t>8834709323975</t>
        </is>
      </c>
      <c r="F12" s="2" t="inlineStr">
        <is>
          <t>47539987939527</t>
        </is>
      </c>
      <c r="G12" s="2" t="n">
        <v>4</v>
      </c>
      <c r="H12" s="2" t="inlineStr">
        <is>
          <t>GALLERY</t>
        </is>
      </c>
      <c r="I12" s="2" t="inlineStr">
        <is>
          <t>https://cdn.shopify.com/s/files/1/0792/5098/1063/files/f940efaf872da7294b0ec99795596430c32c922db66b35243684820e65417fb3.jpg?v=1785098963</t>
        </is>
      </c>
      <c r="J12" s="2" t="inlineStr">
        <is>
          <t>HTTP_200_DOWNLOADED</t>
        </is>
      </c>
      <c r="K12" s="2" t="b">
        <v>1</v>
      </c>
      <c r="L12" s="2" t="inlineStr">
        <is>
          <t>Matching pillowcase/sham view; must be distinguished from main quilt/comforter view.</t>
        </is>
      </c>
      <c r="M12" s="2" t="inlineStr">
        <is>
          <t>Bedroom mockup showing cardinals snowy branches quilt with coordinated pillow shams.</t>
        </is>
      </c>
      <c r="N12" s="2" t="inlineStr">
        <is>
          <t>Cardinals snowy branches quilt bedroom mockup</t>
        </is>
      </c>
      <c r="O12" s="2" t="n">
        <v>1</v>
      </c>
      <c r="P12" s="2" t="inlineStr">
        <is>
          <t>Image was opened directly at readable resolution and motif/type matched product evidence.</t>
        </is>
      </c>
      <c r="Q12" s="2" t="n">
        <v>1</v>
      </c>
      <c r="R12" s="2" t="inlineStr">
        <is>
          <t>Alt/observation matches the visible asset type and motif after direct visual review.</t>
        </is>
      </c>
      <c r="S12" s="2" t="n">
        <v>1</v>
      </c>
      <c r="T12" s="2" t="inlineStr">
        <is>
          <t>Image is commercially useful for buyer verification of mockup/detail/size/material.</t>
        </is>
      </c>
      <c r="U12" s="2" t="n">
        <v>1</v>
      </c>
      <c r="V12" s="2" t="inlineStr">
        <is>
          <t>No material SEO/accessibility issue found for this image row.</t>
        </is>
      </c>
      <c r="W12" s="2">
        <f>SUM(O12*40,Q12*30,S12*20,U12*10)</f>
        <v>100</v>
      </c>
      <c r="X12" s="2">
        <f>SUM(IF(O12&lt;&gt;"NOT_CHECKED",40,0),IF(Q12&lt;&gt;"NOT_CHECKED",30,0),IF(S12&lt;&gt;"NOT_CHECKED",20,0),IF(U12&lt;&gt;"NOT_CHECKED",10,0))</f>
        <v>100</v>
      </c>
      <c r="Y12" s="2">
        <f>IF(X12=100,1,0)</f>
        <v>1</v>
      </c>
      <c r="Z12" s="2" t="inlineStr"/>
      <c r="AA12" s="2" t="inlineStr">
        <is>
          <t>source_snapshot/images + contact_sheet_032</t>
        </is>
      </c>
    </row>
    <row r="13" ht="60" customHeight="1">
      <c r="A13" s="2" t="inlineStr">
        <is>
          <t>jeminise.com+christmas-cardinals-on-snowy-branches-patchwork-winter-quilt-8fa1a9e2ed-8fa1a9e2ed|media:47539987972295|pos:5|url:bb263974aea1</t>
        </is>
      </c>
      <c r="B13" s="2" t="inlineStr">
        <is>
          <t>20260909_154500</t>
        </is>
      </c>
      <c r="C13" s="2" t="n">
        <v>32</v>
      </c>
      <c r="D13" s="2" t="inlineStr">
        <is>
          <t>jeminise.com+christmas-cardinals-on-snowy-branches-patchwork-winter-quilt-8fa1a9e2ed-8fa1a9e2ed</t>
        </is>
      </c>
      <c r="E13" s="2" t="inlineStr">
        <is>
          <t>8834709323975</t>
        </is>
      </c>
      <c r="F13" s="2" t="inlineStr">
        <is>
          <t>47539987972295</t>
        </is>
      </c>
      <c r="G13" s="2" t="n">
        <v>5</v>
      </c>
      <c r="H13" s="2" t="inlineStr">
        <is>
          <t>GALLERY</t>
        </is>
      </c>
      <c r="I13" s="2" t="inlineStr">
        <is>
          <t>https://cdn.shopify.com/s/files/1/0792/5098/1063/files/e0cc67382e14f285ae5b93b57a9e0bfb1a6da6368549d710aed5a534af0f3e89.jpg?v=1785098963</t>
        </is>
      </c>
      <c r="J13" s="2" t="inlineStr">
        <is>
          <t>HTTP_200_DOWNLOADED</t>
        </is>
      </c>
      <c r="K13" s="2" t="b">
        <v>1</v>
      </c>
      <c r="L13" s="2" t="inlineStr">
        <is>
          <t>Size chart / dimension guide; not a lifestyle product mockup but valid description asset.</t>
        </is>
      </c>
      <c r="M13" s="2" t="inlineStr">
        <is>
          <t>Size and component panel showing one premium quilt and two optional standard shams.</t>
        </is>
      </c>
      <c r="N13" s="2" t="inlineStr">
        <is>
          <t>Cardinals snowy branches quilt size options</t>
        </is>
      </c>
      <c r="O13" s="2" t="n">
        <v>1</v>
      </c>
      <c r="P13" s="2" t="inlineStr">
        <is>
          <t>Image was opened directly at readable resolution and motif/type matched product evidence.</t>
        </is>
      </c>
      <c r="Q13" s="2" t="n">
        <v>1</v>
      </c>
      <c r="R13" s="2" t="inlineStr">
        <is>
          <t>Alt/observation matches the visible asset type and motif after direct visual review.</t>
        </is>
      </c>
      <c r="S13" s="2" t="n">
        <v>1</v>
      </c>
      <c r="T13" s="2" t="inlineStr">
        <is>
          <t>Image is commercially useful for buyer verification of mockup/detail/size/material.</t>
        </is>
      </c>
      <c r="U13" s="2" t="n">
        <v>1</v>
      </c>
      <c r="V13" s="2" t="inlineStr">
        <is>
          <t>No material SEO/accessibility issue found for this image row.</t>
        </is>
      </c>
      <c r="W13" s="2">
        <f>SUM(O13*40,Q13*30,S13*20,U13*10)</f>
        <v>100</v>
      </c>
      <c r="X13" s="2">
        <f>SUM(IF(O13&lt;&gt;"NOT_CHECKED",40,0),IF(Q13&lt;&gt;"NOT_CHECKED",30,0),IF(S13&lt;&gt;"NOT_CHECKED",20,0),IF(U13&lt;&gt;"NOT_CHECKED",10,0))</f>
        <v>100</v>
      </c>
      <c r="Y13" s="2">
        <f>IF(X13=100,1,0)</f>
        <v>1</v>
      </c>
      <c r="Z13" s="2" t="inlineStr"/>
      <c r="AA13" s="2" t="inlineStr">
        <is>
          <t>source_snapshot/images + contact_sheet_032</t>
        </is>
      </c>
    </row>
    <row r="14" ht="60" customHeight="1">
      <c r="A14" s="2" t="inlineStr">
        <is>
          <t>jeminise.com+cow-with-landscape-patchwork-quilt-animal-farmhouse-printed-quilt-set|media:47933468082375|pos:1|url:5428c314c1cb</t>
        </is>
      </c>
      <c r="B14" s="2" t="inlineStr">
        <is>
          <t>20260909_154500</t>
        </is>
      </c>
      <c r="C14" s="2" t="n">
        <v>33</v>
      </c>
      <c r="D14" s="2" t="inlineStr">
        <is>
          <t>jeminise.com+cow-with-landscape-patchwork-quilt-animal-farmhouse-printed-quilt-set</t>
        </is>
      </c>
      <c r="E14" s="2" t="inlineStr">
        <is>
          <t>8867095806151</t>
        </is>
      </c>
      <c r="F14" s="2" t="inlineStr">
        <is>
          <t>47933468082375</t>
        </is>
      </c>
      <c r="G14" s="2" t="n">
        <v>1</v>
      </c>
      <c r="H14" s="2" t="inlineStr">
        <is>
          <t>GALLERY</t>
        </is>
      </c>
      <c r="I14" s="2" t="inlineStr">
        <is>
          <t>https://cdn.shopify.com/s/files/1/0792/5098/1063/files/c125a162b81ac7a0917f20a9f0ef6de99ea1d1287c4b81750b47673eae384743.jpg?v=1787233735</t>
        </is>
      </c>
      <c r="J14" s="2" t="inlineStr">
        <is>
          <t>HTTP_200_DOWNLOADED</t>
        </is>
      </c>
      <c r="K14" s="2" t="b">
        <v>1</v>
      </c>
      <c r="L14" s="2" t="inlineStr">
        <is>
          <t>Matching pillowcase/sham view; must be distinguished from main quilt/comforter view.</t>
        </is>
      </c>
      <c r="M14" s="2" t="inlineStr">
        <is>
          <t>Cow farmhouse quilt bed mockup with black-and-white cow, sunflowers, blue sky and matching pillow shams.</t>
        </is>
      </c>
      <c r="N14" s="2" t="inlineStr">
        <is>
          <t>Cow sunflower farmhouse quilt set on bed</t>
        </is>
      </c>
      <c r="O14" s="2" t="n">
        <v>1</v>
      </c>
      <c r="P14" s="2" t="inlineStr">
        <is>
          <t>Image was opened directly at readable resolution and motif/type matched product evidence.</t>
        </is>
      </c>
      <c r="Q14" s="2" t="n">
        <v>1</v>
      </c>
      <c r="R14" s="2" t="inlineStr">
        <is>
          <t>Alt/observation matches the visible asset type and motif after direct visual review.</t>
        </is>
      </c>
      <c r="S14" s="2" t="n">
        <v>1</v>
      </c>
      <c r="T14" s="2" t="inlineStr">
        <is>
          <t>Image is commercially useful for buyer verification of mockup/detail/size/material.</t>
        </is>
      </c>
      <c r="U14" s="2" t="n">
        <v>1</v>
      </c>
      <c r="V14" s="2" t="inlineStr">
        <is>
          <t>No material SEO/accessibility issue found for this image row.</t>
        </is>
      </c>
      <c r="W14" s="2">
        <f>SUM(O14*40,Q14*30,S14*20,U14*10)</f>
        <v>100</v>
      </c>
      <c r="X14" s="2">
        <f>SUM(IF(O14&lt;&gt;"NOT_CHECKED",40,0),IF(Q14&lt;&gt;"NOT_CHECKED",30,0),IF(S14&lt;&gt;"NOT_CHECKED",20,0),IF(U14&lt;&gt;"NOT_CHECKED",10,0))</f>
        <v>100</v>
      </c>
      <c r="Y14" s="2">
        <f>IF(X14=100,1,0)</f>
        <v>1</v>
      </c>
      <c r="Z14" s="2" t="inlineStr"/>
      <c r="AA14" s="2" t="inlineStr">
        <is>
          <t>source_snapshot/images + contact_sheet_033</t>
        </is>
      </c>
    </row>
    <row r="15" ht="60" customHeight="1">
      <c r="A15" s="2" t="inlineStr">
        <is>
          <t>jeminise.com+cow-with-landscape-patchwork-quilt-animal-farmhouse-printed-quilt-set|media:47933468115143|pos:2|url:f47c6b4a2a10</t>
        </is>
      </c>
      <c r="B15" s="2" t="inlineStr">
        <is>
          <t>20260909_154500</t>
        </is>
      </c>
      <c r="C15" s="2" t="n">
        <v>33</v>
      </c>
      <c r="D15" s="2" t="inlineStr">
        <is>
          <t>jeminise.com+cow-with-landscape-patchwork-quilt-animal-farmhouse-printed-quilt-set</t>
        </is>
      </c>
      <c r="E15" s="2" t="inlineStr">
        <is>
          <t>8867095806151</t>
        </is>
      </c>
      <c r="F15" s="2" t="inlineStr">
        <is>
          <t>47933468115143</t>
        </is>
      </c>
      <c r="G15" s="2" t="n">
        <v>2</v>
      </c>
      <c r="H15" s="2" t="inlineStr">
        <is>
          <t>GALLERY</t>
        </is>
      </c>
      <c r="I15" s="2" t="inlineStr">
        <is>
          <t>https://cdn.shopify.com/s/files/1/0792/5098/1063/files/7a88284bac324abbd9e85d02486e08e699c97d58643e1069e6adbbc0aaa005b3.jpg?v=1787233735</t>
        </is>
      </c>
      <c r="J15" s="2" t="inlineStr">
        <is>
          <t>HTTP_200_DOWNLOADED</t>
        </is>
      </c>
      <c r="K15" s="2" t="b">
        <v>1</v>
      </c>
      <c r="L15" s="2" t="inlineStr">
        <is>
          <t>Product gallery mockup/close-up reviewed visually against r5 observation and proposed alt.</t>
        </is>
      </c>
      <c r="M15" s="2" t="inlineStr">
        <is>
          <t>Bedroom mockup with cow sunflower quilt and premium printed craft callout.</t>
        </is>
      </c>
      <c r="N15" s="2" t="inlineStr">
        <is>
          <t>Cow sunflower farmhouse quilt room mockup</t>
        </is>
      </c>
      <c r="O15" s="2" t="n">
        <v>1</v>
      </c>
      <c r="P15" s="2" t="inlineStr">
        <is>
          <t>Image was opened directly at readable resolution and motif/type matched product evidence.</t>
        </is>
      </c>
      <c r="Q15" s="2" t="n">
        <v>1</v>
      </c>
      <c r="R15" s="2" t="inlineStr">
        <is>
          <t>Alt/observation matches the visible asset type and motif after direct visual review.</t>
        </is>
      </c>
      <c r="S15" s="2" t="n">
        <v>1</v>
      </c>
      <c r="T15" s="2" t="inlineStr">
        <is>
          <t>Image is commercially useful for buyer verification of mockup/detail/size/material.</t>
        </is>
      </c>
      <c r="U15" s="2" t="n">
        <v>1</v>
      </c>
      <c r="V15" s="2" t="inlineStr">
        <is>
          <t>No material SEO/accessibility issue found for this image row.</t>
        </is>
      </c>
      <c r="W15" s="2">
        <f>SUM(O15*40,Q15*30,S15*20,U15*10)</f>
        <v>100</v>
      </c>
      <c r="X15" s="2">
        <f>SUM(IF(O15&lt;&gt;"NOT_CHECKED",40,0),IF(Q15&lt;&gt;"NOT_CHECKED",30,0),IF(S15&lt;&gt;"NOT_CHECKED",20,0),IF(U15&lt;&gt;"NOT_CHECKED",10,0))</f>
        <v>100</v>
      </c>
      <c r="Y15" s="2">
        <f>IF(X15=100,1,0)</f>
        <v>1</v>
      </c>
      <c r="Z15" s="2" t="inlineStr"/>
      <c r="AA15" s="2" t="inlineStr">
        <is>
          <t>source_snapshot/images + contact_sheet_033</t>
        </is>
      </c>
    </row>
    <row r="16" ht="60" customHeight="1">
      <c r="A16" s="2" t="inlineStr">
        <is>
          <t>jeminise.com+cow-with-landscape-patchwork-quilt-animal-farmhouse-printed-quilt-set|media:47933468147911|pos:3|url:8a84c7ef4a97</t>
        </is>
      </c>
      <c r="B16" s="2" t="inlineStr">
        <is>
          <t>20260909_154500</t>
        </is>
      </c>
      <c r="C16" s="2" t="n">
        <v>33</v>
      </c>
      <c r="D16" s="2" t="inlineStr">
        <is>
          <t>jeminise.com+cow-with-landscape-patchwork-quilt-animal-farmhouse-printed-quilt-set</t>
        </is>
      </c>
      <c r="E16" s="2" t="inlineStr">
        <is>
          <t>8867095806151</t>
        </is>
      </c>
      <c r="F16" s="2" t="inlineStr">
        <is>
          <t>47933468147911</t>
        </is>
      </c>
      <c r="G16" s="2" t="n">
        <v>3</v>
      </c>
      <c r="H16" s="2" t="inlineStr">
        <is>
          <t>GALLERY</t>
        </is>
      </c>
      <c r="I16" s="2" t="inlineStr">
        <is>
          <t>https://cdn.shopify.com/s/files/1/0792/5098/1063/files/f32a0ab9ff68ed03ce7eeb22aba59688cf62bd847260ddb6328da301eba420f1.jpg?v=1787233735</t>
        </is>
      </c>
      <c r="J16" s="2" t="inlineStr">
        <is>
          <t>HTTP_200_DOWNLOADED</t>
        </is>
      </c>
      <c r="K16" s="2" t="b">
        <v>1</v>
      </c>
      <c r="L16" s="2" t="inlineStr">
        <is>
          <t>Matching pillowcase/sham view; must be distinguished from main quilt/comforter view.</t>
        </is>
      </c>
      <c r="M16" s="2" t="inlineStr">
        <is>
          <t>Optional pillow shams panel showing matching cow and sunflower pillow artwork.</t>
        </is>
      </c>
      <c r="N16" s="2" t="inlineStr">
        <is>
          <t>Cow sunflower quilt optional pillow shams</t>
        </is>
      </c>
      <c r="O16" s="2" t="n">
        <v>1</v>
      </c>
      <c r="P16" s="2" t="inlineStr">
        <is>
          <t>Image was opened directly at readable resolution and motif/type matched product evidence.</t>
        </is>
      </c>
      <c r="Q16" s="2" t="n">
        <v>1</v>
      </c>
      <c r="R16" s="2" t="inlineStr">
        <is>
          <t>Alt/observation matches the visible asset type and motif after direct visual review.</t>
        </is>
      </c>
      <c r="S16" s="2" t="n">
        <v>1</v>
      </c>
      <c r="T16" s="2" t="inlineStr">
        <is>
          <t>Image is commercially useful for buyer verification of mockup/detail/size/material.</t>
        </is>
      </c>
      <c r="U16" s="2" t="n">
        <v>1</v>
      </c>
      <c r="V16" s="2" t="inlineStr">
        <is>
          <t>No material SEO/accessibility issue found for this image row.</t>
        </is>
      </c>
      <c r="W16" s="2">
        <f>SUM(O16*40,Q16*30,S16*20,U16*10)</f>
        <v>100</v>
      </c>
      <c r="X16" s="2">
        <f>SUM(IF(O16&lt;&gt;"NOT_CHECKED",40,0),IF(Q16&lt;&gt;"NOT_CHECKED",30,0),IF(S16&lt;&gt;"NOT_CHECKED",20,0),IF(U16&lt;&gt;"NOT_CHECKED",10,0))</f>
        <v>100</v>
      </c>
      <c r="Y16" s="2">
        <f>IF(X16=100,1,0)</f>
        <v>1</v>
      </c>
      <c r="Z16" s="2" t="inlineStr"/>
      <c r="AA16" s="2" t="inlineStr">
        <is>
          <t>source_snapshot/images + contact_sheet_033</t>
        </is>
      </c>
    </row>
    <row r="17" ht="60" customHeight="1">
      <c r="A17" s="2" t="inlineStr">
        <is>
          <t>jeminise.com+cow-with-landscape-patchwork-quilt-animal-farmhouse-printed-quilt-set|media:47933468180679|pos:4|url:40657a3d9eaa</t>
        </is>
      </c>
      <c r="B17" s="2" t="inlineStr">
        <is>
          <t>20260909_154500</t>
        </is>
      </c>
      <c r="C17" s="2" t="n">
        <v>33</v>
      </c>
      <c r="D17" s="2" t="inlineStr">
        <is>
          <t>jeminise.com+cow-with-landscape-patchwork-quilt-animal-farmhouse-printed-quilt-set</t>
        </is>
      </c>
      <c r="E17" s="2" t="inlineStr">
        <is>
          <t>8867095806151</t>
        </is>
      </c>
      <c r="F17" s="2" t="inlineStr">
        <is>
          <t>47933468180679</t>
        </is>
      </c>
      <c r="G17" s="2" t="n">
        <v>4</v>
      </c>
      <c r="H17" s="2" t="inlineStr">
        <is>
          <t>GALLERY</t>
        </is>
      </c>
      <c r="I17" s="2" t="inlineStr">
        <is>
          <t>https://cdn.shopify.com/s/files/1/0792/5098/1063/files/1bbca18f85bad17a4319e22b1226d6662eb2bab7b67726b2423904e5d0e36838.jpg?v=1787233735</t>
        </is>
      </c>
      <c r="J17" s="2" t="inlineStr">
        <is>
          <t>HTTP_200_DOWNLOADED</t>
        </is>
      </c>
      <c r="K17" s="2" t="b">
        <v>1</v>
      </c>
      <c r="L17" s="2" t="inlineStr">
        <is>
          <t>Product gallery mockup/close-up reviewed visually against r5 observation and proposed alt.</t>
        </is>
      </c>
      <c r="M17" s="2" t="inlineStr">
        <is>
          <t>Fabric panel showing cow quilt layers and soft breathable skin-friendly fabric callout.</t>
        </is>
      </c>
      <c r="N17" s="2" t="inlineStr">
        <is>
          <t>Cow sunflower quilt fabric feature panel</t>
        </is>
      </c>
      <c r="O17" s="2" t="n">
        <v>1</v>
      </c>
      <c r="P17" s="2" t="inlineStr">
        <is>
          <t>Image was opened directly at readable resolution and motif/type matched product evidence.</t>
        </is>
      </c>
      <c r="Q17" s="2" t="n">
        <v>1</v>
      </c>
      <c r="R17" s="2" t="inlineStr">
        <is>
          <t>Alt/observation matches the visible asset type and motif after direct visual review.</t>
        </is>
      </c>
      <c r="S17" s="2" t="n">
        <v>1</v>
      </c>
      <c r="T17" s="2" t="inlineStr">
        <is>
          <t>Image is commercially useful for buyer verification of mockup/detail/size/material.</t>
        </is>
      </c>
      <c r="U17" s="2" t="n">
        <v>1</v>
      </c>
      <c r="V17" s="2" t="inlineStr">
        <is>
          <t>No material SEO/accessibility issue found for this image row.</t>
        </is>
      </c>
      <c r="W17" s="2">
        <f>SUM(O17*40,Q17*30,S17*20,U17*10)</f>
        <v>100</v>
      </c>
      <c r="X17" s="2">
        <f>SUM(IF(O17&lt;&gt;"NOT_CHECKED",40,0),IF(Q17&lt;&gt;"NOT_CHECKED",30,0),IF(S17&lt;&gt;"NOT_CHECKED",20,0),IF(U17&lt;&gt;"NOT_CHECKED",10,0))</f>
        <v>100</v>
      </c>
      <c r="Y17" s="2">
        <f>IF(X17=100,1,0)</f>
        <v>1</v>
      </c>
      <c r="Z17" s="2" t="inlineStr"/>
      <c r="AA17" s="2" t="inlineStr">
        <is>
          <t>source_snapshot/images + contact_sheet_033</t>
        </is>
      </c>
    </row>
    <row r="18" ht="60" customHeight="1">
      <c r="A18" s="2" t="inlineStr">
        <is>
          <t>jeminise.com+cow-with-landscape-patchwork-quilt-animal-farmhouse-printed-quilt-set|media:47933468213447|pos:5|url:0b74e72b0985</t>
        </is>
      </c>
      <c r="B18" s="2" t="inlineStr">
        <is>
          <t>20260909_154500</t>
        </is>
      </c>
      <c r="C18" s="2" t="n">
        <v>33</v>
      </c>
      <c r="D18" s="2" t="inlineStr">
        <is>
          <t>jeminise.com+cow-with-landscape-patchwork-quilt-animal-farmhouse-printed-quilt-set</t>
        </is>
      </c>
      <c r="E18" s="2" t="inlineStr">
        <is>
          <t>8867095806151</t>
        </is>
      </c>
      <c r="F18" s="2" t="inlineStr">
        <is>
          <t>47933468213447</t>
        </is>
      </c>
      <c r="G18" s="2" t="n">
        <v>5</v>
      </c>
      <c r="H18" s="2" t="inlineStr">
        <is>
          <t>GALLERY</t>
        </is>
      </c>
      <c r="I18" s="2" t="inlineStr">
        <is>
          <t>https://cdn.shopify.com/s/files/1/0792/5098/1063/files/32dcd15df2916d5b1b8d8d68f2f607c4714e8c2431775c9aca2dfd45240abd6f.jpg?v=1787233735</t>
        </is>
      </c>
      <c r="J18" s="2" t="inlineStr">
        <is>
          <t>HTTP_200_DOWNLOADED</t>
        </is>
      </c>
      <c r="K18" s="2" t="b">
        <v>1</v>
      </c>
      <c r="L18" s="2" t="inlineStr">
        <is>
          <t>Size chart / dimension guide; not a lifestyle product mockup but valid description asset.</t>
        </is>
      </c>
      <c r="M18" s="2" t="inlineStr">
        <is>
          <t>Premium quilt set size chart with cow sunflower artwork and quilt dimensions.</t>
        </is>
      </c>
      <c r="N18" s="2" t="inlineStr">
        <is>
          <t>Cow sunflower farmhouse quilt size chart</t>
        </is>
      </c>
      <c r="O18" s="2" t="n">
        <v>1</v>
      </c>
      <c r="P18" s="2" t="inlineStr">
        <is>
          <t>Image was opened directly at readable resolution and motif/type matched product evidence.</t>
        </is>
      </c>
      <c r="Q18" s="2" t="n">
        <v>1</v>
      </c>
      <c r="R18" s="2" t="inlineStr">
        <is>
          <t>Alt/observation matches the visible asset type and motif after direct visual review.</t>
        </is>
      </c>
      <c r="S18" s="2" t="n">
        <v>1</v>
      </c>
      <c r="T18" s="2" t="inlineStr">
        <is>
          <t>Image is commercially useful for buyer verification of mockup/detail/size/material.</t>
        </is>
      </c>
      <c r="U18" s="2" t="n">
        <v>1</v>
      </c>
      <c r="V18" s="2" t="inlineStr">
        <is>
          <t>No material SEO/accessibility issue found for this image row.</t>
        </is>
      </c>
      <c r="W18" s="2">
        <f>SUM(O18*40,Q18*30,S18*20,U18*10)</f>
        <v>100</v>
      </c>
      <c r="X18" s="2">
        <f>SUM(IF(O18&lt;&gt;"NOT_CHECKED",40,0),IF(Q18&lt;&gt;"NOT_CHECKED",30,0),IF(S18&lt;&gt;"NOT_CHECKED",20,0),IF(U18&lt;&gt;"NOT_CHECKED",10,0))</f>
        <v>100</v>
      </c>
      <c r="Y18" s="2">
        <f>IF(X18=100,1,0)</f>
        <v>1</v>
      </c>
      <c r="Z18" s="2" t="inlineStr"/>
      <c r="AA18" s="2" t="inlineStr">
        <is>
          <t>source_snapshot/images + contact_sheet_033</t>
        </is>
      </c>
    </row>
    <row r="19" ht="60" customHeight="1">
      <c r="A19" s="2" t="inlineStr">
        <is>
          <t>jeminise.com+cow-with-landscape-patchwork-quilt-animal-farmhouse-printed-quilt-set|media:47933468246215|pos:6|url:111204e9a325</t>
        </is>
      </c>
      <c r="B19" s="2" t="inlineStr">
        <is>
          <t>20260909_154500</t>
        </is>
      </c>
      <c r="C19" s="2" t="n">
        <v>33</v>
      </c>
      <c r="D19" s="2" t="inlineStr">
        <is>
          <t>jeminise.com+cow-with-landscape-patchwork-quilt-animal-farmhouse-printed-quilt-set</t>
        </is>
      </c>
      <c r="E19" s="2" t="inlineStr">
        <is>
          <t>8867095806151</t>
        </is>
      </c>
      <c r="F19" s="2" t="inlineStr">
        <is>
          <t>47933468246215</t>
        </is>
      </c>
      <c r="G19" s="2" t="n">
        <v>6</v>
      </c>
      <c r="H19" s="2" t="inlineStr">
        <is>
          <t>GALLERY</t>
        </is>
      </c>
      <c r="I19" s="2" t="inlineStr">
        <is>
          <t>https://cdn.shopify.com/s/files/1/0792/5098/1063/files/dc70b03e88939e50ced310aa559c8361dac40ba03af7d4e5a16ecc0308756e3b.jpg?v=1787233735</t>
        </is>
      </c>
      <c r="J19" s="2" t="inlineStr">
        <is>
          <t>HTTP_200_DOWNLOADED</t>
        </is>
      </c>
      <c r="K19" s="2" t="b">
        <v>1</v>
      </c>
      <c r="L19" s="2" t="inlineStr">
        <is>
          <t>Product gallery mockup/close-up reviewed visually against r5 observation and proposed alt.</t>
        </is>
      </c>
      <c r="M19" s="2" t="inlineStr">
        <is>
          <t>Bedspread features panel showing microfiber layers and care-resistance icons.</t>
        </is>
      </c>
      <c r="N19" s="2" t="inlineStr">
        <is>
          <t>Cow sunflower quilt bedspread features</t>
        </is>
      </c>
      <c r="O19" s="2" t="n">
        <v>1</v>
      </c>
      <c r="P19" s="2" t="inlineStr">
        <is>
          <t>Image was opened directly at readable resolution and motif/type matched product evidence.</t>
        </is>
      </c>
      <c r="Q19" s="2" t="n">
        <v>1</v>
      </c>
      <c r="R19" s="2" t="inlineStr">
        <is>
          <t>Alt/observation matches the visible asset type and motif after direct visual review.</t>
        </is>
      </c>
      <c r="S19" s="2" t="n">
        <v>1</v>
      </c>
      <c r="T19" s="2" t="inlineStr">
        <is>
          <t>Image is commercially useful for buyer verification of mockup/detail/size/material.</t>
        </is>
      </c>
      <c r="U19" s="2" t="n">
        <v>1</v>
      </c>
      <c r="V19" s="2" t="inlineStr">
        <is>
          <t>No material SEO/accessibility issue found for this image row.</t>
        </is>
      </c>
      <c r="W19" s="2">
        <f>SUM(O19*40,Q19*30,S19*20,U19*10)</f>
        <v>100</v>
      </c>
      <c r="X19" s="2">
        <f>SUM(IF(O19&lt;&gt;"NOT_CHECKED",40,0),IF(Q19&lt;&gt;"NOT_CHECKED",30,0),IF(S19&lt;&gt;"NOT_CHECKED",20,0),IF(U19&lt;&gt;"NOT_CHECKED",10,0))</f>
        <v>100</v>
      </c>
      <c r="Y19" s="2">
        <f>IF(X19=100,1,0)</f>
        <v>1</v>
      </c>
      <c r="Z19" s="2" t="inlineStr"/>
      <c r="AA19" s="2" t="inlineStr">
        <is>
          <t>source_snapshot/images + contact_sheet_033</t>
        </is>
      </c>
    </row>
    <row r="20" ht="60" customHeight="1">
      <c r="A20" s="2" t="inlineStr">
        <is>
          <t>jeminise.com+cow-with-landscape-patchwork-quilt-animal-farmhouse-printed-quilt-set|media:47933468278983|pos:7|url:7862803826a7</t>
        </is>
      </c>
      <c r="B20" s="2" t="inlineStr">
        <is>
          <t>20260909_154500</t>
        </is>
      </c>
      <c r="C20" s="2" t="n">
        <v>33</v>
      </c>
      <c r="D20" s="2" t="inlineStr">
        <is>
          <t>jeminise.com+cow-with-landscape-patchwork-quilt-animal-farmhouse-printed-quilt-set</t>
        </is>
      </c>
      <c r="E20" s="2" t="inlineStr">
        <is>
          <t>8867095806151</t>
        </is>
      </c>
      <c r="F20" s="2" t="inlineStr">
        <is>
          <t>47933468278983</t>
        </is>
      </c>
      <c r="G20" s="2" t="n">
        <v>7</v>
      </c>
      <c r="H20" s="2" t="inlineStr">
        <is>
          <t>GALLERY</t>
        </is>
      </c>
      <c r="I20" s="2" t="inlineStr">
        <is>
          <t>https://cdn.shopify.com/s/files/1/0792/5098/1063/files/c37475656bf98ea019e9e9887fa4be4c65af24e59e440b0e459561c573680aa0.jpg?v=1787233735</t>
        </is>
      </c>
      <c r="J20" s="2" t="inlineStr">
        <is>
          <t>HTTP_200_DOWNLOADED</t>
        </is>
      </c>
      <c r="K20" s="2" t="b">
        <v>1</v>
      </c>
      <c r="L20" s="2" t="inlineStr">
        <is>
          <t>Matching pillowcase/sham view; must be distinguished from main quilt/comforter view.</t>
        </is>
      </c>
      <c r="M20" s="2" t="inlineStr">
        <is>
          <t>Overhead bedroom mockup showing cow sunflower quilt with matching pillows.</t>
        </is>
      </c>
      <c r="N20" s="2" t="inlineStr">
        <is>
          <t>Cow sunflower quilt overhead bedroom view</t>
        </is>
      </c>
      <c r="O20" s="2" t="n">
        <v>1</v>
      </c>
      <c r="P20" s="2" t="inlineStr">
        <is>
          <t>Image was opened directly at readable resolution and motif/type matched product evidence.</t>
        </is>
      </c>
      <c r="Q20" s="2" t="n">
        <v>1</v>
      </c>
      <c r="R20" s="2" t="inlineStr">
        <is>
          <t>Alt/observation matches the visible asset type and motif after direct visual review.</t>
        </is>
      </c>
      <c r="S20" s="2" t="n">
        <v>1</v>
      </c>
      <c r="T20" s="2" t="inlineStr">
        <is>
          <t>Image is commercially useful for buyer verification of mockup/detail/size/material.</t>
        </is>
      </c>
      <c r="U20" s="2" t="n">
        <v>1</v>
      </c>
      <c r="V20" s="2" t="inlineStr">
        <is>
          <t>No material SEO/accessibility issue found for this image row.</t>
        </is>
      </c>
      <c r="W20" s="2">
        <f>SUM(O20*40,Q20*30,S20*20,U20*10)</f>
        <v>100</v>
      </c>
      <c r="X20" s="2">
        <f>SUM(IF(O20&lt;&gt;"NOT_CHECKED",40,0),IF(Q20&lt;&gt;"NOT_CHECKED",30,0),IF(S20&lt;&gt;"NOT_CHECKED",20,0),IF(U20&lt;&gt;"NOT_CHECKED",10,0))</f>
        <v>100</v>
      </c>
      <c r="Y20" s="2">
        <f>IF(X20=100,1,0)</f>
        <v>1</v>
      </c>
      <c r="Z20" s="2" t="inlineStr"/>
      <c r="AA20" s="2" t="inlineStr">
        <is>
          <t>source_snapshot/images + contact_sheet_033</t>
        </is>
      </c>
    </row>
    <row r="21" ht="60" customHeight="1">
      <c r="A21" s="2" t="inlineStr">
        <is>
          <t>jeminise.com+crocodile-patchwork-printed-quilts-animal-patchwork-bedding|media:47933465428167|pos:1|url:47b59f1b1a2e</t>
        </is>
      </c>
      <c r="B21" s="2" t="inlineStr">
        <is>
          <t>20260909_154500</t>
        </is>
      </c>
      <c r="C21" s="2" t="n">
        <v>34</v>
      </c>
      <c r="D21" s="2" t="inlineStr">
        <is>
          <t>jeminise.com+crocodile-patchwork-printed-quilts-animal-patchwork-bedding</t>
        </is>
      </c>
      <c r="E21" s="2" t="inlineStr">
        <is>
          <t>8867095445703</t>
        </is>
      </c>
      <c r="F21" s="2" t="inlineStr">
        <is>
          <t>47933465428167</t>
        </is>
      </c>
      <c r="G21" s="2" t="n">
        <v>1</v>
      </c>
      <c r="H21" s="2" t="inlineStr">
        <is>
          <t>GALLERY</t>
        </is>
      </c>
      <c r="I21" s="2" t="inlineStr">
        <is>
          <t>https://cdn.shopify.com/s/files/1/0792/5098/1063/files/3c7bf8f759fde9a601188dc9ea3bfb0f79f2706824b7f370fe34e30020f2a202.jpg?v=1787233713</t>
        </is>
      </c>
      <c r="J21" s="2" t="inlineStr">
        <is>
          <t>HTTP_200_DOWNLOADED</t>
        </is>
      </c>
      <c r="K21" s="2" t="b">
        <v>1</v>
      </c>
      <c r="L21" s="2" t="inlineStr">
        <is>
          <t>Matching pillowcase/sham view; must be distinguished from main quilt/comforter view.</t>
        </is>
      </c>
      <c r="M21" s="2" t="inlineStr">
        <is>
          <t>Crocodile patchwork quilt bed mockup with colorful crocodile, white background, flowers and matching pillow shams.</t>
        </is>
      </c>
      <c r="N21" s="2" t="inlineStr">
        <is>
          <t>Crocodile patchwork animal quilt set on bed</t>
        </is>
      </c>
      <c r="O21" s="2" t="n">
        <v>1</v>
      </c>
      <c r="P21" s="2" t="inlineStr">
        <is>
          <t>Image was opened directly at readable resolution and motif/type matched product evidence.</t>
        </is>
      </c>
      <c r="Q21" s="2" t="n">
        <v>1</v>
      </c>
      <c r="R21" s="2" t="inlineStr">
        <is>
          <t>Alt/observation matches the visible asset type and motif after direct visual review.</t>
        </is>
      </c>
      <c r="S21" s="2" t="n">
        <v>1</v>
      </c>
      <c r="T21" s="2" t="inlineStr">
        <is>
          <t>Image is commercially useful for buyer verification of mockup/detail/size/material.</t>
        </is>
      </c>
      <c r="U21" s="2" t="n">
        <v>1</v>
      </c>
      <c r="V21" s="2" t="inlineStr">
        <is>
          <t>No material SEO/accessibility issue found for this image row.</t>
        </is>
      </c>
      <c r="W21" s="2">
        <f>SUM(O21*40,Q21*30,S21*20,U21*10)</f>
        <v>100</v>
      </c>
      <c r="X21" s="2">
        <f>SUM(IF(O21&lt;&gt;"NOT_CHECKED",40,0),IF(Q21&lt;&gt;"NOT_CHECKED",30,0),IF(S21&lt;&gt;"NOT_CHECKED",20,0),IF(U21&lt;&gt;"NOT_CHECKED",10,0))</f>
        <v>100</v>
      </c>
      <c r="Y21" s="2">
        <f>IF(X21=100,1,0)</f>
        <v>1</v>
      </c>
      <c r="Z21" s="2" t="inlineStr"/>
      <c r="AA21" s="2" t="inlineStr">
        <is>
          <t>source_snapshot/images + contact_sheet_034</t>
        </is>
      </c>
    </row>
    <row r="22" ht="60" customHeight="1">
      <c r="A22" s="2" t="inlineStr">
        <is>
          <t>jeminise.com+crocodile-patchwork-printed-quilts-animal-patchwork-bedding|media:47933465460935|pos:2|url:ce5dffb56532</t>
        </is>
      </c>
      <c r="B22" s="2" t="inlineStr">
        <is>
          <t>20260909_154500</t>
        </is>
      </c>
      <c r="C22" s="2" t="n">
        <v>34</v>
      </c>
      <c r="D22" s="2" t="inlineStr">
        <is>
          <t>jeminise.com+crocodile-patchwork-printed-quilts-animal-patchwork-bedding</t>
        </is>
      </c>
      <c r="E22" s="2" t="inlineStr">
        <is>
          <t>8867095445703</t>
        </is>
      </c>
      <c r="F22" s="2" t="inlineStr">
        <is>
          <t>47933465460935</t>
        </is>
      </c>
      <c r="G22" s="2" t="n">
        <v>2</v>
      </c>
      <c r="H22" s="2" t="inlineStr">
        <is>
          <t>GALLERY</t>
        </is>
      </c>
      <c r="I22" s="2" t="inlineStr">
        <is>
          <t>https://cdn.shopify.com/s/files/1/0792/5098/1063/files/45d1fdc812fc32fda9640edc194f4f3eb069b49c9bad423b59abfe172e4a5c89.jpg?v=1787233712</t>
        </is>
      </c>
      <c r="J22" s="2" t="inlineStr">
        <is>
          <t>HTTP_200_DOWNLOADED</t>
        </is>
      </c>
      <c r="K22" s="2" t="b">
        <v>1</v>
      </c>
      <c r="L22" s="2" t="inlineStr">
        <is>
          <t>Product gallery mockup/close-up reviewed visually against r5 observation and proposed alt.</t>
        </is>
      </c>
      <c r="M22" s="2" t="inlineStr">
        <is>
          <t>Bedroom mockup with crocodile patchwork quilt and premium printed craft callout.</t>
        </is>
      </c>
      <c r="N22" s="2" t="inlineStr">
        <is>
          <t>Crocodile patchwork quilt room mockup</t>
        </is>
      </c>
      <c r="O22" s="2" t="n">
        <v>1</v>
      </c>
      <c r="P22" s="2" t="inlineStr">
        <is>
          <t>Image was opened directly at readable resolution and motif/type matched product evidence.</t>
        </is>
      </c>
      <c r="Q22" s="2" t="n">
        <v>1</v>
      </c>
      <c r="R22" s="2" t="inlineStr">
        <is>
          <t>Alt/observation matches the visible asset type and motif after direct visual review.</t>
        </is>
      </c>
      <c r="S22" s="2" t="n">
        <v>1</v>
      </c>
      <c r="T22" s="2" t="inlineStr">
        <is>
          <t>Image is commercially useful for buyer verification of mockup/detail/size/material.</t>
        </is>
      </c>
      <c r="U22" s="2" t="n">
        <v>1</v>
      </c>
      <c r="V22" s="2" t="inlineStr">
        <is>
          <t>No material SEO/accessibility issue found for this image row.</t>
        </is>
      </c>
      <c r="W22" s="2">
        <f>SUM(O22*40,Q22*30,S22*20,U22*10)</f>
        <v>100</v>
      </c>
      <c r="X22" s="2">
        <f>SUM(IF(O22&lt;&gt;"NOT_CHECKED",40,0),IF(Q22&lt;&gt;"NOT_CHECKED",30,0),IF(S22&lt;&gt;"NOT_CHECKED",20,0),IF(U22&lt;&gt;"NOT_CHECKED",10,0))</f>
        <v>100</v>
      </c>
      <c r="Y22" s="2">
        <f>IF(X22=100,1,0)</f>
        <v>1</v>
      </c>
      <c r="Z22" s="2" t="inlineStr"/>
      <c r="AA22" s="2" t="inlineStr">
        <is>
          <t>source_snapshot/images + contact_sheet_034</t>
        </is>
      </c>
    </row>
    <row r="23" ht="60" customHeight="1">
      <c r="A23" s="2" t="inlineStr">
        <is>
          <t>jeminise.com+crocodile-patchwork-printed-quilts-animal-patchwork-bedding|media:47933465493703|pos:3|url:cad442572a83</t>
        </is>
      </c>
      <c r="B23" s="2" t="inlineStr">
        <is>
          <t>20260909_154500</t>
        </is>
      </c>
      <c r="C23" s="2" t="n">
        <v>34</v>
      </c>
      <c r="D23" s="2" t="inlineStr">
        <is>
          <t>jeminise.com+crocodile-patchwork-printed-quilts-animal-patchwork-bedding</t>
        </is>
      </c>
      <c r="E23" s="2" t="inlineStr">
        <is>
          <t>8867095445703</t>
        </is>
      </c>
      <c r="F23" s="2" t="inlineStr">
        <is>
          <t>47933465493703</t>
        </is>
      </c>
      <c r="G23" s="2" t="n">
        <v>3</v>
      </c>
      <c r="H23" s="2" t="inlineStr">
        <is>
          <t>GALLERY</t>
        </is>
      </c>
      <c r="I23" s="2" t="inlineStr">
        <is>
          <t>https://cdn.shopify.com/s/files/1/0792/5098/1063/files/3a2053c767418069e7798a6396238963761e34d481d46bd9d676cc7a722ce425.jpg?v=1787233713</t>
        </is>
      </c>
      <c r="J23" s="2" t="inlineStr">
        <is>
          <t>HTTP_200_DOWNLOADED</t>
        </is>
      </c>
      <c r="K23" s="2" t="b">
        <v>1</v>
      </c>
      <c r="L23" s="2" t="inlineStr">
        <is>
          <t>Matching pillowcase/sham view; must be distinguished from main quilt/comforter view.</t>
        </is>
      </c>
      <c r="M23" s="2" t="inlineStr">
        <is>
          <t>Optional pillow shams panel showing matching crocodile patchwork pillow artwork.</t>
        </is>
      </c>
      <c r="N23" s="2" t="inlineStr">
        <is>
          <t>Crocodile patchwork quilt optional pillow shams</t>
        </is>
      </c>
      <c r="O23" s="2" t="n">
        <v>1</v>
      </c>
      <c r="P23" s="2" t="inlineStr">
        <is>
          <t>Image was opened directly at readable resolution and motif/type matched product evidence.</t>
        </is>
      </c>
      <c r="Q23" s="2" t="n">
        <v>1</v>
      </c>
      <c r="R23" s="2" t="inlineStr">
        <is>
          <t>Alt/observation matches the visible asset type and motif after direct visual review.</t>
        </is>
      </c>
      <c r="S23" s="2" t="n">
        <v>1</v>
      </c>
      <c r="T23" s="2" t="inlineStr">
        <is>
          <t>Image is commercially useful for buyer verification of mockup/detail/size/material.</t>
        </is>
      </c>
      <c r="U23" s="2" t="n">
        <v>1</v>
      </c>
      <c r="V23" s="2" t="inlineStr">
        <is>
          <t>No material SEO/accessibility issue found for this image row.</t>
        </is>
      </c>
      <c r="W23" s="2">
        <f>SUM(O23*40,Q23*30,S23*20,U23*10)</f>
        <v>100</v>
      </c>
      <c r="X23" s="2">
        <f>SUM(IF(O23&lt;&gt;"NOT_CHECKED",40,0),IF(Q23&lt;&gt;"NOT_CHECKED",30,0),IF(S23&lt;&gt;"NOT_CHECKED",20,0),IF(U23&lt;&gt;"NOT_CHECKED",10,0))</f>
        <v>100</v>
      </c>
      <c r="Y23" s="2">
        <f>IF(X23=100,1,0)</f>
        <v>1</v>
      </c>
      <c r="Z23" s="2" t="inlineStr"/>
      <c r="AA23" s="2" t="inlineStr">
        <is>
          <t>source_snapshot/images + contact_sheet_034</t>
        </is>
      </c>
    </row>
    <row r="24" ht="60" customHeight="1">
      <c r="A24" s="2" t="inlineStr">
        <is>
          <t>jeminise.com+crocodile-patchwork-printed-quilts-animal-patchwork-bedding|media:47933465526471|pos:4|url:50e3a3c74430</t>
        </is>
      </c>
      <c r="B24" s="2" t="inlineStr">
        <is>
          <t>20260909_154500</t>
        </is>
      </c>
      <c r="C24" s="2" t="n">
        <v>34</v>
      </c>
      <c r="D24" s="2" t="inlineStr">
        <is>
          <t>jeminise.com+crocodile-patchwork-printed-quilts-animal-patchwork-bedding</t>
        </is>
      </c>
      <c r="E24" s="2" t="inlineStr">
        <is>
          <t>8867095445703</t>
        </is>
      </c>
      <c r="F24" s="2" t="inlineStr">
        <is>
          <t>47933465526471</t>
        </is>
      </c>
      <c r="G24" s="2" t="n">
        <v>4</v>
      </c>
      <c r="H24" s="2" t="inlineStr">
        <is>
          <t>GALLERY</t>
        </is>
      </c>
      <c r="I24" s="2" t="inlineStr">
        <is>
          <t>https://cdn.shopify.com/s/files/1/0792/5098/1063/files/ca1530c052c368c7b33901d9e2fd47aa2d3c8729c2b6a8e94b515887302df3a0.jpg?v=1787233712</t>
        </is>
      </c>
      <c r="J24" s="2" t="inlineStr">
        <is>
          <t>HTTP_200_DOWNLOADED</t>
        </is>
      </c>
      <c r="K24" s="2" t="b">
        <v>1</v>
      </c>
      <c r="L24" s="2" t="inlineStr">
        <is>
          <t>Product gallery mockup/close-up reviewed visually against r5 observation and proposed alt.</t>
        </is>
      </c>
      <c r="M24" s="2" t="inlineStr">
        <is>
          <t>Fabric panel showing crocodile quilt layers and soft breathable skin-friendly fabric callout.</t>
        </is>
      </c>
      <c r="N24" s="2" t="inlineStr">
        <is>
          <t>Crocodile patchwork quilt fabric feature panel</t>
        </is>
      </c>
      <c r="O24" s="2" t="n">
        <v>1</v>
      </c>
      <c r="P24" s="2" t="inlineStr">
        <is>
          <t>Image was opened directly at readable resolution and motif/type matched product evidence.</t>
        </is>
      </c>
      <c r="Q24" s="2" t="n">
        <v>1</v>
      </c>
      <c r="R24" s="2" t="inlineStr">
        <is>
          <t>Alt/observation matches the visible asset type and motif after direct visual review.</t>
        </is>
      </c>
      <c r="S24" s="2" t="n">
        <v>1</v>
      </c>
      <c r="T24" s="2" t="inlineStr">
        <is>
          <t>Image is commercially useful for buyer verification of mockup/detail/size/material.</t>
        </is>
      </c>
      <c r="U24" s="2" t="n">
        <v>1</v>
      </c>
      <c r="V24" s="2" t="inlineStr">
        <is>
          <t>No material SEO/accessibility issue found for this image row.</t>
        </is>
      </c>
      <c r="W24" s="2">
        <f>SUM(O24*40,Q24*30,S24*20,U24*10)</f>
        <v>100</v>
      </c>
      <c r="X24" s="2">
        <f>SUM(IF(O24&lt;&gt;"NOT_CHECKED",40,0),IF(Q24&lt;&gt;"NOT_CHECKED",30,0),IF(S24&lt;&gt;"NOT_CHECKED",20,0),IF(U24&lt;&gt;"NOT_CHECKED",10,0))</f>
        <v>100</v>
      </c>
      <c r="Y24" s="2">
        <f>IF(X24=100,1,0)</f>
        <v>1</v>
      </c>
      <c r="Z24" s="2" t="inlineStr"/>
      <c r="AA24" s="2" t="inlineStr">
        <is>
          <t>source_snapshot/images + contact_sheet_034</t>
        </is>
      </c>
    </row>
    <row r="25" ht="60" customHeight="1">
      <c r="A25" s="2" t="inlineStr">
        <is>
          <t>jeminise.com+crocodile-patchwork-printed-quilts-animal-patchwork-bedding|media:47933465559239|pos:5|url:f0be73ec304b</t>
        </is>
      </c>
      <c r="B25" s="2" t="inlineStr">
        <is>
          <t>20260909_154500</t>
        </is>
      </c>
      <c r="C25" s="2" t="n">
        <v>34</v>
      </c>
      <c r="D25" s="2" t="inlineStr">
        <is>
          <t>jeminise.com+crocodile-patchwork-printed-quilts-animal-patchwork-bedding</t>
        </is>
      </c>
      <c r="E25" s="2" t="inlineStr">
        <is>
          <t>8867095445703</t>
        </is>
      </c>
      <c r="F25" s="2" t="inlineStr">
        <is>
          <t>47933465559239</t>
        </is>
      </c>
      <c r="G25" s="2" t="n">
        <v>5</v>
      </c>
      <c r="H25" s="2" t="inlineStr">
        <is>
          <t>GALLERY</t>
        </is>
      </c>
      <c r="I25" s="2" t="inlineStr">
        <is>
          <t>https://cdn.shopify.com/s/files/1/0792/5098/1063/files/1fa8058540449ec4eb68c35fe7ec37e0856cc71fc7a5029d3951ed6945165bfc.jpg?v=1787233713</t>
        </is>
      </c>
      <c r="J25" s="2" t="inlineStr">
        <is>
          <t>HTTP_200_DOWNLOADED</t>
        </is>
      </c>
      <c r="K25" s="2" t="b">
        <v>1</v>
      </c>
      <c r="L25" s="2" t="inlineStr">
        <is>
          <t>Size chart / dimension guide; not a lifestyle product mockup but valid description asset.</t>
        </is>
      </c>
      <c r="M25" s="2" t="inlineStr">
        <is>
          <t>Premium quilt set size chart with crocodile artwork and quilt dimensions.</t>
        </is>
      </c>
      <c r="N25" s="2" t="inlineStr">
        <is>
          <t>Crocodile patchwork quilt size chart</t>
        </is>
      </c>
      <c r="O25" s="2" t="n">
        <v>1</v>
      </c>
      <c r="P25" s="2" t="inlineStr">
        <is>
          <t>Image was opened directly at readable resolution and motif/type matched product evidence.</t>
        </is>
      </c>
      <c r="Q25" s="2" t="n">
        <v>1</v>
      </c>
      <c r="R25" s="2" t="inlineStr">
        <is>
          <t>Alt/observation matches the visible asset type and motif after direct visual review.</t>
        </is>
      </c>
      <c r="S25" s="2" t="n">
        <v>1</v>
      </c>
      <c r="T25" s="2" t="inlineStr">
        <is>
          <t>Image is commercially useful for buyer verification of mockup/detail/size/material.</t>
        </is>
      </c>
      <c r="U25" s="2" t="n">
        <v>1</v>
      </c>
      <c r="V25" s="2" t="inlineStr">
        <is>
          <t>No material SEO/accessibility issue found for this image row.</t>
        </is>
      </c>
      <c r="W25" s="2">
        <f>SUM(O25*40,Q25*30,S25*20,U25*10)</f>
        <v>100</v>
      </c>
      <c r="X25" s="2">
        <f>SUM(IF(O25&lt;&gt;"NOT_CHECKED",40,0),IF(Q25&lt;&gt;"NOT_CHECKED",30,0),IF(S25&lt;&gt;"NOT_CHECKED",20,0),IF(U25&lt;&gt;"NOT_CHECKED",10,0))</f>
        <v>100</v>
      </c>
      <c r="Y25" s="2">
        <f>IF(X25=100,1,0)</f>
        <v>1</v>
      </c>
      <c r="Z25" s="2" t="inlineStr"/>
      <c r="AA25" s="2" t="inlineStr">
        <is>
          <t>source_snapshot/images + contact_sheet_034</t>
        </is>
      </c>
    </row>
    <row r="26" ht="60" customHeight="1">
      <c r="A26" s="2" t="inlineStr">
        <is>
          <t>jeminise.com+crocodile-patchwork-printed-quilts-animal-patchwork-bedding|media:47933465592007|pos:6|url:677946a5ef34</t>
        </is>
      </c>
      <c r="B26" s="2" t="inlineStr">
        <is>
          <t>20260909_154500</t>
        </is>
      </c>
      <c r="C26" s="2" t="n">
        <v>34</v>
      </c>
      <c r="D26" s="2" t="inlineStr">
        <is>
          <t>jeminise.com+crocodile-patchwork-printed-quilts-animal-patchwork-bedding</t>
        </is>
      </c>
      <c r="E26" s="2" t="inlineStr">
        <is>
          <t>8867095445703</t>
        </is>
      </c>
      <c r="F26" s="2" t="inlineStr">
        <is>
          <t>47933465592007</t>
        </is>
      </c>
      <c r="G26" s="2" t="n">
        <v>6</v>
      </c>
      <c r="H26" s="2" t="inlineStr">
        <is>
          <t>GALLERY</t>
        </is>
      </c>
      <c r="I26" s="2" t="inlineStr">
        <is>
          <t>https://cdn.shopify.com/s/files/1/0792/5098/1063/files/71e21ed6c41ef40003dcc207eada8ae5687d7cdc52c7c96941fafe821b96cf71.jpg?v=1787233712</t>
        </is>
      </c>
      <c r="J26" s="2" t="inlineStr">
        <is>
          <t>HTTP_200_DOWNLOADED</t>
        </is>
      </c>
      <c r="K26" s="2" t="b">
        <v>1</v>
      </c>
      <c r="L26" s="2" t="inlineStr">
        <is>
          <t>Product gallery mockup/close-up reviewed visually against r5 observation and proposed alt.</t>
        </is>
      </c>
      <c r="M26" s="2" t="inlineStr">
        <is>
          <t>Bedspread features panel showing microfiber layers and care-resistance icons.</t>
        </is>
      </c>
      <c r="N26" s="2" t="inlineStr">
        <is>
          <t>Crocodile patchwork quilt bedspread features</t>
        </is>
      </c>
      <c r="O26" s="2" t="n">
        <v>1</v>
      </c>
      <c r="P26" s="2" t="inlineStr">
        <is>
          <t>Image was opened directly at readable resolution and motif/type matched product evidence.</t>
        </is>
      </c>
      <c r="Q26" s="2" t="n">
        <v>1</v>
      </c>
      <c r="R26" s="2" t="inlineStr">
        <is>
          <t>Alt/observation matches the visible asset type and motif after direct visual review.</t>
        </is>
      </c>
      <c r="S26" s="2" t="n">
        <v>1</v>
      </c>
      <c r="T26" s="2" t="inlineStr">
        <is>
          <t>Image is commercially useful for buyer verification of mockup/detail/size/material.</t>
        </is>
      </c>
      <c r="U26" s="2" t="n">
        <v>1</v>
      </c>
      <c r="V26" s="2" t="inlineStr">
        <is>
          <t>No material SEO/accessibility issue found for this image row.</t>
        </is>
      </c>
      <c r="W26" s="2">
        <f>SUM(O26*40,Q26*30,S26*20,U26*10)</f>
        <v>100</v>
      </c>
      <c r="X26" s="2">
        <f>SUM(IF(O26&lt;&gt;"NOT_CHECKED",40,0),IF(Q26&lt;&gt;"NOT_CHECKED",30,0),IF(S26&lt;&gt;"NOT_CHECKED",20,0),IF(U26&lt;&gt;"NOT_CHECKED",10,0))</f>
        <v>100</v>
      </c>
      <c r="Y26" s="2">
        <f>IF(X26=100,1,0)</f>
        <v>1</v>
      </c>
      <c r="Z26" s="2" t="inlineStr"/>
      <c r="AA26" s="2" t="inlineStr">
        <is>
          <t>source_snapshot/images + contact_sheet_034</t>
        </is>
      </c>
    </row>
    <row r="27" ht="60" customHeight="1">
      <c r="A27" s="2" t="inlineStr">
        <is>
          <t>jeminise.com+crocodile-patchwork-printed-quilts-animal-patchwork-bedding|media:47933465624775|pos:7|url:d7e678f4915a</t>
        </is>
      </c>
      <c r="B27" s="2" t="inlineStr">
        <is>
          <t>20260909_154500</t>
        </is>
      </c>
      <c r="C27" s="2" t="n">
        <v>34</v>
      </c>
      <c r="D27" s="2" t="inlineStr">
        <is>
          <t>jeminise.com+crocodile-patchwork-printed-quilts-animal-patchwork-bedding</t>
        </is>
      </c>
      <c r="E27" s="2" t="inlineStr">
        <is>
          <t>8867095445703</t>
        </is>
      </c>
      <c r="F27" s="2" t="inlineStr">
        <is>
          <t>47933465624775</t>
        </is>
      </c>
      <c r="G27" s="2" t="n">
        <v>7</v>
      </c>
      <c r="H27" s="2" t="inlineStr">
        <is>
          <t>GALLERY</t>
        </is>
      </c>
      <c r="I27" s="2" t="inlineStr">
        <is>
          <t>https://cdn.shopify.com/s/files/1/0792/5098/1063/files/2e61c65733910ced1b3279c5c08d3d803cc79f9b416df50e273ff128a85b4f69.jpg?v=1787233712</t>
        </is>
      </c>
      <c r="J27" s="2" t="inlineStr">
        <is>
          <t>HTTP_200_DOWNLOADED</t>
        </is>
      </c>
      <c r="K27" s="2" t="b">
        <v>1</v>
      </c>
      <c r="L27" s="2" t="inlineStr">
        <is>
          <t>Matching pillowcase/sham view; must be distinguished from main quilt/comforter view.</t>
        </is>
      </c>
      <c r="M27" s="2" t="inlineStr">
        <is>
          <t>Overhead bedroom mockup showing crocodile patchwork quilt with matching pillows.</t>
        </is>
      </c>
      <c r="N27" s="2" t="inlineStr">
        <is>
          <t>Crocodile patchwork quilt overhead bedroom view</t>
        </is>
      </c>
      <c r="O27" s="2" t="n">
        <v>1</v>
      </c>
      <c r="P27" s="2" t="inlineStr">
        <is>
          <t>Image was opened directly at readable resolution and motif/type matched product evidence.</t>
        </is>
      </c>
      <c r="Q27" s="2" t="n">
        <v>1</v>
      </c>
      <c r="R27" s="2" t="inlineStr">
        <is>
          <t>Alt/observation matches the visible asset type and motif after direct visual review.</t>
        </is>
      </c>
      <c r="S27" s="2" t="n">
        <v>1</v>
      </c>
      <c r="T27" s="2" t="inlineStr">
        <is>
          <t>Image is commercially useful for buyer verification of mockup/detail/size/material.</t>
        </is>
      </c>
      <c r="U27" s="2" t="n">
        <v>1</v>
      </c>
      <c r="V27" s="2" t="inlineStr">
        <is>
          <t>No material SEO/accessibility issue found for this image row.</t>
        </is>
      </c>
      <c r="W27" s="2">
        <f>SUM(O27*40,Q27*30,S27*20,U27*10)</f>
        <v>100</v>
      </c>
      <c r="X27" s="2">
        <f>SUM(IF(O27&lt;&gt;"NOT_CHECKED",40,0),IF(Q27&lt;&gt;"NOT_CHECKED",30,0),IF(S27&lt;&gt;"NOT_CHECKED",20,0),IF(U27&lt;&gt;"NOT_CHECKED",10,0))</f>
        <v>100</v>
      </c>
      <c r="Y27" s="2">
        <f>IF(X27=100,1,0)</f>
        <v>1</v>
      </c>
      <c r="Z27" s="2" t="inlineStr"/>
      <c r="AA27" s="2" t="inlineStr">
        <is>
          <t>source_snapshot/images + contact_sheet_034</t>
        </is>
      </c>
    </row>
    <row r="28" ht="60" customHeight="1">
      <c r="A28" s="2" t="inlineStr">
        <is>
          <t>jeminise.com+custom-retro-football-art-bedding-set-c66211cf75-c66211cf75|media:47540306837703|pos:1|url:5b422a10b9f5</t>
        </is>
      </c>
      <c r="B28" s="2" t="inlineStr">
        <is>
          <t>20260909_154500</t>
        </is>
      </c>
      <c r="C28" s="2" t="n">
        <v>35</v>
      </c>
      <c r="D28" s="2" t="inlineStr">
        <is>
          <t>jeminise.com+custom-retro-football-art-bedding-set-c66211cf75-c66211cf75</t>
        </is>
      </c>
      <c r="E28" s="2" t="inlineStr">
        <is>
          <t>8834768699591</t>
        </is>
      </c>
      <c r="F28" s="2" t="inlineStr">
        <is>
          <t>47540306837703</t>
        </is>
      </c>
      <c r="G28" s="2" t="n">
        <v>1</v>
      </c>
      <c r="H28" s="2" t="inlineStr">
        <is>
          <t>GALLERY</t>
        </is>
      </c>
      <c r="I28" s="2" t="inlineStr">
        <is>
          <t>https://cdn.shopify.com/s/files/1/0792/5098/1063/files/cd93064cff49abd094a4b54d4c8521f964011ef3177c132c9e7664b7ae385495.jpg?v=1785101924</t>
        </is>
      </c>
      <c r="J28" s="2" t="inlineStr">
        <is>
          <t>HTTP_200_DOWNLOADED</t>
        </is>
      </c>
      <c r="K28" s="2" t="b">
        <v>1</v>
      </c>
      <c r="L28" s="2" t="inlineStr">
        <is>
          <t>Main comforter mockup with football and distinct background/art treatment; supports product-specific football intent.</t>
        </is>
      </c>
      <c r="M28" s="2" t="inlineStr">
        <is>
          <t>Retro football flag comforter bed mockup with Kevin sample name, number 15 and football close-up artwork.</t>
        </is>
      </c>
      <c r="N28" s="2" t="inlineStr">
        <is>
          <t>Personalized retro football flag comforter</t>
        </is>
      </c>
      <c r="O28" s="2" t="n">
        <v>1</v>
      </c>
      <c r="P28" s="2" t="inlineStr">
        <is>
          <t>Image was opened directly at readable resolution and motif/type matched product evidence.</t>
        </is>
      </c>
      <c r="Q28" s="2" t="n">
        <v>1</v>
      </c>
      <c r="R28" s="2" t="inlineStr">
        <is>
          <t>Alt/observation matches the visible asset type and motif after direct visual review.</t>
        </is>
      </c>
      <c r="S28" s="2" t="n">
        <v>1</v>
      </c>
      <c r="T28" s="2" t="inlineStr">
        <is>
          <t>Image is commercially useful for buyer verification of mockup/detail/size/material.</t>
        </is>
      </c>
      <c r="U28" s="2" t="n">
        <v>1</v>
      </c>
      <c r="V28" s="2" t="inlineStr">
        <is>
          <t>No material SEO/accessibility issue found for this image row.</t>
        </is>
      </c>
      <c r="W28" s="2">
        <f>SUM(O28*40,Q28*30,S28*20,U28*10)</f>
        <v>100</v>
      </c>
      <c r="X28" s="2">
        <f>SUM(IF(O28&lt;&gt;"NOT_CHECKED",40,0),IF(Q28&lt;&gt;"NOT_CHECKED",30,0),IF(S28&lt;&gt;"NOT_CHECKED",20,0),IF(U28&lt;&gt;"NOT_CHECKED",10,0))</f>
        <v>100</v>
      </c>
      <c r="Y28" s="2">
        <f>IF(X28=100,1,0)</f>
        <v>1</v>
      </c>
      <c r="Z28" s="2" t="inlineStr"/>
      <c r="AA28" s="2" t="inlineStr">
        <is>
          <t>source_snapshot/images + contact_sheet_035</t>
        </is>
      </c>
    </row>
    <row r="29" ht="60" customHeight="1">
      <c r="A29" s="2" t="inlineStr">
        <is>
          <t>jeminise.com+custom-retro-football-art-bedding-set-c66211cf75-c66211cf75|media:47540306870471|pos:2|url:3d380981b254</t>
        </is>
      </c>
      <c r="B29" s="2" t="inlineStr">
        <is>
          <t>20260909_154500</t>
        </is>
      </c>
      <c r="C29" s="2" t="n">
        <v>35</v>
      </c>
      <c r="D29" s="2" t="inlineStr">
        <is>
          <t>jeminise.com+custom-retro-football-art-bedding-set-c66211cf75-c66211cf75</t>
        </is>
      </c>
      <c r="E29" s="2" t="inlineStr">
        <is>
          <t>8834768699591</t>
        </is>
      </c>
      <c r="F29" s="2" t="inlineStr">
        <is>
          <t>47540306870471</t>
        </is>
      </c>
      <c r="G29" s="2" t="n">
        <v>2</v>
      </c>
      <c r="H29" s="2" t="inlineStr">
        <is>
          <t>GALLERY</t>
        </is>
      </c>
      <c r="I29" s="2" t="inlineStr">
        <is>
          <t>https://cdn.shopify.com/s/files/1/0792/5098/1063/files/384ec0bb85a1c394b826a8ce0cc726e412f6f9248512418013abccd1c39244e3.jpg?v=1785101924</t>
        </is>
      </c>
      <c r="J29" s="2" t="inlineStr">
        <is>
          <t>HTTP_200_DOWNLOADED</t>
        </is>
      </c>
      <c r="K29" s="2" t="b">
        <v>1</v>
      </c>
      <c r="L29" s="2" t="inlineStr">
        <is>
          <t>Matching pillowcase/sham view; must be distinguished from main quilt/comforter view.</t>
        </is>
      </c>
      <c r="M29" s="2" t="inlineStr">
        <is>
          <t>Angled bedroom mockup showing Kevin sample name, number 15 pillowcases and football flag artwork.</t>
        </is>
      </c>
      <c r="N29" s="2" t="inlineStr">
        <is>
          <t>Retro football flag comforter room mockup</t>
        </is>
      </c>
      <c r="O29" s="2" t="n">
        <v>1</v>
      </c>
      <c r="P29" s="2" t="inlineStr">
        <is>
          <t>Image was opened directly at readable resolution and motif/type matched product evidence.</t>
        </is>
      </c>
      <c r="Q29" s="2" t="n">
        <v>1</v>
      </c>
      <c r="R29" s="2" t="inlineStr">
        <is>
          <t>Alt/observation matches the visible asset type and motif after direct visual review.</t>
        </is>
      </c>
      <c r="S29" s="2" t="n">
        <v>1</v>
      </c>
      <c r="T29" s="2" t="inlineStr">
        <is>
          <t>Image is commercially useful for buyer verification of mockup/detail/size/material.</t>
        </is>
      </c>
      <c r="U29" s="2" t="n">
        <v>1</v>
      </c>
      <c r="V29" s="2" t="inlineStr">
        <is>
          <t>No material SEO/accessibility issue found for this image row.</t>
        </is>
      </c>
      <c r="W29" s="2">
        <f>SUM(O29*40,Q29*30,S29*20,U29*10)</f>
        <v>100</v>
      </c>
      <c r="X29" s="2">
        <f>SUM(IF(O29&lt;&gt;"NOT_CHECKED",40,0),IF(Q29&lt;&gt;"NOT_CHECKED",30,0),IF(S29&lt;&gt;"NOT_CHECKED",20,0),IF(U29&lt;&gt;"NOT_CHECKED",10,0))</f>
        <v>100</v>
      </c>
      <c r="Y29" s="2">
        <f>IF(X29=100,1,0)</f>
        <v>1</v>
      </c>
      <c r="Z29" s="2" t="inlineStr"/>
      <c r="AA29" s="2" t="inlineStr">
        <is>
          <t>source_snapshot/images + contact_sheet_035</t>
        </is>
      </c>
    </row>
    <row r="30" ht="60" customHeight="1">
      <c r="A30" s="2" t="inlineStr">
        <is>
          <t>jeminise.com+custom-retro-football-art-bedding-set-c66211cf75-c66211cf75|media:47540306903239|pos:3|url:ec23646059de</t>
        </is>
      </c>
      <c r="B30" s="2" t="inlineStr">
        <is>
          <t>20260909_154500</t>
        </is>
      </c>
      <c r="C30" s="2" t="n">
        <v>35</v>
      </c>
      <c r="D30" s="2" t="inlineStr">
        <is>
          <t>jeminise.com+custom-retro-football-art-bedding-set-c66211cf75-c66211cf75</t>
        </is>
      </c>
      <c r="E30" s="2" t="inlineStr">
        <is>
          <t>8834768699591</t>
        </is>
      </c>
      <c r="F30" s="2" t="inlineStr">
        <is>
          <t>47540306903239</t>
        </is>
      </c>
      <c r="G30" s="2" t="n">
        <v>3</v>
      </c>
      <c r="H30" s="2" t="inlineStr">
        <is>
          <t>GALLERY</t>
        </is>
      </c>
      <c r="I30" s="2" t="inlineStr">
        <is>
          <t>https://cdn.shopify.com/s/files/1/0792/5098/1063/files/16f7293cbefa5743a35b2e6316a5a114e5c052d08151e367dafd26aa5e2e542b_1645c7b1-7dd0-4432-8f0e-842386b9a1b7.jpg?v=1785101924</t>
        </is>
      </c>
      <c r="J30" s="2" t="inlineStr">
        <is>
          <t>HTTP_200_DOWNLOADED</t>
        </is>
      </c>
      <c r="K30" s="2" t="b">
        <v>1</v>
      </c>
      <c r="L30" s="2" t="inlineStr">
        <is>
          <t>Product gallery mockup/close-up reviewed visually against r5 observation and proposed alt.</t>
        </is>
      </c>
      <c r="M30" s="2" t="inlineStr">
        <is>
          <t>Product type comparison panel showing duvet cover set and comforter set options for all-season use.</t>
        </is>
      </c>
      <c r="N30" s="2" t="inlineStr">
        <is>
          <t>Retro football comforter bedding type options</t>
        </is>
      </c>
      <c r="O30" s="2" t="n">
        <v>1</v>
      </c>
      <c r="P30" s="2" t="inlineStr">
        <is>
          <t>Image was opened directly at readable resolution and motif/type matched product evidence.</t>
        </is>
      </c>
      <c r="Q30" s="2" t="n">
        <v>1</v>
      </c>
      <c r="R30" s="2" t="inlineStr">
        <is>
          <t>Alt/observation matches the visible asset type and motif after direct visual review.</t>
        </is>
      </c>
      <c r="S30" s="2" t="n">
        <v>1</v>
      </c>
      <c r="T30" s="2" t="inlineStr">
        <is>
          <t>Image is commercially useful for buyer verification of mockup/detail/size/material.</t>
        </is>
      </c>
      <c r="U30" s="2" t="n">
        <v>1</v>
      </c>
      <c r="V30" s="2" t="inlineStr">
        <is>
          <t>No material SEO/accessibility issue found for this image row.</t>
        </is>
      </c>
      <c r="W30" s="2">
        <f>SUM(O30*40,Q30*30,S30*20,U30*10)</f>
        <v>100</v>
      </c>
      <c r="X30" s="2">
        <f>SUM(IF(O30&lt;&gt;"NOT_CHECKED",40,0),IF(Q30&lt;&gt;"NOT_CHECKED",30,0),IF(S30&lt;&gt;"NOT_CHECKED",20,0),IF(U30&lt;&gt;"NOT_CHECKED",10,0))</f>
        <v>100</v>
      </c>
      <c r="Y30" s="2">
        <f>IF(X30=100,1,0)</f>
        <v>1</v>
      </c>
      <c r="Z30" s="2" t="inlineStr"/>
      <c r="AA30" s="2" t="inlineStr">
        <is>
          <t>source_snapshot/images + contact_sheet_035</t>
        </is>
      </c>
    </row>
    <row r="31" ht="60" customHeight="1">
      <c r="A31" s="2" t="inlineStr">
        <is>
          <t>jeminise.com+custom-retro-football-art-bedding-set-c66211cf75-c66211cf75|media:47540306936007|pos:4|url:73278b34506b</t>
        </is>
      </c>
      <c r="B31" s="2" t="inlineStr">
        <is>
          <t>20260909_154500</t>
        </is>
      </c>
      <c r="C31" s="2" t="n">
        <v>35</v>
      </c>
      <c r="D31" s="2" t="inlineStr">
        <is>
          <t>jeminise.com+custom-retro-football-art-bedding-set-c66211cf75-c66211cf75</t>
        </is>
      </c>
      <c r="E31" s="2" t="inlineStr">
        <is>
          <t>8834768699591</t>
        </is>
      </c>
      <c r="F31" s="2" t="inlineStr">
        <is>
          <t>47540306936007</t>
        </is>
      </c>
      <c r="G31" s="2" t="n">
        <v>4</v>
      </c>
      <c r="H31" s="2" t="inlineStr">
        <is>
          <t>GALLERY</t>
        </is>
      </c>
      <c r="I31" s="2" t="inlineStr">
        <is>
          <t>https://cdn.shopify.com/s/files/1/0792/5098/1063/files/3e41b1b3613ae8424f256e83517163fa8317c8d737d739882986d6ecc0324617.jpg?v=1785101924</t>
        </is>
      </c>
      <c r="J31" s="2" t="inlineStr">
        <is>
          <t>HTTP_200_DOWNLOADED</t>
        </is>
      </c>
      <c r="K31" s="2" t="b">
        <v>1</v>
      </c>
      <c r="L31" s="2" t="inlineStr">
        <is>
          <t>Product gallery mockup/close-up reviewed visually against r5 observation and proposed alt.</t>
        </is>
      </c>
      <c r="M31" s="2" t="inlineStr">
        <is>
          <t>Close bedroom view of retro football flag comforter with soft, lightweight, durable and breathable icons.</t>
        </is>
      </c>
      <c r="N31" s="2" t="inlineStr">
        <is>
          <t>Retro football flag comforter feature icons</t>
        </is>
      </c>
      <c r="O31" s="2" t="n">
        <v>1</v>
      </c>
      <c r="P31" s="2" t="inlineStr">
        <is>
          <t>Image was opened directly at readable resolution and motif/type matched product evidence.</t>
        </is>
      </c>
      <c r="Q31" s="2" t="n">
        <v>1</v>
      </c>
      <c r="R31" s="2" t="inlineStr">
        <is>
          <t>Alt/observation matches the visible asset type and motif after direct visual review.</t>
        </is>
      </c>
      <c r="S31" s="2" t="n">
        <v>1</v>
      </c>
      <c r="T31" s="2" t="inlineStr">
        <is>
          <t>Image is commercially useful for buyer verification of mockup/detail/size/material.</t>
        </is>
      </c>
      <c r="U31" s="2" t="n">
        <v>1</v>
      </c>
      <c r="V31" s="2" t="inlineStr">
        <is>
          <t>No material SEO/accessibility issue found for this image row.</t>
        </is>
      </c>
      <c r="W31" s="2">
        <f>SUM(O31*40,Q31*30,S31*20,U31*10)</f>
        <v>100</v>
      </c>
      <c r="X31" s="2">
        <f>SUM(IF(O31&lt;&gt;"NOT_CHECKED",40,0),IF(Q31&lt;&gt;"NOT_CHECKED",30,0),IF(S31&lt;&gt;"NOT_CHECKED",20,0),IF(U31&lt;&gt;"NOT_CHECKED",10,0))</f>
        <v>100</v>
      </c>
      <c r="Y31" s="2">
        <f>IF(X31=100,1,0)</f>
        <v>1</v>
      </c>
      <c r="Z31" s="2" t="inlineStr"/>
      <c r="AA31" s="2" t="inlineStr">
        <is>
          <t>source_snapshot/images + contact_sheet_035</t>
        </is>
      </c>
    </row>
    <row r="32" ht="60" customHeight="1">
      <c r="A32" s="2" t="inlineStr">
        <is>
          <t>jeminise.com+custom-retro-football-art-bedding-set-c66211cf75-c66211cf75|media:47540306968775|pos:5|url:e66354e891c7</t>
        </is>
      </c>
      <c r="B32" s="2" t="inlineStr">
        <is>
          <t>20260909_154500</t>
        </is>
      </c>
      <c r="C32" s="2" t="n">
        <v>35</v>
      </c>
      <c r="D32" s="2" t="inlineStr">
        <is>
          <t>jeminise.com+custom-retro-football-art-bedding-set-c66211cf75-c66211cf75</t>
        </is>
      </c>
      <c r="E32" s="2" t="inlineStr">
        <is>
          <t>8834768699591</t>
        </is>
      </c>
      <c r="F32" s="2" t="inlineStr">
        <is>
          <t>47540306968775</t>
        </is>
      </c>
      <c r="G32" s="2" t="n">
        <v>5</v>
      </c>
      <c r="H32" s="2" t="inlineStr">
        <is>
          <t>GALLERY</t>
        </is>
      </c>
      <c r="I32" s="2" t="inlineStr">
        <is>
          <t>https://cdn.shopify.com/s/files/1/0792/5098/1063/files/7c006bddc94d4763c71c8376307e195c1bbce73b8c802ec73ac5a8cef1291262_a3fb9a4f-ebe5-48cb-aa4f-5ac39a8a9cdc.jpg?v=1785101924</t>
        </is>
      </c>
      <c r="J32" s="2" t="inlineStr">
        <is>
          <t>HTTP_200_DOWNLOADED</t>
        </is>
      </c>
      <c r="K32" s="2" t="b">
        <v>1</v>
      </c>
      <c r="L32" s="2" t="inlineStr">
        <is>
          <t>Product gallery mockup/close-up reviewed visually against r5 observation and proposed alt.</t>
        </is>
      </c>
      <c r="M32" s="2" t="inlineStr">
        <is>
          <t>Stress-free easy care panel listing wrinkle-free, stain-proof, anti-pilling and wash-fade notes.</t>
        </is>
      </c>
      <c r="N32" s="2" t="inlineStr">
        <is>
          <t>Retro football comforter easy care panel</t>
        </is>
      </c>
      <c r="O32" s="2" t="n">
        <v>1</v>
      </c>
      <c r="P32" s="2" t="inlineStr">
        <is>
          <t>Image was opened directly at readable resolution and motif/type matched product evidence.</t>
        </is>
      </c>
      <c r="Q32" s="2" t="n">
        <v>1</v>
      </c>
      <c r="R32" s="2" t="inlineStr">
        <is>
          <t>Alt/observation matches the visible asset type and motif after direct visual review.</t>
        </is>
      </c>
      <c r="S32" s="2" t="n">
        <v>1</v>
      </c>
      <c r="T32" s="2" t="inlineStr">
        <is>
          <t>Image is commercially useful for buyer verification of mockup/detail/size/material.</t>
        </is>
      </c>
      <c r="U32" s="2" t="n">
        <v>1</v>
      </c>
      <c r="V32" s="2" t="inlineStr">
        <is>
          <t>No material SEO/accessibility issue found for this image row.</t>
        </is>
      </c>
      <c r="W32" s="2">
        <f>SUM(O32*40,Q32*30,S32*20,U32*10)</f>
        <v>100</v>
      </c>
      <c r="X32" s="2">
        <f>SUM(IF(O32&lt;&gt;"NOT_CHECKED",40,0),IF(Q32&lt;&gt;"NOT_CHECKED",30,0),IF(S32&lt;&gt;"NOT_CHECKED",20,0),IF(U32&lt;&gt;"NOT_CHECKED",10,0))</f>
        <v>100</v>
      </c>
      <c r="Y32" s="2">
        <f>IF(X32=100,1,0)</f>
        <v>1</v>
      </c>
      <c r="Z32" s="2" t="inlineStr"/>
      <c r="AA32" s="2" t="inlineStr">
        <is>
          <t>source_snapshot/images + contact_sheet_035</t>
        </is>
      </c>
    </row>
    <row r="33" ht="60" customHeight="1">
      <c r="A33" s="2" t="inlineStr">
        <is>
          <t>jeminise.com+custom-retro-football-art-bedding-set-c66211cf75-c66211cf75|media:47540307001543|pos:6|url:f463ef4f5c00</t>
        </is>
      </c>
      <c r="B33" s="2" t="inlineStr">
        <is>
          <t>20260909_154500</t>
        </is>
      </c>
      <c r="C33" s="2" t="n">
        <v>35</v>
      </c>
      <c r="D33" s="2" t="inlineStr">
        <is>
          <t>jeminise.com+custom-retro-football-art-bedding-set-c66211cf75-c66211cf75</t>
        </is>
      </c>
      <c r="E33" s="2" t="inlineStr">
        <is>
          <t>8834768699591</t>
        </is>
      </c>
      <c r="F33" s="2" t="inlineStr">
        <is>
          <t>47540307001543</t>
        </is>
      </c>
      <c r="G33" s="2" t="n">
        <v>6</v>
      </c>
      <c r="H33" s="2" t="inlineStr">
        <is>
          <t>GALLERY</t>
        </is>
      </c>
      <c r="I33" s="2" t="inlineStr">
        <is>
          <t>https://cdn.shopify.com/s/files/1/0792/5098/1063/files/e5cad84edb4d7bf77c48fd7c8e52eb3b73f04eba8bf177671fd8a059c59422e8_0a0a59ee-c0ee-4995-bf6a-e815a670b8e3.jpg?v=1785101924</t>
        </is>
      </c>
      <c r="J33" s="2" t="inlineStr">
        <is>
          <t>HTTP_200_DOWNLOADED</t>
        </is>
      </c>
      <c r="K33" s="2" t="b">
        <v>1</v>
      </c>
      <c r="L33" s="2" t="inlineStr">
        <is>
          <t>Size chart / dimension guide; not a lifestyle product mockup but valid description asset.</t>
        </is>
      </c>
      <c r="M33" s="2" t="inlineStr">
        <is>
          <t>Size dimension panel showing Twin, Full, Queen and King bedding dimensions.</t>
        </is>
      </c>
      <c r="N33" s="2" t="inlineStr">
        <is>
          <t>Retro football comforter size chart</t>
        </is>
      </c>
      <c r="O33" s="2" t="n">
        <v>1</v>
      </c>
      <c r="P33" s="2" t="inlineStr">
        <is>
          <t>Image was opened directly at readable resolution and motif/type matched product evidence.</t>
        </is>
      </c>
      <c r="Q33" s="2" t="n">
        <v>1</v>
      </c>
      <c r="R33" s="2" t="inlineStr">
        <is>
          <t>Alt/observation matches the visible asset type and motif after direct visual review.</t>
        </is>
      </c>
      <c r="S33" s="2" t="n">
        <v>1</v>
      </c>
      <c r="T33" s="2" t="inlineStr">
        <is>
          <t>Image is commercially useful for buyer verification of mockup/detail/size/material.</t>
        </is>
      </c>
      <c r="U33" s="2" t="n">
        <v>1</v>
      </c>
      <c r="V33" s="2" t="inlineStr">
        <is>
          <t>No material SEO/accessibility issue found for this image row.</t>
        </is>
      </c>
      <c r="W33" s="2">
        <f>SUM(O33*40,Q33*30,S33*20,U33*10)</f>
        <v>100</v>
      </c>
      <c r="X33" s="2">
        <f>SUM(IF(O33&lt;&gt;"NOT_CHECKED",40,0),IF(Q33&lt;&gt;"NOT_CHECKED",30,0),IF(S33&lt;&gt;"NOT_CHECKED",20,0),IF(U33&lt;&gt;"NOT_CHECKED",10,0))</f>
        <v>100</v>
      </c>
      <c r="Y33" s="2">
        <f>IF(X33=100,1,0)</f>
        <v>1</v>
      </c>
      <c r="Z33" s="2" t="inlineStr"/>
      <c r="AA33" s="2" t="inlineStr">
        <is>
          <t>source_snapshot/images + contact_sheet_035</t>
        </is>
      </c>
    </row>
    <row r="34" ht="60" customHeight="1">
      <c r="A34" s="2" t="inlineStr">
        <is>
          <t>jeminise.com+custom-american-football-close-up-on-grunge-vintage-comforter-26540e3264-26540e3264|media:47540170358983|pos:1|url:56e4a243807b</t>
        </is>
      </c>
      <c r="B34" s="2" t="inlineStr">
        <is>
          <t>20260909_154500</t>
        </is>
      </c>
      <c r="C34" s="2" t="n">
        <v>36</v>
      </c>
      <c r="D34" s="2" t="inlineStr">
        <is>
          <t>jeminise.com+custom-american-football-close-up-on-grunge-vintage-comforter-26540e3264-26540e3264</t>
        </is>
      </c>
      <c r="E34" s="2" t="inlineStr">
        <is>
          <t>8834754445511</t>
        </is>
      </c>
      <c r="F34" s="2" t="inlineStr">
        <is>
          <t>47540170358983</t>
        </is>
      </c>
      <c r="G34" s="2" t="n">
        <v>1</v>
      </c>
      <c r="H34" s="2" t="inlineStr">
        <is>
          <t>GALLERY</t>
        </is>
      </c>
      <c r="I34" s="2" t="inlineStr">
        <is>
          <t>https://cdn.shopify.com/s/files/1/0792/5098/1063/files/11f76d2e307e1c50766e2c6b95e8a9272e0546226ca0a5996ceecb7ad1d1e36b.jpg?v=1785100474</t>
        </is>
      </c>
      <c r="J34" s="2" t="inlineStr">
        <is>
          <t>HTTP_200_DOWNLOADED</t>
        </is>
      </c>
      <c r="K34" s="2" t="b">
        <v>1</v>
      </c>
      <c r="L34" s="2" t="inlineStr">
        <is>
          <t>Main comforter mockup with football and distinct background/art treatment; supports product-specific football intent.</t>
        </is>
      </c>
      <c r="M34" s="2" t="inlineStr">
        <is>
          <t>Grunge football comforter bed mockup with Brian sample name, number 15 and vintage red-white stripe background.</t>
        </is>
      </c>
      <c r="N34" s="2" t="inlineStr">
        <is>
          <t>Personalized grunge football comforter</t>
        </is>
      </c>
      <c r="O34" s="2" t="n">
        <v>1</v>
      </c>
      <c r="P34" s="2" t="inlineStr">
        <is>
          <t>Image was opened directly at readable resolution and motif/type matched product evidence.</t>
        </is>
      </c>
      <c r="Q34" s="2" t="n">
        <v>1</v>
      </c>
      <c r="R34" s="2" t="inlineStr">
        <is>
          <t>Alt/observation matches the visible asset type and motif after direct visual review.</t>
        </is>
      </c>
      <c r="S34" s="2" t="n">
        <v>1</v>
      </c>
      <c r="T34" s="2" t="inlineStr">
        <is>
          <t>Image is commercially useful for buyer verification of mockup/detail/size/material.</t>
        </is>
      </c>
      <c r="U34" s="2" t="n">
        <v>1</v>
      </c>
      <c r="V34" s="2" t="inlineStr">
        <is>
          <t>No material SEO/accessibility issue found for this image row.</t>
        </is>
      </c>
      <c r="W34" s="2">
        <f>SUM(O34*40,Q34*30,S34*20,U34*10)</f>
        <v>100</v>
      </c>
      <c r="X34" s="2">
        <f>SUM(IF(O34&lt;&gt;"NOT_CHECKED",40,0),IF(Q34&lt;&gt;"NOT_CHECKED",30,0),IF(S34&lt;&gt;"NOT_CHECKED",20,0),IF(U34&lt;&gt;"NOT_CHECKED",10,0))</f>
        <v>100</v>
      </c>
      <c r="Y34" s="2">
        <f>IF(X34=100,1,0)</f>
        <v>1</v>
      </c>
      <c r="Z34" s="2" t="inlineStr"/>
      <c r="AA34" s="2" t="inlineStr">
        <is>
          <t>source_snapshot/images + contact_sheet_036</t>
        </is>
      </c>
    </row>
    <row r="35" ht="60" customHeight="1">
      <c r="A35" s="2" t="inlineStr">
        <is>
          <t>jeminise.com+custom-american-football-close-up-on-grunge-vintage-comforter-26540e3264-26540e3264|media:47540170391751|pos:2|url:6e66ec22435b</t>
        </is>
      </c>
      <c r="B35" s="2" t="inlineStr">
        <is>
          <t>20260909_154500</t>
        </is>
      </c>
      <c r="C35" s="2" t="n">
        <v>36</v>
      </c>
      <c r="D35" s="2" t="inlineStr">
        <is>
          <t>jeminise.com+custom-american-football-close-up-on-grunge-vintage-comforter-26540e3264-26540e3264</t>
        </is>
      </c>
      <c r="E35" s="2" t="inlineStr">
        <is>
          <t>8834754445511</t>
        </is>
      </c>
      <c r="F35" s="2" t="inlineStr">
        <is>
          <t>47540170391751</t>
        </is>
      </c>
      <c r="G35" s="2" t="n">
        <v>2</v>
      </c>
      <c r="H35" s="2" t="inlineStr">
        <is>
          <t>GALLERY</t>
        </is>
      </c>
      <c r="I35" s="2" t="inlineStr">
        <is>
          <t>https://cdn.shopify.com/s/files/1/0792/5098/1063/files/a086ef784a942cd52629fe736719d7e523332dd679d2ff85ee39f4db573b7877.jpg?v=1785100474</t>
        </is>
      </c>
      <c r="J35" s="2" t="inlineStr">
        <is>
          <t>HTTP_200_DOWNLOADED</t>
        </is>
      </c>
      <c r="K35" s="2" t="b">
        <v>1</v>
      </c>
      <c r="L35" s="2" t="inlineStr">
        <is>
          <t>Matching pillowcase/sham view; must be distinguished from main quilt/comforter view.</t>
        </is>
      </c>
      <c r="M35" s="2" t="inlineStr">
        <is>
          <t>Angled bedroom mockup showing Brian sample name, number 15 pillowcases and grunge football artwork.</t>
        </is>
      </c>
      <c r="N35" s="2" t="inlineStr">
        <is>
          <t>Grunge football comforter room mockup</t>
        </is>
      </c>
      <c r="O35" s="2" t="n">
        <v>1</v>
      </c>
      <c r="P35" s="2" t="inlineStr">
        <is>
          <t>Image was opened directly at readable resolution and motif/type matched product evidence.</t>
        </is>
      </c>
      <c r="Q35" s="2" t="n">
        <v>1</v>
      </c>
      <c r="R35" s="2" t="inlineStr">
        <is>
          <t>Alt/observation matches the visible asset type and motif after direct visual review.</t>
        </is>
      </c>
      <c r="S35" s="2" t="n">
        <v>1</v>
      </c>
      <c r="T35" s="2" t="inlineStr">
        <is>
          <t>Image is commercially useful for buyer verification of mockup/detail/size/material.</t>
        </is>
      </c>
      <c r="U35" s="2" t="n">
        <v>1</v>
      </c>
      <c r="V35" s="2" t="inlineStr">
        <is>
          <t>No material SEO/accessibility issue found for this image row.</t>
        </is>
      </c>
      <c r="W35" s="2">
        <f>SUM(O35*40,Q35*30,S35*20,U35*10)</f>
        <v>100</v>
      </c>
      <c r="X35" s="2">
        <f>SUM(IF(O35&lt;&gt;"NOT_CHECKED",40,0),IF(Q35&lt;&gt;"NOT_CHECKED",30,0),IF(S35&lt;&gt;"NOT_CHECKED",20,0),IF(U35&lt;&gt;"NOT_CHECKED",10,0))</f>
        <v>100</v>
      </c>
      <c r="Y35" s="2">
        <f>IF(X35=100,1,0)</f>
        <v>1</v>
      </c>
      <c r="Z35" s="2" t="inlineStr"/>
      <c r="AA35" s="2" t="inlineStr">
        <is>
          <t>source_snapshot/images + contact_sheet_036</t>
        </is>
      </c>
    </row>
    <row r="36" ht="60" customHeight="1">
      <c r="A36" s="2" t="inlineStr">
        <is>
          <t>jeminise.com+custom-american-football-close-up-on-grunge-vintage-comforter-26540e3264-26540e3264|media:47540170424519|pos:3|url:772f3221d2ec</t>
        </is>
      </c>
      <c r="B36" s="2" t="inlineStr">
        <is>
          <t>20260909_154500</t>
        </is>
      </c>
      <c r="C36" s="2" t="n">
        <v>36</v>
      </c>
      <c r="D36" s="2" t="inlineStr">
        <is>
          <t>jeminise.com+custom-american-football-close-up-on-grunge-vintage-comforter-26540e3264-26540e3264</t>
        </is>
      </c>
      <c r="E36" s="2" t="inlineStr">
        <is>
          <t>8834754445511</t>
        </is>
      </c>
      <c r="F36" s="2" t="inlineStr">
        <is>
          <t>47540170424519</t>
        </is>
      </c>
      <c r="G36" s="2" t="n">
        <v>3</v>
      </c>
      <c r="H36" s="2" t="inlineStr">
        <is>
          <t>GALLERY</t>
        </is>
      </c>
      <c r="I36" s="2" t="inlineStr">
        <is>
          <t>https://cdn.shopify.com/s/files/1/0792/5098/1063/files/16f7293cbefa5743a35b2e6316a5a114e5c052d08151e367dafd26aa5e2e542b_f61d59c9-1e61-473b-93e0-490c63ed9242.jpg?v=1785100474</t>
        </is>
      </c>
      <c r="J36" s="2" t="inlineStr">
        <is>
          <t>HTTP_200_DOWNLOADED</t>
        </is>
      </c>
      <c r="K36" s="2" t="b">
        <v>1</v>
      </c>
      <c r="L36" s="2" t="inlineStr">
        <is>
          <t>Product gallery mockup/close-up reviewed visually against r5 observation and proposed alt.</t>
        </is>
      </c>
      <c r="M36" s="2" t="inlineStr">
        <is>
          <t>Product type comparison panel showing duvet cover set and comforter set options for all-season use.</t>
        </is>
      </c>
      <c r="N36" s="2" t="inlineStr">
        <is>
          <t>Grunge football comforter bedding type options</t>
        </is>
      </c>
      <c r="O36" s="2" t="n">
        <v>1</v>
      </c>
      <c r="P36" s="2" t="inlineStr">
        <is>
          <t>Image was opened directly at readable resolution and motif/type matched product evidence.</t>
        </is>
      </c>
      <c r="Q36" s="2" t="n">
        <v>1</v>
      </c>
      <c r="R36" s="2" t="inlineStr">
        <is>
          <t>Alt/observation matches the visible asset type and motif after direct visual review.</t>
        </is>
      </c>
      <c r="S36" s="2" t="n">
        <v>1</v>
      </c>
      <c r="T36" s="2" t="inlineStr">
        <is>
          <t>Image is commercially useful for buyer verification of mockup/detail/size/material.</t>
        </is>
      </c>
      <c r="U36" s="2" t="n">
        <v>1</v>
      </c>
      <c r="V36" s="2" t="inlineStr">
        <is>
          <t>No material SEO/accessibility issue found for this image row.</t>
        </is>
      </c>
      <c r="W36" s="2">
        <f>SUM(O36*40,Q36*30,S36*20,U36*10)</f>
        <v>100</v>
      </c>
      <c r="X36" s="2">
        <f>SUM(IF(O36&lt;&gt;"NOT_CHECKED",40,0),IF(Q36&lt;&gt;"NOT_CHECKED",30,0),IF(S36&lt;&gt;"NOT_CHECKED",20,0),IF(U36&lt;&gt;"NOT_CHECKED",10,0))</f>
        <v>100</v>
      </c>
      <c r="Y36" s="2">
        <f>IF(X36=100,1,0)</f>
        <v>1</v>
      </c>
      <c r="Z36" s="2" t="inlineStr"/>
      <c r="AA36" s="2" t="inlineStr">
        <is>
          <t>source_snapshot/images + contact_sheet_036</t>
        </is>
      </c>
    </row>
    <row r="37" ht="60" customHeight="1">
      <c r="A37" s="2" t="inlineStr">
        <is>
          <t>jeminise.com+custom-american-football-close-up-on-grunge-vintage-comforter-26540e3264-26540e3264|media:47540170457287|pos:4|url:5338f44a6b9c</t>
        </is>
      </c>
      <c r="B37" s="2" t="inlineStr">
        <is>
          <t>20260909_154500</t>
        </is>
      </c>
      <c r="C37" s="2" t="n">
        <v>36</v>
      </c>
      <c r="D37" s="2" t="inlineStr">
        <is>
          <t>jeminise.com+custom-american-football-close-up-on-grunge-vintage-comforter-26540e3264-26540e3264</t>
        </is>
      </c>
      <c r="E37" s="2" t="inlineStr">
        <is>
          <t>8834754445511</t>
        </is>
      </c>
      <c r="F37" s="2" t="inlineStr">
        <is>
          <t>47540170457287</t>
        </is>
      </c>
      <c r="G37" s="2" t="n">
        <v>4</v>
      </c>
      <c r="H37" s="2" t="inlineStr">
        <is>
          <t>GALLERY</t>
        </is>
      </c>
      <c r="I37" s="2" t="inlineStr">
        <is>
          <t>https://cdn.shopify.com/s/files/1/0792/5098/1063/files/1bb27dd96fe081443e8b20966cb77e2c7e536a5f697d54f3941ab027a2445269.jpg?v=1785100474</t>
        </is>
      </c>
      <c r="J37" s="2" t="inlineStr">
        <is>
          <t>HTTP_200_DOWNLOADED</t>
        </is>
      </c>
      <c r="K37" s="2" t="b">
        <v>1</v>
      </c>
      <c r="L37" s="2" t="inlineStr">
        <is>
          <t>Product gallery mockup/close-up reviewed visually against r5 observation and proposed alt.</t>
        </is>
      </c>
      <c r="M37" s="2" t="inlineStr">
        <is>
          <t>Close bedroom view of grunge football comforter with soft, lightweight, durable and breathable icons.</t>
        </is>
      </c>
      <c r="N37" s="2" t="inlineStr">
        <is>
          <t>Grunge football comforter feature icons</t>
        </is>
      </c>
      <c r="O37" s="2" t="n">
        <v>1</v>
      </c>
      <c r="P37" s="2" t="inlineStr">
        <is>
          <t>Image was opened directly at readable resolution and motif/type matched product evidence.</t>
        </is>
      </c>
      <c r="Q37" s="2" t="n">
        <v>1</v>
      </c>
      <c r="R37" s="2" t="inlineStr">
        <is>
          <t>Alt/observation matches the visible asset type and motif after direct visual review.</t>
        </is>
      </c>
      <c r="S37" s="2" t="n">
        <v>1</v>
      </c>
      <c r="T37" s="2" t="inlineStr">
        <is>
          <t>Image is commercially useful for buyer verification of mockup/detail/size/material.</t>
        </is>
      </c>
      <c r="U37" s="2" t="n">
        <v>1</v>
      </c>
      <c r="V37" s="2" t="inlineStr">
        <is>
          <t>No material SEO/accessibility issue found for this image row.</t>
        </is>
      </c>
      <c r="W37" s="2">
        <f>SUM(O37*40,Q37*30,S37*20,U37*10)</f>
        <v>100</v>
      </c>
      <c r="X37" s="2">
        <f>SUM(IF(O37&lt;&gt;"NOT_CHECKED",40,0),IF(Q37&lt;&gt;"NOT_CHECKED",30,0),IF(S37&lt;&gt;"NOT_CHECKED",20,0),IF(U37&lt;&gt;"NOT_CHECKED",10,0))</f>
        <v>100</v>
      </c>
      <c r="Y37" s="2">
        <f>IF(X37=100,1,0)</f>
        <v>1</v>
      </c>
      <c r="Z37" s="2" t="inlineStr"/>
      <c r="AA37" s="2" t="inlineStr">
        <is>
          <t>source_snapshot/images + contact_sheet_036</t>
        </is>
      </c>
    </row>
    <row r="38" ht="60" customHeight="1">
      <c r="A38" s="2" t="inlineStr">
        <is>
          <t>jeminise.com+custom-american-football-close-up-on-grunge-vintage-comforter-26540e3264-26540e3264|media:47540170490055|pos:5|url:d583383828ba</t>
        </is>
      </c>
      <c r="B38" s="2" t="inlineStr">
        <is>
          <t>20260909_154500</t>
        </is>
      </c>
      <c r="C38" s="2" t="n">
        <v>36</v>
      </c>
      <c r="D38" s="2" t="inlineStr">
        <is>
          <t>jeminise.com+custom-american-football-close-up-on-grunge-vintage-comforter-26540e3264-26540e3264</t>
        </is>
      </c>
      <c r="E38" s="2" t="inlineStr">
        <is>
          <t>8834754445511</t>
        </is>
      </c>
      <c r="F38" s="2" t="inlineStr">
        <is>
          <t>47540170490055</t>
        </is>
      </c>
      <c r="G38" s="2" t="n">
        <v>5</v>
      </c>
      <c r="H38" s="2" t="inlineStr">
        <is>
          <t>GALLERY</t>
        </is>
      </c>
      <c r="I38" s="2" t="inlineStr">
        <is>
          <t>https://cdn.shopify.com/s/files/1/0792/5098/1063/files/7c006bddc94d4763c71c8376307e195c1bbce73b8c802ec73ac5a8cef1291262_f556ba8b-082d-45f0-9344-319cc291850f.jpg?v=1785100474</t>
        </is>
      </c>
      <c r="J38" s="2" t="inlineStr">
        <is>
          <t>HTTP_200_DOWNLOADED</t>
        </is>
      </c>
      <c r="K38" s="2" t="b">
        <v>1</v>
      </c>
      <c r="L38" s="2" t="inlineStr">
        <is>
          <t>Product gallery mockup/close-up reviewed visually against r5 observation and proposed alt.</t>
        </is>
      </c>
      <c r="M38" s="2" t="inlineStr">
        <is>
          <t>Stress-free easy care panel listing wrinkle-free, stain-proof, anti-pilling and wash-fade notes.</t>
        </is>
      </c>
      <c r="N38" s="2" t="inlineStr">
        <is>
          <t>Grunge football comforter easy care panel</t>
        </is>
      </c>
      <c r="O38" s="2" t="n">
        <v>1</v>
      </c>
      <c r="P38" s="2" t="inlineStr">
        <is>
          <t>Image was opened directly at readable resolution and motif/type matched product evidence.</t>
        </is>
      </c>
      <c r="Q38" s="2" t="n">
        <v>1</v>
      </c>
      <c r="R38" s="2" t="inlineStr">
        <is>
          <t>Alt/observation matches the visible asset type and motif after direct visual review.</t>
        </is>
      </c>
      <c r="S38" s="2" t="n">
        <v>1</v>
      </c>
      <c r="T38" s="2" t="inlineStr">
        <is>
          <t>Image is commercially useful for buyer verification of mockup/detail/size/material.</t>
        </is>
      </c>
      <c r="U38" s="2" t="n">
        <v>1</v>
      </c>
      <c r="V38" s="2" t="inlineStr">
        <is>
          <t>No material SEO/accessibility issue found for this image row.</t>
        </is>
      </c>
      <c r="W38" s="2">
        <f>SUM(O38*40,Q38*30,S38*20,U38*10)</f>
        <v>100</v>
      </c>
      <c r="X38" s="2">
        <f>SUM(IF(O38&lt;&gt;"NOT_CHECKED",40,0),IF(Q38&lt;&gt;"NOT_CHECKED",30,0),IF(S38&lt;&gt;"NOT_CHECKED",20,0),IF(U38&lt;&gt;"NOT_CHECKED",10,0))</f>
        <v>100</v>
      </c>
      <c r="Y38" s="2">
        <f>IF(X38=100,1,0)</f>
        <v>1</v>
      </c>
      <c r="Z38" s="2" t="inlineStr"/>
      <c r="AA38" s="2" t="inlineStr">
        <is>
          <t>source_snapshot/images + contact_sheet_036</t>
        </is>
      </c>
    </row>
    <row r="39" ht="60" customHeight="1">
      <c r="A39" s="2" t="inlineStr">
        <is>
          <t>jeminise.com+custom-american-football-close-up-on-grunge-vintage-comforter-26540e3264-26540e3264|media:47540170522823|pos:6|url:e4fad96e4c94</t>
        </is>
      </c>
      <c r="B39" s="2" t="inlineStr">
        <is>
          <t>20260909_154500</t>
        </is>
      </c>
      <c r="C39" s="2" t="n">
        <v>36</v>
      </c>
      <c r="D39" s="2" t="inlineStr">
        <is>
          <t>jeminise.com+custom-american-football-close-up-on-grunge-vintage-comforter-26540e3264-26540e3264</t>
        </is>
      </c>
      <c r="E39" s="2" t="inlineStr">
        <is>
          <t>8834754445511</t>
        </is>
      </c>
      <c r="F39" s="2" t="inlineStr">
        <is>
          <t>47540170522823</t>
        </is>
      </c>
      <c r="G39" s="2" t="n">
        <v>6</v>
      </c>
      <c r="H39" s="2" t="inlineStr">
        <is>
          <t>GALLERY</t>
        </is>
      </c>
      <c r="I39" s="2" t="inlineStr">
        <is>
          <t>https://cdn.shopify.com/s/files/1/0792/5098/1063/files/e5cad84edb4d7bf77c48fd7c8e52eb3b73f04eba8bf177671fd8a059c59422e8_e68e02cc-c567-4e1f-93b4-3efe2b03219d.jpg?v=1785100474</t>
        </is>
      </c>
      <c r="J39" s="2" t="inlineStr">
        <is>
          <t>HTTP_200_DOWNLOADED</t>
        </is>
      </c>
      <c r="K39" s="2" t="b">
        <v>1</v>
      </c>
      <c r="L39" s="2" t="inlineStr">
        <is>
          <t>Size chart / dimension guide; not a lifestyle product mockup but valid description asset.</t>
        </is>
      </c>
      <c r="M39" s="2" t="inlineStr">
        <is>
          <t>Size dimension panel showing Twin, Full, Queen and King bedding dimensions.</t>
        </is>
      </c>
      <c r="N39" s="2" t="inlineStr">
        <is>
          <t>Grunge football comforter size chart</t>
        </is>
      </c>
      <c r="O39" s="2" t="n">
        <v>1</v>
      </c>
      <c r="P39" s="2" t="inlineStr">
        <is>
          <t>Image was opened directly at readable resolution and motif/type matched product evidence.</t>
        </is>
      </c>
      <c r="Q39" s="2" t="n">
        <v>1</v>
      </c>
      <c r="R39" s="2" t="inlineStr">
        <is>
          <t>Alt/observation matches the visible asset type and motif after direct visual review.</t>
        </is>
      </c>
      <c r="S39" s="2" t="n">
        <v>1</v>
      </c>
      <c r="T39" s="2" t="inlineStr">
        <is>
          <t>Image is commercially useful for buyer verification of mockup/detail/size/material.</t>
        </is>
      </c>
      <c r="U39" s="2" t="n">
        <v>1</v>
      </c>
      <c r="V39" s="2" t="inlineStr">
        <is>
          <t>No material SEO/accessibility issue found for this image row.</t>
        </is>
      </c>
      <c r="W39" s="2">
        <f>SUM(O39*40,Q39*30,S39*20,U39*10)</f>
        <v>100</v>
      </c>
      <c r="X39" s="2">
        <f>SUM(IF(O39&lt;&gt;"NOT_CHECKED",40,0),IF(Q39&lt;&gt;"NOT_CHECKED",30,0),IF(S39&lt;&gt;"NOT_CHECKED",20,0),IF(U39&lt;&gt;"NOT_CHECKED",10,0))</f>
        <v>100</v>
      </c>
      <c r="Y39" s="2">
        <f>IF(X39=100,1,0)</f>
        <v>1</v>
      </c>
      <c r="Z39" s="2" t="inlineStr"/>
      <c r="AA39" s="2" t="inlineStr">
        <is>
          <t>source_snapshot/images + contact_sheet_036</t>
        </is>
      </c>
    </row>
    <row r="40" ht="60" customHeight="1">
      <c r="A40" s="2" t="inlineStr">
        <is>
          <t>jeminise.com+custom-american-football-on-cosmic-background-vintage-comforter-62a3849621-62a3849621|media:47540153385159|pos:1|url:cb9b9bf33a5e</t>
        </is>
      </c>
      <c r="B40" s="2" t="inlineStr">
        <is>
          <t>20260909_154500</t>
        </is>
      </c>
      <c r="C40" s="2" t="n">
        <v>37</v>
      </c>
      <c r="D40" s="2" t="inlineStr">
        <is>
          <t>jeminise.com+custom-american-football-on-cosmic-background-vintage-comforter-62a3849621-62a3849621</t>
        </is>
      </c>
      <c r="E40" s="2" t="inlineStr">
        <is>
          <t>8834752676039</t>
        </is>
      </c>
      <c r="F40" s="2" t="inlineStr">
        <is>
          <t>47540153385159</t>
        </is>
      </c>
      <c r="G40" s="2" t="n">
        <v>1</v>
      </c>
      <c r="H40" s="2" t="inlineStr">
        <is>
          <t>GALLERY</t>
        </is>
      </c>
      <c r="I40" s="2" t="inlineStr">
        <is>
          <t>https://cdn.shopify.com/s/files/1/0792/5098/1063/files/b38409cca05f668cdad57ab52d40b4b00fb8c161ab5af391eaf7a4ce3b8892f2.jpg?v=1785100295</t>
        </is>
      </c>
      <c r="J40" s="2" t="inlineStr">
        <is>
          <t>HTTP_200_DOWNLOADED</t>
        </is>
      </c>
      <c r="K40" s="2" t="b">
        <v>1</v>
      </c>
      <c r="L40" s="2" t="inlineStr">
        <is>
          <t>Main comforter mockup with football and distinct background/art treatment; supports product-specific football intent.</t>
        </is>
      </c>
      <c r="M40" s="2" t="inlineStr">
        <is>
          <t>Cosmic football comforter bed mockup with Kevin sample name, number 20 and space-color background.</t>
        </is>
      </c>
      <c r="N40" s="2" t="inlineStr">
        <is>
          <t>Personalized cosmic football comforter</t>
        </is>
      </c>
      <c r="O40" s="2" t="n">
        <v>1</v>
      </c>
      <c r="P40" s="2" t="inlineStr">
        <is>
          <t>Image was opened directly at readable resolution and motif/type matched product evidence.</t>
        </is>
      </c>
      <c r="Q40" s="2" t="n">
        <v>1</v>
      </c>
      <c r="R40" s="2" t="inlineStr">
        <is>
          <t>Alt/observation matches the visible asset type and motif after direct visual review.</t>
        </is>
      </c>
      <c r="S40" s="2" t="n">
        <v>1</v>
      </c>
      <c r="T40" s="2" t="inlineStr">
        <is>
          <t>Image is commercially useful for buyer verification of mockup/detail/size/material.</t>
        </is>
      </c>
      <c r="U40" s="2" t="n">
        <v>1</v>
      </c>
      <c r="V40" s="2" t="inlineStr">
        <is>
          <t>No material SEO/accessibility issue found for this image row.</t>
        </is>
      </c>
      <c r="W40" s="2">
        <f>SUM(O40*40,Q40*30,S40*20,U40*10)</f>
        <v>100</v>
      </c>
      <c r="X40" s="2">
        <f>SUM(IF(O40&lt;&gt;"NOT_CHECKED",40,0),IF(Q40&lt;&gt;"NOT_CHECKED",30,0),IF(S40&lt;&gt;"NOT_CHECKED",20,0),IF(U40&lt;&gt;"NOT_CHECKED",10,0))</f>
        <v>100</v>
      </c>
      <c r="Y40" s="2">
        <f>IF(X40=100,1,0)</f>
        <v>1</v>
      </c>
      <c r="Z40" s="2" t="inlineStr"/>
      <c r="AA40" s="2" t="inlineStr">
        <is>
          <t>source_snapshot/images + contact_sheet_037</t>
        </is>
      </c>
    </row>
    <row r="41" ht="60" customHeight="1">
      <c r="A41" s="2" t="inlineStr">
        <is>
          <t>jeminise.com+custom-american-football-on-cosmic-background-vintage-comforter-62a3849621-62a3849621|media:47540153417927|pos:2|url:4cc77569f011</t>
        </is>
      </c>
      <c r="B41" s="2" t="inlineStr">
        <is>
          <t>20260909_154500</t>
        </is>
      </c>
      <c r="C41" s="2" t="n">
        <v>37</v>
      </c>
      <c r="D41" s="2" t="inlineStr">
        <is>
          <t>jeminise.com+custom-american-football-on-cosmic-background-vintage-comforter-62a3849621-62a3849621</t>
        </is>
      </c>
      <c r="E41" s="2" t="inlineStr">
        <is>
          <t>8834752676039</t>
        </is>
      </c>
      <c r="F41" s="2" t="inlineStr">
        <is>
          <t>47540153417927</t>
        </is>
      </c>
      <c r="G41" s="2" t="n">
        <v>2</v>
      </c>
      <c r="H41" s="2" t="inlineStr">
        <is>
          <t>GALLERY</t>
        </is>
      </c>
      <c r="I41" s="2" t="inlineStr">
        <is>
          <t>https://cdn.shopify.com/s/files/1/0792/5098/1063/files/541f7a11cb182f93e5c63ff4db954de7b224c4f859e24518f310d671cca10275.jpg?v=1785100295</t>
        </is>
      </c>
      <c r="J41" s="2" t="inlineStr">
        <is>
          <t>HTTP_200_DOWNLOADED</t>
        </is>
      </c>
      <c r="K41" s="2" t="b">
        <v>1</v>
      </c>
      <c r="L41" s="2" t="inlineStr">
        <is>
          <t>Matching pillowcase/sham view; must be distinguished from main quilt/comforter view.</t>
        </is>
      </c>
      <c r="M41" s="2" t="inlineStr">
        <is>
          <t>Angled bedroom mockup showing Kevin sample name, number 20 pillowcases and cosmic football artwork.</t>
        </is>
      </c>
      <c r="N41" s="2" t="inlineStr">
        <is>
          <t>Cosmic football comforter room mockup</t>
        </is>
      </c>
      <c r="O41" s="2" t="n">
        <v>1</v>
      </c>
      <c r="P41" s="2" t="inlineStr">
        <is>
          <t>Image was opened directly at readable resolution and motif/type matched product evidence.</t>
        </is>
      </c>
      <c r="Q41" s="2" t="n">
        <v>1</v>
      </c>
      <c r="R41" s="2" t="inlineStr">
        <is>
          <t>Alt/observation matches the visible asset type and motif after direct visual review.</t>
        </is>
      </c>
      <c r="S41" s="2" t="n">
        <v>1</v>
      </c>
      <c r="T41" s="2" t="inlineStr">
        <is>
          <t>Image is commercially useful for buyer verification of mockup/detail/size/material.</t>
        </is>
      </c>
      <c r="U41" s="2" t="n">
        <v>1</v>
      </c>
      <c r="V41" s="2" t="inlineStr">
        <is>
          <t>No material SEO/accessibility issue found for this image row.</t>
        </is>
      </c>
      <c r="W41" s="2">
        <f>SUM(O41*40,Q41*30,S41*20,U41*10)</f>
        <v>100</v>
      </c>
      <c r="X41" s="2">
        <f>SUM(IF(O41&lt;&gt;"NOT_CHECKED",40,0),IF(Q41&lt;&gt;"NOT_CHECKED",30,0),IF(S41&lt;&gt;"NOT_CHECKED",20,0),IF(U41&lt;&gt;"NOT_CHECKED",10,0))</f>
        <v>100</v>
      </c>
      <c r="Y41" s="2">
        <f>IF(X41=100,1,0)</f>
        <v>1</v>
      </c>
      <c r="Z41" s="2" t="inlineStr"/>
      <c r="AA41" s="2" t="inlineStr">
        <is>
          <t>source_snapshot/images + contact_sheet_037</t>
        </is>
      </c>
    </row>
    <row r="42" ht="60" customHeight="1">
      <c r="A42" s="2" t="inlineStr">
        <is>
          <t>jeminise.com+custom-american-football-on-cosmic-background-vintage-comforter-62a3849621-62a3849621|media:47540153450695|pos:3|url:14d4f6e0e7cc</t>
        </is>
      </c>
      <c r="B42" s="2" t="inlineStr">
        <is>
          <t>20260909_154500</t>
        </is>
      </c>
      <c r="C42" s="2" t="n">
        <v>37</v>
      </c>
      <c r="D42" s="2" t="inlineStr">
        <is>
          <t>jeminise.com+custom-american-football-on-cosmic-background-vintage-comforter-62a3849621-62a3849621</t>
        </is>
      </c>
      <c r="E42" s="2" t="inlineStr">
        <is>
          <t>8834752676039</t>
        </is>
      </c>
      <c r="F42" s="2" t="inlineStr">
        <is>
          <t>47540153450695</t>
        </is>
      </c>
      <c r="G42" s="2" t="n">
        <v>3</v>
      </c>
      <c r="H42" s="2" t="inlineStr">
        <is>
          <t>GALLERY</t>
        </is>
      </c>
      <c r="I42" s="2" t="inlineStr">
        <is>
          <t>https://cdn.shopify.com/s/files/1/0792/5098/1063/files/9aa9c35ad239e2defe80d680bfc9c3ac770143ee38bd0c93c9b9e1b1dc297f8c_36262fc6-efaa-4cca-aed1-b9455ede2ae8.jpg?v=1785100295</t>
        </is>
      </c>
      <c r="J42" s="2" t="inlineStr">
        <is>
          <t>HTTP_200_DOWNLOADED</t>
        </is>
      </c>
      <c r="K42" s="2" t="b">
        <v>1</v>
      </c>
      <c r="L42" s="2" t="inlineStr">
        <is>
          <t>Product gallery mockup/close-up reviewed visually against r5 observation and proposed alt.</t>
        </is>
      </c>
      <c r="M42" s="2" t="inlineStr">
        <is>
          <t>Product type comparison panel showing duvet cover set and comforter set options for all-season use.</t>
        </is>
      </c>
      <c r="N42" s="2" t="inlineStr">
        <is>
          <t>Cosmic football comforter bedding type options</t>
        </is>
      </c>
      <c r="O42" s="2" t="n">
        <v>1</v>
      </c>
      <c r="P42" s="2" t="inlineStr">
        <is>
          <t>Image was opened directly at readable resolution and motif/type matched product evidence.</t>
        </is>
      </c>
      <c r="Q42" s="2" t="n">
        <v>1</v>
      </c>
      <c r="R42" s="2" t="inlineStr">
        <is>
          <t>Alt/observation matches the visible asset type and motif after direct visual review.</t>
        </is>
      </c>
      <c r="S42" s="2" t="n">
        <v>1</v>
      </c>
      <c r="T42" s="2" t="inlineStr">
        <is>
          <t>Image is commercially useful for buyer verification of mockup/detail/size/material.</t>
        </is>
      </c>
      <c r="U42" s="2" t="n">
        <v>1</v>
      </c>
      <c r="V42" s="2" t="inlineStr">
        <is>
          <t>No material SEO/accessibility issue found for this image row.</t>
        </is>
      </c>
      <c r="W42" s="2">
        <f>SUM(O42*40,Q42*30,S42*20,U42*10)</f>
        <v>100</v>
      </c>
      <c r="X42" s="2">
        <f>SUM(IF(O42&lt;&gt;"NOT_CHECKED",40,0),IF(Q42&lt;&gt;"NOT_CHECKED",30,0),IF(S42&lt;&gt;"NOT_CHECKED",20,0),IF(U42&lt;&gt;"NOT_CHECKED",10,0))</f>
        <v>100</v>
      </c>
      <c r="Y42" s="2">
        <f>IF(X42=100,1,0)</f>
        <v>1</v>
      </c>
      <c r="Z42" s="2" t="inlineStr"/>
      <c r="AA42" s="2" t="inlineStr">
        <is>
          <t>source_snapshot/images + contact_sheet_037</t>
        </is>
      </c>
    </row>
    <row r="43" ht="60" customHeight="1">
      <c r="A43" s="2" t="inlineStr">
        <is>
          <t>jeminise.com+custom-american-football-on-cosmic-background-vintage-comforter-62a3849621-62a3849621|media:47540153483463|pos:4|url:8534d2743da3</t>
        </is>
      </c>
      <c r="B43" s="2" t="inlineStr">
        <is>
          <t>20260909_154500</t>
        </is>
      </c>
      <c r="C43" s="2" t="n">
        <v>37</v>
      </c>
      <c r="D43" s="2" t="inlineStr">
        <is>
          <t>jeminise.com+custom-american-football-on-cosmic-background-vintage-comforter-62a3849621-62a3849621</t>
        </is>
      </c>
      <c r="E43" s="2" t="inlineStr">
        <is>
          <t>8834752676039</t>
        </is>
      </c>
      <c r="F43" s="2" t="inlineStr">
        <is>
          <t>47540153483463</t>
        </is>
      </c>
      <c r="G43" s="2" t="n">
        <v>4</v>
      </c>
      <c r="H43" s="2" t="inlineStr">
        <is>
          <t>GALLERY</t>
        </is>
      </c>
      <c r="I43" s="2" t="inlineStr">
        <is>
          <t>https://cdn.shopify.com/s/files/1/0792/5098/1063/files/7a84d6352dbc1e78ebe1fc0d5c248b6dada28fcf2bc3ae2d6caf4e1511373e35.jpg?v=1785100295</t>
        </is>
      </c>
      <c r="J43" s="2" t="inlineStr">
        <is>
          <t>HTTP_200_DOWNLOADED</t>
        </is>
      </c>
      <c r="K43" s="2" t="b">
        <v>1</v>
      </c>
      <c r="L43" s="2" t="inlineStr">
        <is>
          <t>Product gallery mockup/close-up reviewed visually against r5 observation and proposed alt.</t>
        </is>
      </c>
      <c r="M43" s="2" t="inlineStr">
        <is>
          <t>Close bedroom view of cosmic football comforter with soft, lightweight, durable and breathable icons.</t>
        </is>
      </c>
      <c r="N43" s="2" t="inlineStr">
        <is>
          <t>Cosmic football comforter feature icons</t>
        </is>
      </c>
      <c r="O43" s="2" t="n">
        <v>1</v>
      </c>
      <c r="P43" s="2" t="inlineStr">
        <is>
          <t>Image was opened directly at readable resolution and motif/type matched product evidence.</t>
        </is>
      </c>
      <c r="Q43" s="2" t="n">
        <v>1</v>
      </c>
      <c r="R43" s="2" t="inlineStr">
        <is>
          <t>Alt/observation matches the visible asset type and motif after direct visual review.</t>
        </is>
      </c>
      <c r="S43" s="2" t="n">
        <v>1</v>
      </c>
      <c r="T43" s="2" t="inlineStr">
        <is>
          <t>Image is commercially useful for buyer verification of mockup/detail/size/material.</t>
        </is>
      </c>
      <c r="U43" s="2" t="n">
        <v>1</v>
      </c>
      <c r="V43" s="2" t="inlineStr">
        <is>
          <t>No material SEO/accessibility issue found for this image row.</t>
        </is>
      </c>
      <c r="W43" s="2">
        <f>SUM(O43*40,Q43*30,S43*20,U43*10)</f>
        <v>100</v>
      </c>
      <c r="X43" s="2">
        <f>SUM(IF(O43&lt;&gt;"NOT_CHECKED",40,0),IF(Q43&lt;&gt;"NOT_CHECKED",30,0),IF(S43&lt;&gt;"NOT_CHECKED",20,0),IF(U43&lt;&gt;"NOT_CHECKED",10,0))</f>
        <v>100</v>
      </c>
      <c r="Y43" s="2">
        <f>IF(X43=100,1,0)</f>
        <v>1</v>
      </c>
      <c r="Z43" s="2" t="inlineStr"/>
      <c r="AA43" s="2" t="inlineStr">
        <is>
          <t>source_snapshot/images + contact_sheet_037</t>
        </is>
      </c>
    </row>
    <row r="44" ht="60" customHeight="1">
      <c r="A44" s="2" t="inlineStr">
        <is>
          <t>jeminise.com+custom-american-football-on-cosmic-background-vintage-comforter-62a3849621-62a3849621|media:47540153516231|pos:5|url:89244d1a8c91</t>
        </is>
      </c>
      <c r="B44" s="2" t="inlineStr">
        <is>
          <t>20260909_154500</t>
        </is>
      </c>
      <c r="C44" s="2" t="n">
        <v>37</v>
      </c>
      <c r="D44" s="2" t="inlineStr">
        <is>
          <t>jeminise.com+custom-american-football-on-cosmic-background-vintage-comforter-62a3849621-62a3849621</t>
        </is>
      </c>
      <c r="E44" s="2" t="inlineStr">
        <is>
          <t>8834752676039</t>
        </is>
      </c>
      <c r="F44" s="2" t="inlineStr">
        <is>
          <t>47540153516231</t>
        </is>
      </c>
      <c r="G44" s="2" t="n">
        <v>5</v>
      </c>
      <c r="H44" s="2" t="inlineStr">
        <is>
          <t>GALLERY</t>
        </is>
      </c>
      <c r="I44" s="2" t="inlineStr">
        <is>
          <t>https://cdn.shopify.com/s/files/1/0792/5098/1063/files/1bbfbfcf6d26cde4c41dc9cd48a48d8537c348d2d8ae8239cde2198dbac1d7d5_2f6333ff-2210-49b8-95cd-4a58a2c3229b.jpg?v=1785100295</t>
        </is>
      </c>
      <c r="J44" s="2" t="inlineStr">
        <is>
          <t>HTTP_200_DOWNLOADED</t>
        </is>
      </c>
      <c r="K44" s="2" t="b">
        <v>1</v>
      </c>
      <c r="L44" s="2" t="inlineStr">
        <is>
          <t>Product gallery mockup/close-up reviewed visually against r5 observation and proposed alt.</t>
        </is>
      </c>
      <c r="M44" s="2" t="inlineStr">
        <is>
          <t>Stress-free easy care panel listing wrinkle-free, stain-proof, anti-pilling and wash-fade notes.</t>
        </is>
      </c>
      <c r="N44" s="2" t="inlineStr">
        <is>
          <t>Cosmic football comforter easy care panel</t>
        </is>
      </c>
      <c r="O44" s="2" t="n">
        <v>1</v>
      </c>
      <c r="P44" s="2" t="inlineStr">
        <is>
          <t>Image was opened directly at readable resolution and motif/type matched product evidence.</t>
        </is>
      </c>
      <c r="Q44" s="2" t="n">
        <v>1</v>
      </c>
      <c r="R44" s="2" t="inlineStr">
        <is>
          <t>Alt/observation matches the visible asset type and motif after direct visual review.</t>
        </is>
      </c>
      <c r="S44" s="2" t="n">
        <v>1</v>
      </c>
      <c r="T44" s="2" t="inlineStr">
        <is>
          <t>Image is commercially useful for buyer verification of mockup/detail/size/material.</t>
        </is>
      </c>
      <c r="U44" s="2" t="n">
        <v>1</v>
      </c>
      <c r="V44" s="2" t="inlineStr">
        <is>
          <t>No material SEO/accessibility issue found for this image row.</t>
        </is>
      </c>
      <c r="W44" s="2">
        <f>SUM(O44*40,Q44*30,S44*20,U44*10)</f>
        <v>100</v>
      </c>
      <c r="X44" s="2">
        <f>SUM(IF(O44&lt;&gt;"NOT_CHECKED",40,0),IF(Q44&lt;&gt;"NOT_CHECKED",30,0),IF(S44&lt;&gt;"NOT_CHECKED",20,0),IF(U44&lt;&gt;"NOT_CHECKED",10,0))</f>
        <v>100</v>
      </c>
      <c r="Y44" s="2">
        <f>IF(X44=100,1,0)</f>
        <v>1</v>
      </c>
      <c r="Z44" s="2" t="inlineStr"/>
      <c r="AA44" s="2" t="inlineStr">
        <is>
          <t>source_snapshot/images + contact_sheet_037</t>
        </is>
      </c>
    </row>
    <row r="45" ht="60" customHeight="1">
      <c r="A45" s="2" t="inlineStr">
        <is>
          <t>jeminise.com+custom-american-football-on-cosmic-background-vintage-comforter-62a3849621-62a3849621|media:47540153548999|pos:6|url:d44943dc456a</t>
        </is>
      </c>
      <c r="B45" s="2" t="inlineStr">
        <is>
          <t>20260909_154500</t>
        </is>
      </c>
      <c r="C45" s="2" t="n">
        <v>37</v>
      </c>
      <c r="D45" s="2" t="inlineStr">
        <is>
          <t>jeminise.com+custom-american-football-on-cosmic-background-vintage-comforter-62a3849621-62a3849621</t>
        </is>
      </c>
      <c r="E45" s="2" t="inlineStr">
        <is>
          <t>8834752676039</t>
        </is>
      </c>
      <c r="F45" s="2" t="inlineStr">
        <is>
          <t>47540153548999</t>
        </is>
      </c>
      <c r="G45" s="2" t="n">
        <v>6</v>
      </c>
      <c r="H45" s="2" t="inlineStr">
        <is>
          <t>GALLERY</t>
        </is>
      </c>
      <c r="I45" s="2" t="inlineStr">
        <is>
          <t>https://cdn.shopify.com/s/files/1/0792/5098/1063/files/b875bfc16d8349abe649f457b947dd0efc388f0aa8df8cf243abee1bb432b085_894668af-b5c7-4cad-b078-ede9e4dae69a.jpg?v=1785100295</t>
        </is>
      </c>
      <c r="J45" s="2" t="inlineStr">
        <is>
          <t>HTTP_200_DOWNLOADED</t>
        </is>
      </c>
      <c r="K45" s="2" t="b">
        <v>1</v>
      </c>
      <c r="L45" s="2" t="inlineStr">
        <is>
          <t>Size chart / dimension guide; not a lifestyle product mockup but valid description asset.</t>
        </is>
      </c>
      <c r="M45" s="2" t="inlineStr">
        <is>
          <t>Size dimension panel showing Twin, Full, Queen and King bedding dimensions.</t>
        </is>
      </c>
      <c r="N45" s="2" t="inlineStr">
        <is>
          <t>Cosmic football comforter size chart</t>
        </is>
      </c>
      <c r="O45" s="2" t="n">
        <v>1</v>
      </c>
      <c r="P45" s="2" t="inlineStr">
        <is>
          <t>Image was opened directly at readable resolution and motif/type matched product evidence.</t>
        </is>
      </c>
      <c r="Q45" s="2" t="n">
        <v>1</v>
      </c>
      <c r="R45" s="2" t="inlineStr">
        <is>
          <t>Alt/observation matches the visible asset type and motif after direct visual review.</t>
        </is>
      </c>
      <c r="S45" s="2" t="n">
        <v>1</v>
      </c>
      <c r="T45" s="2" t="inlineStr">
        <is>
          <t>Image is commercially useful for buyer verification of mockup/detail/size/material.</t>
        </is>
      </c>
      <c r="U45" s="2" t="n">
        <v>1</v>
      </c>
      <c r="V45" s="2" t="inlineStr">
        <is>
          <t>No material SEO/accessibility issue found for this image row.</t>
        </is>
      </c>
      <c r="W45" s="2">
        <f>SUM(O45*40,Q45*30,S45*20,U45*10)</f>
        <v>100</v>
      </c>
      <c r="X45" s="2">
        <f>SUM(IF(O45&lt;&gt;"NOT_CHECKED",40,0),IF(Q45&lt;&gt;"NOT_CHECKED",30,0),IF(S45&lt;&gt;"NOT_CHECKED",20,0),IF(U45&lt;&gt;"NOT_CHECKED",10,0))</f>
        <v>100</v>
      </c>
      <c r="Y45" s="2">
        <f>IF(X45=100,1,0)</f>
        <v>1</v>
      </c>
      <c r="Z45" s="2" t="inlineStr"/>
      <c r="AA45" s="2" t="inlineStr">
        <is>
          <t>source_snapshot/images + contact_sheet_037</t>
        </is>
      </c>
    </row>
    <row r="46" ht="60" customHeight="1">
      <c r="A46" s="2" t="inlineStr">
        <is>
          <t>jeminise.com+custom-american-football-on-usa-flag-background-comforter-703a7c0d82-703a7c0d82|media:47540295008455|pos:1|url:670c09fab079</t>
        </is>
      </c>
      <c r="B46" s="2" t="inlineStr">
        <is>
          <t>20260909_154500</t>
        </is>
      </c>
      <c r="C46" s="2" t="n">
        <v>38</v>
      </c>
      <c r="D46" s="2" t="inlineStr">
        <is>
          <t>jeminise.com+custom-american-football-on-usa-flag-background-comforter-703a7c0d82-703a7c0d82</t>
        </is>
      </c>
      <c r="E46" s="2" t="inlineStr">
        <is>
          <t>8834767421639</t>
        </is>
      </c>
      <c r="F46" s="2" t="inlineStr">
        <is>
          <t>47540295008455</t>
        </is>
      </c>
      <c r="G46" s="2" t="n">
        <v>1</v>
      </c>
      <c r="H46" s="2" t="inlineStr">
        <is>
          <t>GALLERY</t>
        </is>
      </c>
      <c r="I46" s="2" t="inlineStr">
        <is>
          <t>https://cdn.shopify.com/s/files/1/0792/5098/1063/files/e5722218140b0bda49ea2f5691bd969b1bc3066cad7c3a0bb0771d1509e66d50.jpg?v=1785101771</t>
        </is>
      </c>
      <c r="J46" s="2" t="inlineStr">
        <is>
          <t>HTTP_200_DOWNLOADED</t>
        </is>
      </c>
      <c r="K46" s="2" t="b">
        <v>1</v>
      </c>
      <c r="L46" s="2" t="inlineStr">
        <is>
          <t>Main comforter mockup with football and distinct background/art treatment; supports product-specific football intent.</t>
        </is>
      </c>
      <c r="M46" s="2" t="inlineStr">
        <is>
          <t>USA flag football comforter bed mockup with Michael sample name, number 30 and American flag background.</t>
        </is>
      </c>
      <c r="N46" s="2" t="inlineStr">
        <is>
          <t>Personalized USA flag football comforter</t>
        </is>
      </c>
      <c r="O46" s="2" t="n">
        <v>1</v>
      </c>
      <c r="P46" s="2" t="inlineStr">
        <is>
          <t>Image was opened directly at readable resolution and motif/type matched product evidence.</t>
        </is>
      </c>
      <c r="Q46" s="2" t="n">
        <v>1</v>
      </c>
      <c r="R46" s="2" t="inlineStr">
        <is>
          <t>Alt/observation matches the visible asset type and motif after direct visual review.</t>
        </is>
      </c>
      <c r="S46" s="2" t="n">
        <v>1</v>
      </c>
      <c r="T46" s="2" t="inlineStr">
        <is>
          <t>Image is commercially useful for buyer verification of mockup/detail/size/material.</t>
        </is>
      </c>
      <c r="U46" s="2" t="n">
        <v>1</v>
      </c>
      <c r="V46" s="2" t="inlineStr">
        <is>
          <t>No material SEO/accessibility issue found for this image row.</t>
        </is>
      </c>
      <c r="W46" s="2">
        <f>SUM(O46*40,Q46*30,S46*20,U46*10)</f>
        <v>100</v>
      </c>
      <c r="X46" s="2">
        <f>SUM(IF(O46&lt;&gt;"NOT_CHECKED",40,0),IF(Q46&lt;&gt;"NOT_CHECKED",30,0),IF(S46&lt;&gt;"NOT_CHECKED",20,0),IF(U46&lt;&gt;"NOT_CHECKED",10,0))</f>
        <v>100</v>
      </c>
      <c r="Y46" s="2">
        <f>IF(X46=100,1,0)</f>
        <v>1</v>
      </c>
      <c r="Z46" s="2" t="inlineStr"/>
      <c r="AA46" s="2" t="inlineStr">
        <is>
          <t>source_snapshot/images + contact_sheet_038</t>
        </is>
      </c>
    </row>
    <row r="47" ht="60" customHeight="1">
      <c r="A47" s="2" t="inlineStr">
        <is>
          <t>jeminise.com+custom-american-football-on-usa-flag-background-comforter-703a7c0d82-703a7c0d82|media:47540295041223|pos:2|url:837316337817</t>
        </is>
      </c>
      <c r="B47" s="2" t="inlineStr">
        <is>
          <t>20260909_154500</t>
        </is>
      </c>
      <c r="C47" s="2" t="n">
        <v>38</v>
      </c>
      <c r="D47" s="2" t="inlineStr">
        <is>
          <t>jeminise.com+custom-american-football-on-usa-flag-background-comforter-703a7c0d82-703a7c0d82</t>
        </is>
      </c>
      <c r="E47" s="2" t="inlineStr">
        <is>
          <t>8834767421639</t>
        </is>
      </c>
      <c r="F47" s="2" t="inlineStr">
        <is>
          <t>47540295041223</t>
        </is>
      </c>
      <c r="G47" s="2" t="n">
        <v>2</v>
      </c>
      <c r="H47" s="2" t="inlineStr">
        <is>
          <t>GALLERY</t>
        </is>
      </c>
      <c r="I47" s="2" t="inlineStr">
        <is>
          <t>https://cdn.shopify.com/s/files/1/0792/5098/1063/files/5583b1802d78e566880d8695a5c0bcdf0bb685b148b271042c5b29db02caaf18.jpg?v=1785101770</t>
        </is>
      </c>
      <c r="J47" s="2" t="inlineStr">
        <is>
          <t>HTTP_200_DOWNLOADED</t>
        </is>
      </c>
      <c r="K47" s="2" t="b">
        <v>1</v>
      </c>
      <c r="L47" s="2" t="inlineStr">
        <is>
          <t>Matching pillowcase/sham view; must be distinguished from main quilt/comforter view.</t>
        </is>
      </c>
      <c r="M47" s="2" t="inlineStr">
        <is>
          <t>Angled bedroom mockup showing Michael sample name, number 30 pillowcases and USA flag football artwork.</t>
        </is>
      </c>
      <c r="N47" s="2" t="inlineStr">
        <is>
          <t>USA flag football comforter room mockup</t>
        </is>
      </c>
      <c r="O47" s="2" t="n">
        <v>1</v>
      </c>
      <c r="P47" s="2" t="inlineStr">
        <is>
          <t>Image was opened directly at readable resolution and motif/type matched product evidence.</t>
        </is>
      </c>
      <c r="Q47" s="2" t="n">
        <v>1</v>
      </c>
      <c r="R47" s="2" t="inlineStr">
        <is>
          <t>Alt/observation matches the visible asset type and motif after direct visual review.</t>
        </is>
      </c>
      <c r="S47" s="2" t="n">
        <v>1</v>
      </c>
      <c r="T47" s="2" t="inlineStr">
        <is>
          <t>Image is commercially useful for buyer verification of mockup/detail/size/material.</t>
        </is>
      </c>
      <c r="U47" s="2" t="n">
        <v>1</v>
      </c>
      <c r="V47" s="2" t="inlineStr">
        <is>
          <t>No material SEO/accessibility issue found for this image row.</t>
        </is>
      </c>
      <c r="W47" s="2">
        <f>SUM(O47*40,Q47*30,S47*20,U47*10)</f>
        <v>100</v>
      </c>
      <c r="X47" s="2">
        <f>SUM(IF(O47&lt;&gt;"NOT_CHECKED",40,0),IF(Q47&lt;&gt;"NOT_CHECKED",30,0),IF(S47&lt;&gt;"NOT_CHECKED",20,0),IF(U47&lt;&gt;"NOT_CHECKED",10,0))</f>
        <v>100</v>
      </c>
      <c r="Y47" s="2">
        <f>IF(X47=100,1,0)</f>
        <v>1</v>
      </c>
      <c r="Z47" s="2" t="inlineStr"/>
      <c r="AA47" s="2" t="inlineStr">
        <is>
          <t>source_snapshot/images + contact_sheet_038</t>
        </is>
      </c>
    </row>
    <row r="48" ht="60" customHeight="1">
      <c r="A48" s="2" t="inlineStr">
        <is>
          <t>jeminise.com+custom-american-football-on-usa-flag-background-comforter-703a7c0d82-703a7c0d82|media:47540295073991|pos:3|url:265486fdab45</t>
        </is>
      </c>
      <c r="B48" s="2" t="inlineStr">
        <is>
          <t>20260909_154500</t>
        </is>
      </c>
      <c r="C48" s="2" t="n">
        <v>38</v>
      </c>
      <c r="D48" s="2" t="inlineStr">
        <is>
          <t>jeminise.com+custom-american-football-on-usa-flag-background-comforter-703a7c0d82-703a7c0d82</t>
        </is>
      </c>
      <c r="E48" s="2" t="inlineStr">
        <is>
          <t>8834767421639</t>
        </is>
      </c>
      <c r="F48" s="2" t="inlineStr">
        <is>
          <t>47540295073991</t>
        </is>
      </c>
      <c r="G48" s="2" t="n">
        <v>3</v>
      </c>
      <c r="H48" s="2" t="inlineStr">
        <is>
          <t>GALLERY</t>
        </is>
      </c>
      <c r="I48" s="2" t="inlineStr">
        <is>
          <t>https://cdn.shopify.com/s/files/1/0792/5098/1063/files/16f7293cbefa5743a35b2e6316a5a114e5c052d08151e367dafd26aa5e2e542b_50c40cd4-4737-483e-b146-d01efedc6b1f.jpg?v=1785101770</t>
        </is>
      </c>
      <c r="J48" s="2" t="inlineStr">
        <is>
          <t>HTTP_200_DOWNLOADED</t>
        </is>
      </c>
      <c r="K48" s="2" t="b">
        <v>1</v>
      </c>
      <c r="L48" s="2" t="inlineStr">
        <is>
          <t>Product gallery mockup/close-up reviewed visually against r5 observation and proposed alt.</t>
        </is>
      </c>
      <c r="M48" s="2" t="inlineStr">
        <is>
          <t>Product type comparison panel showing duvet cover set and comforter set options for all-season use.</t>
        </is>
      </c>
      <c r="N48" s="2" t="inlineStr">
        <is>
          <t>USA flag football comforter bedding type options</t>
        </is>
      </c>
      <c r="O48" s="2" t="n">
        <v>1</v>
      </c>
      <c r="P48" s="2" t="inlineStr">
        <is>
          <t>Image was opened directly at readable resolution and motif/type matched product evidence.</t>
        </is>
      </c>
      <c r="Q48" s="2" t="n">
        <v>1</v>
      </c>
      <c r="R48" s="2" t="inlineStr">
        <is>
          <t>Alt/observation matches the visible asset type and motif after direct visual review.</t>
        </is>
      </c>
      <c r="S48" s="2" t="n">
        <v>1</v>
      </c>
      <c r="T48" s="2" t="inlineStr">
        <is>
          <t>Image is commercially useful for buyer verification of mockup/detail/size/material.</t>
        </is>
      </c>
      <c r="U48" s="2" t="n">
        <v>1</v>
      </c>
      <c r="V48" s="2" t="inlineStr">
        <is>
          <t>No material SEO/accessibility issue found for this image row.</t>
        </is>
      </c>
      <c r="W48" s="2">
        <f>SUM(O48*40,Q48*30,S48*20,U48*10)</f>
        <v>100</v>
      </c>
      <c r="X48" s="2">
        <f>SUM(IF(O48&lt;&gt;"NOT_CHECKED",40,0),IF(Q48&lt;&gt;"NOT_CHECKED",30,0),IF(S48&lt;&gt;"NOT_CHECKED",20,0),IF(U48&lt;&gt;"NOT_CHECKED",10,0))</f>
        <v>100</v>
      </c>
      <c r="Y48" s="2">
        <f>IF(X48=100,1,0)</f>
        <v>1</v>
      </c>
      <c r="Z48" s="2" t="inlineStr"/>
      <c r="AA48" s="2" t="inlineStr">
        <is>
          <t>source_snapshot/images + contact_sheet_038</t>
        </is>
      </c>
    </row>
    <row r="49" ht="60" customHeight="1">
      <c r="A49" s="2" t="inlineStr">
        <is>
          <t>jeminise.com+custom-american-football-on-usa-flag-background-comforter-703a7c0d82-703a7c0d82|media:47540295106759|pos:4|url:c8ac1979d3bf</t>
        </is>
      </c>
      <c r="B49" s="2" t="inlineStr">
        <is>
          <t>20260909_154500</t>
        </is>
      </c>
      <c r="C49" s="2" t="n">
        <v>38</v>
      </c>
      <c r="D49" s="2" t="inlineStr">
        <is>
          <t>jeminise.com+custom-american-football-on-usa-flag-background-comforter-703a7c0d82-703a7c0d82</t>
        </is>
      </c>
      <c r="E49" s="2" t="inlineStr">
        <is>
          <t>8834767421639</t>
        </is>
      </c>
      <c r="F49" s="2" t="inlineStr">
        <is>
          <t>47540295106759</t>
        </is>
      </c>
      <c r="G49" s="2" t="n">
        <v>4</v>
      </c>
      <c r="H49" s="2" t="inlineStr">
        <is>
          <t>GALLERY</t>
        </is>
      </c>
      <c r="I49" s="2" t="inlineStr">
        <is>
          <t>https://cdn.shopify.com/s/files/1/0792/5098/1063/files/c05fa3057772437a9c016de35e8829c295fa0f9aa5ab3e4cef2ef36b835bcecb.jpg?v=1785101770</t>
        </is>
      </c>
      <c r="J49" s="2" t="inlineStr">
        <is>
          <t>HTTP_200_DOWNLOADED</t>
        </is>
      </c>
      <c r="K49" s="2" t="b">
        <v>1</v>
      </c>
      <c r="L49" s="2" t="inlineStr">
        <is>
          <t>Product gallery mockup/close-up reviewed visually against r5 observation and proposed alt.</t>
        </is>
      </c>
      <c r="M49" s="2" t="inlineStr">
        <is>
          <t>Close bedroom view of USA flag football comforter with soft, lightweight, durable and breathable icons.</t>
        </is>
      </c>
      <c r="N49" s="2" t="inlineStr">
        <is>
          <t>USA flag football comforter feature icons</t>
        </is>
      </c>
      <c r="O49" s="2" t="n">
        <v>1</v>
      </c>
      <c r="P49" s="2" t="inlineStr">
        <is>
          <t>Image was opened directly at readable resolution and motif/type matched product evidence.</t>
        </is>
      </c>
      <c r="Q49" s="2" t="n">
        <v>1</v>
      </c>
      <c r="R49" s="2" t="inlineStr">
        <is>
          <t>Alt/observation matches the visible asset type and motif after direct visual review.</t>
        </is>
      </c>
      <c r="S49" s="2" t="n">
        <v>1</v>
      </c>
      <c r="T49" s="2" t="inlineStr">
        <is>
          <t>Image is commercially useful for buyer verification of mockup/detail/size/material.</t>
        </is>
      </c>
      <c r="U49" s="2" t="n">
        <v>1</v>
      </c>
      <c r="V49" s="2" t="inlineStr">
        <is>
          <t>No material SEO/accessibility issue found for this image row.</t>
        </is>
      </c>
      <c r="W49" s="2">
        <f>SUM(O49*40,Q49*30,S49*20,U49*10)</f>
        <v>100</v>
      </c>
      <c r="X49" s="2">
        <f>SUM(IF(O49&lt;&gt;"NOT_CHECKED",40,0),IF(Q49&lt;&gt;"NOT_CHECKED",30,0),IF(S49&lt;&gt;"NOT_CHECKED",20,0),IF(U49&lt;&gt;"NOT_CHECKED",10,0))</f>
        <v>100</v>
      </c>
      <c r="Y49" s="2">
        <f>IF(X49=100,1,0)</f>
        <v>1</v>
      </c>
      <c r="Z49" s="2" t="inlineStr"/>
      <c r="AA49" s="2" t="inlineStr">
        <is>
          <t>source_snapshot/images + contact_sheet_038</t>
        </is>
      </c>
    </row>
    <row r="50" ht="60" customHeight="1">
      <c r="A50" s="2" t="inlineStr">
        <is>
          <t>jeminise.com+custom-american-football-on-usa-flag-background-comforter-703a7c0d82-703a7c0d82|media:47540295139527|pos:5|url:b1ef8cca040d</t>
        </is>
      </c>
      <c r="B50" s="2" t="inlineStr">
        <is>
          <t>20260909_154500</t>
        </is>
      </c>
      <c r="C50" s="2" t="n">
        <v>38</v>
      </c>
      <c r="D50" s="2" t="inlineStr">
        <is>
          <t>jeminise.com+custom-american-football-on-usa-flag-background-comforter-703a7c0d82-703a7c0d82</t>
        </is>
      </c>
      <c r="E50" s="2" t="inlineStr">
        <is>
          <t>8834767421639</t>
        </is>
      </c>
      <c r="F50" s="2" t="inlineStr">
        <is>
          <t>47540295139527</t>
        </is>
      </c>
      <c r="G50" s="2" t="n">
        <v>5</v>
      </c>
      <c r="H50" s="2" t="inlineStr">
        <is>
          <t>GALLERY</t>
        </is>
      </c>
      <c r="I50" s="2" t="inlineStr">
        <is>
          <t>https://cdn.shopify.com/s/files/1/0792/5098/1063/files/7c006bddc94d4763c71c8376307e195c1bbce73b8c802ec73ac5a8cef1291262_e42da11c-22a6-4e3d-bb70-996edab6cf62.jpg?v=1785101771</t>
        </is>
      </c>
      <c r="J50" s="2" t="inlineStr">
        <is>
          <t>HTTP_200_DOWNLOADED</t>
        </is>
      </c>
      <c r="K50" s="2" t="b">
        <v>1</v>
      </c>
      <c r="L50" s="2" t="inlineStr">
        <is>
          <t>Product gallery mockup/close-up reviewed visually against r5 observation and proposed alt.</t>
        </is>
      </c>
      <c r="M50" s="2" t="inlineStr">
        <is>
          <t>Stress-free easy care panel listing wrinkle-free, stain-proof, anti-pilling and wash-fade notes.</t>
        </is>
      </c>
      <c r="N50" s="2" t="inlineStr">
        <is>
          <t>USA flag football comforter easy care panel</t>
        </is>
      </c>
      <c r="O50" s="2" t="n">
        <v>1</v>
      </c>
      <c r="P50" s="2" t="inlineStr">
        <is>
          <t>Image was opened directly at readable resolution and motif/type matched product evidence.</t>
        </is>
      </c>
      <c r="Q50" s="2" t="n">
        <v>1</v>
      </c>
      <c r="R50" s="2" t="inlineStr">
        <is>
          <t>Alt/observation matches the visible asset type and motif after direct visual review.</t>
        </is>
      </c>
      <c r="S50" s="2" t="n">
        <v>1</v>
      </c>
      <c r="T50" s="2" t="inlineStr">
        <is>
          <t>Image is commercially useful for buyer verification of mockup/detail/size/material.</t>
        </is>
      </c>
      <c r="U50" s="2" t="n">
        <v>1</v>
      </c>
      <c r="V50" s="2" t="inlineStr">
        <is>
          <t>No material SEO/accessibility issue found for this image row.</t>
        </is>
      </c>
      <c r="W50" s="2">
        <f>SUM(O50*40,Q50*30,S50*20,U50*10)</f>
        <v>100</v>
      </c>
      <c r="X50" s="2">
        <f>SUM(IF(O50&lt;&gt;"NOT_CHECKED",40,0),IF(Q50&lt;&gt;"NOT_CHECKED",30,0),IF(S50&lt;&gt;"NOT_CHECKED",20,0),IF(U50&lt;&gt;"NOT_CHECKED",10,0))</f>
        <v>100</v>
      </c>
      <c r="Y50" s="2">
        <f>IF(X50=100,1,0)</f>
        <v>1</v>
      </c>
      <c r="Z50" s="2" t="inlineStr"/>
      <c r="AA50" s="2" t="inlineStr">
        <is>
          <t>source_snapshot/images + contact_sheet_038</t>
        </is>
      </c>
    </row>
    <row r="51" ht="60" customHeight="1">
      <c r="A51" s="2" t="inlineStr">
        <is>
          <t>jeminise.com+custom-american-football-on-usa-flag-background-comforter-703a7c0d82-703a7c0d82|media:47540295172295|pos:6|url:87553a9f2b00</t>
        </is>
      </c>
      <c r="B51" s="2" t="inlineStr">
        <is>
          <t>20260909_154500</t>
        </is>
      </c>
      <c r="C51" s="2" t="n">
        <v>38</v>
      </c>
      <c r="D51" s="2" t="inlineStr">
        <is>
          <t>jeminise.com+custom-american-football-on-usa-flag-background-comforter-703a7c0d82-703a7c0d82</t>
        </is>
      </c>
      <c r="E51" s="2" t="inlineStr">
        <is>
          <t>8834767421639</t>
        </is>
      </c>
      <c r="F51" s="2" t="inlineStr">
        <is>
          <t>47540295172295</t>
        </is>
      </c>
      <c r="G51" s="2" t="n">
        <v>6</v>
      </c>
      <c r="H51" s="2" t="inlineStr">
        <is>
          <t>GALLERY</t>
        </is>
      </c>
      <c r="I51" s="2" t="inlineStr">
        <is>
          <t>https://cdn.shopify.com/s/files/1/0792/5098/1063/files/e5cad84edb4d7bf77c48fd7c8e52eb3b73f04eba8bf177671fd8a059c59422e8_83f80854-ef3b-498b-9687-6e0c3210b351.jpg?v=1785101770</t>
        </is>
      </c>
      <c r="J51" s="2" t="inlineStr">
        <is>
          <t>HTTP_200_DOWNLOADED</t>
        </is>
      </c>
      <c r="K51" s="2" t="b">
        <v>1</v>
      </c>
      <c r="L51" s="2" t="inlineStr">
        <is>
          <t>Size chart / dimension guide; not a lifestyle product mockup but valid description asset.</t>
        </is>
      </c>
      <c r="M51" s="2" t="inlineStr">
        <is>
          <t>Size dimension panel showing Twin, Full, Queen and King bedding dimensions.</t>
        </is>
      </c>
      <c r="N51" s="2" t="inlineStr">
        <is>
          <t>USA flag football comforter size chart</t>
        </is>
      </c>
      <c r="O51" s="2" t="n">
        <v>1</v>
      </c>
      <c r="P51" s="2" t="inlineStr">
        <is>
          <t>Image was opened directly at readable resolution and motif/type matched product evidence.</t>
        </is>
      </c>
      <c r="Q51" s="2" t="n">
        <v>1</v>
      </c>
      <c r="R51" s="2" t="inlineStr">
        <is>
          <t>Alt/observation matches the visible asset type and motif after direct visual review.</t>
        </is>
      </c>
      <c r="S51" s="2" t="n">
        <v>1</v>
      </c>
      <c r="T51" s="2" t="inlineStr">
        <is>
          <t>Image is commercially useful for buyer verification of mockup/detail/size/material.</t>
        </is>
      </c>
      <c r="U51" s="2" t="n">
        <v>1</v>
      </c>
      <c r="V51" s="2" t="inlineStr">
        <is>
          <t>No material SEO/accessibility issue found for this image row.</t>
        </is>
      </c>
      <c r="W51" s="2">
        <f>SUM(O51*40,Q51*30,S51*20,U51*10)</f>
        <v>100</v>
      </c>
      <c r="X51" s="2">
        <f>SUM(IF(O51&lt;&gt;"NOT_CHECKED",40,0),IF(Q51&lt;&gt;"NOT_CHECKED",30,0),IF(S51&lt;&gt;"NOT_CHECKED",20,0),IF(U51&lt;&gt;"NOT_CHECKED",10,0))</f>
        <v>100</v>
      </c>
      <c r="Y51" s="2">
        <f>IF(X51=100,1,0)</f>
        <v>1</v>
      </c>
      <c r="Z51" s="2" t="inlineStr"/>
      <c r="AA51" s="2" t="inlineStr">
        <is>
          <t>source_snapshot/images + contact_sheet_038</t>
        </is>
      </c>
    </row>
    <row r="52" ht="60" customHeight="1">
      <c r="A52" s="2" t="inlineStr">
        <is>
          <t>jeminise.com+custom-american-football-with-paint-splash-background-vintage-comforter-da0e1d5bf1-da0e1d5bf1|media:47540326236359|pos:1|url:6a803b3ac352</t>
        </is>
      </c>
      <c r="B52" s="2" t="inlineStr">
        <is>
          <t>20260909_154500</t>
        </is>
      </c>
      <c r="C52" s="2" t="n">
        <v>39</v>
      </c>
      <c r="D52" s="2" t="inlineStr">
        <is>
          <t>jeminise.com+custom-american-football-with-paint-splash-background-vintage-comforter-da0e1d5bf1-da0e1d5bf1</t>
        </is>
      </c>
      <c r="E52" s="2" t="inlineStr">
        <is>
          <t>8834773319879</t>
        </is>
      </c>
      <c r="F52" s="2" t="inlineStr">
        <is>
          <t>47540326236359</t>
        </is>
      </c>
      <c r="G52" s="2" t="n">
        <v>1</v>
      </c>
      <c r="H52" s="2" t="inlineStr">
        <is>
          <t>GALLERY</t>
        </is>
      </c>
      <c r="I52" s="2" t="inlineStr">
        <is>
          <t>https://cdn.shopify.com/s/files/1/0792/5098/1063/files/f9e8536c20f2dc19107c6fd69a43535c4bb88bac4323fd1ee6ac49a2601099d3.jpg?v=1785102312</t>
        </is>
      </c>
      <c r="J52" s="2" t="inlineStr">
        <is>
          <t>HTTP_200_DOWNLOADED</t>
        </is>
      </c>
      <c r="K52" s="2" t="b">
        <v>1</v>
      </c>
      <c r="L52" s="2" t="inlineStr">
        <is>
          <t>Main comforter mockup with football and distinct background/art treatment; supports product-specific football intent.</t>
        </is>
      </c>
      <c r="M52" s="2" t="inlineStr">
        <is>
          <t>Paint splash football comforter bed mockup with Mark sample name, number 15 and brown-gold football artwork.</t>
        </is>
      </c>
      <c r="N52" s="2" t="inlineStr">
        <is>
          <t>Personalized paint splash football comforter</t>
        </is>
      </c>
      <c r="O52" s="2" t="n">
        <v>1</v>
      </c>
      <c r="P52" s="2" t="inlineStr">
        <is>
          <t>Image was opened directly at readable resolution and motif/type matched product evidence.</t>
        </is>
      </c>
      <c r="Q52" s="2" t="n">
        <v>1</v>
      </c>
      <c r="R52" s="2" t="inlineStr">
        <is>
          <t>Alt/observation matches the visible asset type and motif after direct visual review.</t>
        </is>
      </c>
      <c r="S52" s="2" t="n">
        <v>1</v>
      </c>
      <c r="T52" s="2" t="inlineStr">
        <is>
          <t>Image is commercially useful for buyer verification of mockup/detail/size/material.</t>
        </is>
      </c>
      <c r="U52" s="2" t="n">
        <v>1</v>
      </c>
      <c r="V52" s="2" t="inlineStr">
        <is>
          <t>No material SEO/accessibility issue found for this image row.</t>
        </is>
      </c>
      <c r="W52" s="2">
        <f>SUM(O52*40,Q52*30,S52*20,U52*10)</f>
        <v>100</v>
      </c>
      <c r="X52" s="2">
        <f>SUM(IF(O52&lt;&gt;"NOT_CHECKED",40,0),IF(Q52&lt;&gt;"NOT_CHECKED",30,0),IF(S52&lt;&gt;"NOT_CHECKED",20,0),IF(U52&lt;&gt;"NOT_CHECKED",10,0))</f>
        <v>100</v>
      </c>
      <c r="Y52" s="2">
        <f>IF(X52=100,1,0)</f>
        <v>1</v>
      </c>
      <c r="Z52" s="2" t="inlineStr"/>
      <c r="AA52" s="2" t="inlineStr">
        <is>
          <t>source_snapshot/images + contact_sheet_039</t>
        </is>
      </c>
    </row>
    <row r="53" ht="60" customHeight="1">
      <c r="A53" s="2" t="inlineStr">
        <is>
          <t>jeminise.com+custom-american-football-with-paint-splash-background-vintage-comforter-da0e1d5bf1-da0e1d5bf1|media:47540326269127|pos:2|url:76663874f547</t>
        </is>
      </c>
      <c r="B53" s="2" t="inlineStr">
        <is>
          <t>20260909_154500</t>
        </is>
      </c>
      <c r="C53" s="2" t="n">
        <v>39</v>
      </c>
      <c r="D53" s="2" t="inlineStr">
        <is>
          <t>jeminise.com+custom-american-football-with-paint-splash-background-vintage-comforter-da0e1d5bf1-da0e1d5bf1</t>
        </is>
      </c>
      <c r="E53" s="2" t="inlineStr">
        <is>
          <t>8834773319879</t>
        </is>
      </c>
      <c r="F53" s="2" t="inlineStr">
        <is>
          <t>47540326269127</t>
        </is>
      </c>
      <c r="G53" s="2" t="n">
        <v>2</v>
      </c>
      <c r="H53" s="2" t="inlineStr">
        <is>
          <t>GALLERY</t>
        </is>
      </c>
      <c r="I53" s="2" t="inlineStr">
        <is>
          <t>https://cdn.shopify.com/s/files/1/0792/5098/1063/files/928eb50ae3f1bc7e4d40765cc2350f1fd1aba1a4ed6c886ee957ba75876d92ff.jpg?v=1785102312</t>
        </is>
      </c>
      <c r="J53" s="2" t="inlineStr">
        <is>
          <t>HTTP_200_DOWNLOADED</t>
        </is>
      </c>
      <c r="K53" s="2" t="b">
        <v>1</v>
      </c>
      <c r="L53" s="2" t="inlineStr">
        <is>
          <t>Matching pillowcase/sham view; must be distinguished from main quilt/comforter view.</t>
        </is>
      </c>
      <c r="M53" s="2" t="inlineStr">
        <is>
          <t>Angled bedroom mockup showing Mark sample name, number 15 pillowcases and paint splash football artwork.</t>
        </is>
      </c>
      <c r="N53" s="2" t="inlineStr">
        <is>
          <t>Paint splash football comforter room mockup</t>
        </is>
      </c>
      <c r="O53" s="2" t="n">
        <v>1</v>
      </c>
      <c r="P53" s="2" t="inlineStr">
        <is>
          <t>Image was opened directly at readable resolution and motif/type matched product evidence.</t>
        </is>
      </c>
      <c r="Q53" s="2" t="n">
        <v>1</v>
      </c>
      <c r="R53" s="2" t="inlineStr">
        <is>
          <t>Alt/observation matches the visible asset type and motif after direct visual review.</t>
        </is>
      </c>
      <c r="S53" s="2" t="n">
        <v>1</v>
      </c>
      <c r="T53" s="2" t="inlineStr">
        <is>
          <t>Image is commercially useful for buyer verification of mockup/detail/size/material.</t>
        </is>
      </c>
      <c r="U53" s="2" t="n">
        <v>1</v>
      </c>
      <c r="V53" s="2" t="inlineStr">
        <is>
          <t>No material SEO/accessibility issue found for this image row.</t>
        </is>
      </c>
      <c r="W53" s="2">
        <f>SUM(O53*40,Q53*30,S53*20,U53*10)</f>
        <v>100</v>
      </c>
      <c r="X53" s="2">
        <f>SUM(IF(O53&lt;&gt;"NOT_CHECKED",40,0),IF(Q53&lt;&gt;"NOT_CHECKED",30,0),IF(S53&lt;&gt;"NOT_CHECKED",20,0),IF(U53&lt;&gt;"NOT_CHECKED",10,0))</f>
        <v>100</v>
      </c>
      <c r="Y53" s="2">
        <f>IF(X53=100,1,0)</f>
        <v>1</v>
      </c>
      <c r="Z53" s="2" t="inlineStr"/>
      <c r="AA53" s="2" t="inlineStr">
        <is>
          <t>source_snapshot/images + contact_sheet_039</t>
        </is>
      </c>
    </row>
    <row r="54" ht="60" customHeight="1">
      <c r="A54" s="2" t="inlineStr">
        <is>
          <t>jeminise.com+custom-american-football-with-paint-splash-background-vintage-comforter-da0e1d5bf1-da0e1d5bf1|media:47540326301895|pos:3|url:aa00fa8a25df</t>
        </is>
      </c>
      <c r="B54" s="2" t="inlineStr">
        <is>
          <t>20260909_154500</t>
        </is>
      </c>
      <c r="C54" s="2" t="n">
        <v>39</v>
      </c>
      <c r="D54" s="2" t="inlineStr">
        <is>
          <t>jeminise.com+custom-american-football-with-paint-splash-background-vintage-comforter-da0e1d5bf1-da0e1d5bf1</t>
        </is>
      </c>
      <c r="E54" s="2" t="inlineStr">
        <is>
          <t>8834773319879</t>
        </is>
      </c>
      <c r="F54" s="2" t="inlineStr">
        <is>
          <t>47540326301895</t>
        </is>
      </c>
      <c r="G54" s="2" t="n">
        <v>3</v>
      </c>
      <c r="H54" s="2" t="inlineStr">
        <is>
          <t>GALLERY</t>
        </is>
      </c>
      <c r="I54" s="2" t="inlineStr">
        <is>
          <t>https://cdn.shopify.com/s/files/1/0792/5098/1063/files/16f7293cbefa5743a35b2e6316a5a114e5c052d08151e367dafd26aa5e2e542b_1acfa0ab-cba8-45fa-a4cf-f1fd84ab628b.jpg?v=1785102312</t>
        </is>
      </c>
      <c r="J54" s="2" t="inlineStr">
        <is>
          <t>HTTP_200_DOWNLOADED</t>
        </is>
      </c>
      <c r="K54" s="2" t="b">
        <v>1</v>
      </c>
      <c r="L54" s="2" t="inlineStr">
        <is>
          <t>Product gallery mockup/close-up reviewed visually against r5 observation and proposed alt.</t>
        </is>
      </c>
      <c r="M54" s="2" t="inlineStr">
        <is>
          <t>Product type comparison panel showing duvet cover set and comforter set options for all-season use.</t>
        </is>
      </c>
      <c r="N54" s="2" t="inlineStr">
        <is>
          <t>Paint splash football bedding type options</t>
        </is>
      </c>
      <c r="O54" s="2" t="n">
        <v>1</v>
      </c>
      <c r="P54" s="2" t="inlineStr">
        <is>
          <t>Image was opened directly at readable resolution and motif/type matched product evidence.</t>
        </is>
      </c>
      <c r="Q54" s="2" t="n">
        <v>1</v>
      </c>
      <c r="R54" s="2" t="inlineStr">
        <is>
          <t>Alt/observation matches the visible asset type and motif after direct visual review.</t>
        </is>
      </c>
      <c r="S54" s="2" t="n">
        <v>1</v>
      </c>
      <c r="T54" s="2" t="inlineStr">
        <is>
          <t>Image is commercially useful for buyer verification of mockup/detail/size/material.</t>
        </is>
      </c>
      <c r="U54" s="2" t="n">
        <v>1</v>
      </c>
      <c r="V54" s="2" t="inlineStr">
        <is>
          <t>No material SEO/accessibility issue found for this image row.</t>
        </is>
      </c>
      <c r="W54" s="2">
        <f>SUM(O54*40,Q54*30,S54*20,U54*10)</f>
        <v>100</v>
      </c>
      <c r="X54" s="2">
        <f>SUM(IF(O54&lt;&gt;"NOT_CHECKED",40,0),IF(Q54&lt;&gt;"NOT_CHECKED",30,0),IF(S54&lt;&gt;"NOT_CHECKED",20,0),IF(U54&lt;&gt;"NOT_CHECKED",10,0))</f>
        <v>100</v>
      </c>
      <c r="Y54" s="2">
        <f>IF(X54=100,1,0)</f>
        <v>1</v>
      </c>
      <c r="Z54" s="2" t="inlineStr"/>
      <c r="AA54" s="2" t="inlineStr">
        <is>
          <t>source_snapshot/images + contact_sheet_039</t>
        </is>
      </c>
    </row>
    <row r="55" ht="60" customHeight="1">
      <c r="A55" s="2" t="inlineStr">
        <is>
          <t>jeminise.com+custom-american-football-with-paint-splash-background-vintage-comforter-da0e1d5bf1-da0e1d5bf1|media:47540326334663|pos:4|url:f605510097a6</t>
        </is>
      </c>
      <c r="B55" s="2" t="inlineStr">
        <is>
          <t>20260909_154500</t>
        </is>
      </c>
      <c r="C55" s="2" t="n">
        <v>39</v>
      </c>
      <c r="D55" s="2" t="inlineStr">
        <is>
          <t>jeminise.com+custom-american-football-with-paint-splash-background-vintage-comforter-da0e1d5bf1-da0e1d5bf1</t>
        </is>
      </c>
      <c r="E55" s="2" t="inlineStr">
        <is>
          <t>8834773319879</t>
        </is>
      </c>
      <c r="F55" s="2" t="inlineStr">
        <is>
          <t>47540326334663</t>
        </is>
      </c>
      <c r="G55" s="2" t="n">
        <v>4</v>
      </c>
      <c r="H55" s="2" t="inlineStr">
        <is>
          <t>GALLERY</t>
        </is>
      </c>
      <c r="I55" s="2" t="inlineStr">
        <is>
          <t>https://cdn.shopify.com/s/files/1/0792/5098/1063/files/fcef7f349baccd1d4b9d05508c169228825a3e4845ac14a8f93db8f652db7186.jpg?v=1785102312</t>
        </is>
      </c>
      <c r="J55" s="2" t="inlineStr">
        <is>
          <t>HTTP_200_DOWNLOADED</t>
        </is>
      </c>
      <c r="K55" s="2" t="b">
        <v>1</v>
      </c>
      <c r="L55" s="2" t="inlineStr">
        <is>
          <t>Product gallery mockup/close-up reviewed visually against r5 observation and proposed alt.</t>
        </is>
      </c>
      <c r="M55" s="2" t="inlineStr">
        <is>
          <t>Close bedroom view of paint splash football comforter with soft, lightweight, durable and breathable icons.</t>
        </is>
      </c>
      <c r="N55" s="2" t="inlineStr">
        <is>
          <t>Paint splash football comforter feature icons</t>
        </is>
      </c>
      <c r="O55" s="2" t="n">
        <v>1</v>
      </c>
      <c r="P55" s="2" t="inlineStr">
        <is>
          <t>Image was opened directly at readable resolution and motif/type matched product evidence.</t>
        </is>
      </c>
      <c r="Q55" s="2" t="n">
        <v>1</v>
      </c>
      <c r="R55" s="2" t="inlineStr">
        <is>
          <t>Alt/observation matches the visible asset type and motif after direct visual review.</t>
        </is>
      </c>
      <c r="S55" s="2" t="n">
        <v>1</v>
      </c>
      <c r="T55" s="2" t="inlineStr">
        <is>
          <t>Image is commercially useful for buyer verification of mockup/detail/size/material.</t>
        </is>
      </c>
      <c r="U55" s="2" t="n">
        <v>1</v>
      </c>
      <c r="V55" s="2" t="inlineStr">
        <is>
          <t>No material SEO/accessibility issue found for this image row.</t>
        </is>
      </c>
      <c r="W55" s="2">
        <f>SUM(O55*40,Q55*30,S55*20,U55*10)</f>
        <v>100</v>
      </c>
      <c r="X55" s="2">
        <f>SUM(IF(O55&lt;&gt;"NOT_CHECKED",40,0),IF(Q55&lt;&gt;"NOT_CHECKED",30,0),IF(S55&lt;&gt;"NOT_CHECKED",20,0),IF(U55&lt;&gt;"NOT_CHECKED",10,0))</f>
        <v>100</v>
      </c>
      <c r="Y55" s="2">
        <f>IF(X55=100,1,0)</f>
        <v>1</v>
      </c>
      <c r="Z55" s="2" t="inlineStr"/>
      <c r="AA55" s="2" t="inlineStr">
        <is>
          <t>source_snapshot/images + contact_sheet_039</t>
        </is>
      </c>
    </row>
    <row r="56" ht="60" customHeight="1">
      <c r="A56" s="2" t="inlineStr">
        <is>
          <t>jeminise.com+custom-american-football-with-paint-splash-background-vintage-comforter-da0e1d5bf1-da0e1d5bf1|media:47540326367431|pos:5|url:3b321585cd26</t>
        </is>
      </c>
      <c r="B56" s="2" t="inlineStr">
        <is>
          <t>20260909_154500</t>
        </is>
      </c>
      <c r="C56" s="2" t="n">
        <v>39</v>
      </c>
      <c r="D56" s="2" t="inlineStr">
        <is>
          <t>jeminise.com+custom-american-football-with-paint-splash-background-vintage-comforter-da0e1d5bf1-da0e1d5bf1</t>
        </is>
      </c>
      <c r="E56" s="2" t="inlineStr">
        <is>
          <t>8834773319879</t>
        </is>
      </c>
      <c r="F56" s="2" t="inlineStr">
        <is>
          <t>47540326367431</t>
        </is>
      </c>
      <c r="G56" s="2" t="n">
        <v>5</v>
      </c>
      <c r="H56" s="2" t="inlineStr">
        <is>
          <t>GALLERY</t>
        </is>
      </c>
      <c r="I56" s="2" t="inlineStr">
        <is>
          <t>https://cdn.shopify.com/s/files/1/0792/5098/1063/files/7c006bddc94d4763c71c8376307e195c1bbce73b8c802ec73ac5a8cef1291262_e57e2d4f-2a74-4a7f-9a82-b7c808f9b0cc.jpg?v=1785102312</t>
        </is>
      </c>
      <c r="J56" s="2" t="inlineStr">
        <is>
          <t>HTTP_200_DOWNLOADED</t>
        </is>
      </c>
      <c r="K56" s="2" t="b">
        <v>1</v>
      </c>
      <c r="L56" s="2" t="inlineStr">
        <is>
          <t>Product gallery mockup/close-up reviewed visually against r5 observation and proposed alt.</t>
        </is>
      </c>
      <c r="M56" s="2" t="inlineStr">
        <is>
          <t>Stress-free easy care panel listing wrinkle-free, stain-proof, anti-pilling and wash-fade notes.</t>
        </is>
      </c>
      <c r="N56" s="2" t="inlineStr">
        <is>
          <t>Paint splash football easy care panel</t>
        </is>
      </c>
      <c r="O56" s="2" t="n">
        <v>1</v>
      </c>
      <c r="P56" s="2" t="inlineStr">
        <is>
          <t>Image was opened directly at readable resolution and motif/type matched product evidence.</t>
        </is>
      </c>
      <c r="Q56" s="2" t="n">
        <v>1</v>
      </c>
      <c r="R56" s="2" t="inlineStr">
        <is>
          <t>Alt/observation matches the visible asset type and motif after direct visual review.</t>
        </is>
      </c>
      <c r="S56" s="2" t="n">
        <v>1</v>
      </c>
      <c r="T56" s="2" t="inlineStr">
        <is>
          <t>Image is commercially useful for buyer verification of mockup/detail/size/material.</t>
        </is>
      </c>
      <c r="U56" s="2" t="n">
        <v>1</v>
      </c>
      <c r="V56" s="2" t="inlineStr">
        <is>
          <t>No material SEO/accessibility issue found for this image row.</t>
        </is>
      </c>
      <c r="W56" s="2">
        <f>SUM(O56*40,Q56*30,S56*20,U56*10)</f>
        <v>100</v>
      </c>
      <c r="X56" s="2">
        <f>SUM(IF(O56&lt;&gt;"NOT_CHECKED",40,0),IF(Q56&lt;&gt;"NOT_CHECKED",30,0),IF(S56&lt;&gt;"NOT_CHECKED",20,0),IF(U56&lt;&gt;"NOT_CHECKED",10,0))</f>
        <v>100</v>
      </c>
      <c r="Y56" s="2">
        <f>IF(X56=100,1,0)</f>
        <v>1</v>
      </c>
      <c r="Z56" s="2" t="inlineStr"/>
      <c r="AA56" s="2" t="inlineStr">
        <is>
          <t>source_snapshot/images + contact_sheet_039</t>
        </is>
      </c>
    </row>
    <row r="57" ht="60" customHeight="1">
      <c r="A57" s="2" t="inlineStr">
        <is>
          <t>jeminise.com+custom-american-football-with-paint-splash-background-vintage-comforter-da0e1d5bf1-da0e1d5bf1|media:47540326400199|pos:6|url:e63d79c0108b</t>
        </is>
      </c>
      <c r="B57" s="2" t="inlineStr">
        <is>
          <t>20260909_154500</t>
        </is>
      </c>
      <c r="C57" s="2" t="n">
        <v>39</v>
      </c>
      <c r="D57" s="2" t="inlineStr">
        <is>
          <t>jeminise.com+custom-american-football-with-paint-splash-background-vintage-comforter-da0e1d5bf1-da0e1d5bf1</t>
        </is>
      </c>
      <c r="E57" s="2" t="inlineStr">
        <is>
          <t>8834773319879</t>
        </is>
      </c>
      <c r="F57" s="2" t="inlineStr">
        <is>
          <t>47540326400199</t>
        </is>
      </c>
      <c r="G57" s="2" t="n">
        <v>6</v>
      </c>
      <c r="H57" s="2" t="inlineStr">
        <is>
          <t>GALLERY</t>
        </is>
      </c>
      <c r="I57" s="2" t="inlineStr">
        <is>
          <t>https://cdn.shopify.com/s/files/1/0792/5098/1063/files/e5cad84edb4d7bf77c48fd7c8e52eb3b73f04eba8bf177671fd8a059c59422e8_e4232455-7802-4105-bf12-f40717779408.jpg?v=1785102312</t>
        </is>
      </c>
      <c r="J57" s="2" t="inlineStr">
        <is>
          <t>HTTP_200_DOWNLOADED</t>
        </is>
      </c>
      <c r="K57" s="2" t="b">
        <v>1</v>
      </c>
      <c r="L57" s="2" t="inlineStr">
        <is>
          <t>Size chart / dimension guide; not a lifestyle product mockup but valid description asset.</t>
        </is>
      </c>
      <c r="M57" s="2" t="inlineStr">
        <is>
          <t>Size dimension panel showing Twin, Full, Queen and King bedding dimensions.</t>
        </is>
      </c>
      <c r="N57" s="2" t="inlineStr">
        <is>
          <t>Paint splash football comforter size chart</t>
        </is>
      </c>
      <c r="O57" s="2" t="n">
        <v>1</v>
      </c>
      <c r="P57" s="2" t="inlineStr">
        <is>
          <t>Image was opened directly at readable resolution and motif/type matched product evidence.</t>
        </is>
      </c>
      <c r="Q57" s="2" t="n">
        <v>1</v>
      </c>
      <c r="R57" s="2" t="inlineStr">
        <is>
          <t>Alt/observation matches the visible asset type and motif after direct visual review.</t>
        </is>
      </c>
      <c r="S57" s="2" t="n">
        <v>1</v>
      </c>
      <c r="T57" s="2" t="inlineStr">
        <is>
          <t>Image is commercially useful for buyer verification of mockup/detail/size/material.</t>
        </is>
      </c>
      <c r="U57" s="2" t="n">
        <v>1</v>
      </c>
      <c r="V57" s="2" t="inlineStr">
        <is>
          <t>No material SEO/accessibility issue found for this image row.</t>
        </is>
      </c>
      <c r="W57" s="2">
        <f>SUM(O57*40,Q57*30,S57*20,U57*10)</f>
        <v>100</v>
      </c>
      <c r="X57" s="2">
        <f>SUM(IF(O57&lt;&gt;"NOT_CHECKED",40,0),IF(Q57&lt;&gt;"NOT_CHECKED",30,0),IF(S57&lt;&gt;"NOT_CHECKED",20,0),IF(U57&lt;&gt;"NOT_CHECKED",10,0))</f>
        <v>100</v>
      </c>
      <c r="Y57" s="2">
        <f>IF(X57=100,1,0)</f>
        <v>1</v>
      </c>
      <c r="Z57" s="2" t="inlineStr"/>
      <c r="AA57" s="2" t="inlineStr">
        <is>
          <t>source_snapshot/images + contact_sheet_039</t>
        </is>
      </c>
    </row>
    <row r="58" ht="60" customHeight="1">
      <c r="A58" s="2" t="inlineStr">
        <is>
          <t>jeminise.com+custom-american-football-with-patriotic-flag-comforter-4a3a1ed3c9-4a3a1ed3c9|media:47540300546247|pos:1|url:b53a1b47875d</t>
        </is>
      </c>
      <c r="B58" s="2" t="inlineStr">
        <is>
          <t>20260909_154500</t>
        </is>
      </c>
      <c r="C58" s="2" t="n">
        <v>40</v>
      </c>
      <c r="D58" s="2" t="inlineStr">
        <is>
          <t>jeminise.com+custom-american-football-with-patriotic-flag-comforter-4a3a1ed3c9-4a3a1ed3c9</t>
        </is>
      </c>
      <c r="E58" s="2" t="inlineStr">
        <is>
          <t>8834768011463</t>
        </is>
      </c>
      <c r="F58" s="2" t="inlineStr">
        <is>
          <t>47540300546247</t>
        </is>
      </c>
      <c r="G58" s="2" t="n">
        <v>1</v>
      </c>
      <c r="H58" s="2" t="inlineStr">
        <is>
          <t>GALLERY</t>
        </is>
      </c>
      <c r="I58" s="2" t="inlineStr">
        <is>
          <t>https://cdn.shopify.com/s/files/1/0792/5098/1063/files/a6aedfb7f9b81449b401a91a0409992efbba09d035e85d8e5cc7da9802dc0589.jpg?v=1785101840</t>
        </is>
      </c>
      <c r="J58" s="2" t="inlineStr">
        <is>
          <t>HTTP_200_DOWNLOADED</t>
        </is>
      </c>
      <c r="K58" s="2" t="b">
        <v>1</v>
      </c>
      <c r="L58" s="2" t="inlineStr">
        <is>
          <t>Main comforter mockup with football and distinct background/art treatment; supports product-specific football intent.</t>
        </is>
      </c>
      <c r="M58" s="2" t="inlineStr">
        <is>
          <t>Patriotic football comforter bed mockup with Matthew sample name, number 08 and football printed with American flag artwork.</t>
        </is>
      </c>
      <c r="N58" s="2" t="inlineStr">
        <is>
          <t>Personalized patriotic football comforter</t>
        </is>
      </c>
      <c r="O58" s="2" t="n">
        <v>1</v>
      </c>
      <c r="P58" s="2" t="inlineStr">
        <is>
          <t>Image was opened directly at readable resolution and motif/type matched product evidence.</t>
        </is>
      </c>
      <c r="Q58" s="2" t="n">
        <v>1</v>
      </c>
      <c r="R58" s="2" t="inlineStr">
        <is>
          <t>Alt/observation matches the visible asset type and motif after direct visual review.</t>
        </is>
      </c>
      <c r="S58" s="2" t="n">
        <v>1</v>
      </c>
      <c r="T58" s="2" t="inlineStr">
        <is>
          <t>Image is commercially useful for buyer verification of mockup/detail/size/material.</t>
        </is>
      </c>
      <c r="U58" s="2" t="n">
        <v>1</v>
      </c>
      <c r="V58" s="2" t="inlineStr">
        <is>
          <t>No material SEO/accessibility issue found for this image row.</t>
        </is>
      </c>
      <c r="W58" s="2">
        <f>SUM(O58*40,Q58*30,S58*20,U58*10)</f>
        <v>100</v>
      </c>
      <c r="X58" s="2">
        <f>SUM(IF(O58&lt;&gt;"NOT_CHECKED",40,0),IF(Q58&lt;&gt;"NOT_CHECKED",30,0),IF(S58&lt;&gt;"NOT_CHECKED",20,0),IF(U58&lt;&gt;"NOT_CHECKED",10,0))</f>
        <v>100</v>
      </c>
      <c r="Y58" s="2">
        <f>IF(X58=100,1,0)</f>
        <v>1</v>
      </c>
      <c r="Z58" s="2" t="inlineStr"/>
      <c r="AA58" s="2" t="inlineStr">
        <is>
          <t>source_snapshot/images + contact_sheet_040</t>
        </is>
      </c>
    </row>
    <row r="59" ht="60" customHeight="1">
      <c r="A59" s="2" t="inlineStr">
        <is>
          <t>jeminise.com+custom-american-football-with-patriotic-flag-comforter-4a3a1ed3c9-4a3a1ed3c9|media:47540300579015|pos:2|url:f568f8262475</t>
        </is>
      </c>
      <c r="B59" s="2" t="inlineStr">
        <is>
          <t>20260909_154500</t>
        </is>
      </c>
      <c r="C59" s="2" t="n">
        <v>40</v>
      </c>
      <c r="D59" s="2" t="inlineStr">
        <is>
          <t>jeminise.com+custom-american-football-with-patriotic-flag-comforter-4a3a1ed3c9-4a3a1ed3c9</t>
        </is>
      </c>
      <c r="E59" s="2" t="inlineStr">
        <is>
          <t>8834768011463</t>
        </is>
      </c>
      <c r="F59" s="2" t="inlineStr">
        <is>
          <t>47540300579015</t>
        </is>
      </c>
      <c r="G59" s="2" t="n">
        <v>2</v>
      </c>
      <c r="H59" s="2" t="inlineStr">
        <is>
          <t>GALLERY</t>
        </is>
      </c>
      <c r="I59" s="2" t="inlineStr">
        <is>
          <t>https://cdn.shopify.com/s/files/1/0792/5098/1063/files/c68aa5c462e7e6a06d4fab3fb3a9399d56e5454756be9390c9f0a2573c8bb7ae.jpg?v=1785101840</t>
        </is>
      </c>
      <c r="J59" s="2" t="inlineStr">
        <is>
          <t>HTTP_200_DOWNLOADED</t>
        </is>
      </c>
      <c r="K59" s="2" t="b">
        <v>1</v>
      </c>
      <c r="L59" s="2" t="inlineStr">
        <is>
          <t>Matching pillowcase/sham view; must be distinguished from main quilt/comforter view.</t>
        </is>
      </c>
      <c r="M59" s="2" t="inlineStr">
        <is>
          <t>Angled bedroom mockup showing Matthew sample name, number 08 pillowcases and patriotic football artwork.</t>
        </is>
      </c>
      <c r="N59" s="2" t="inlineStr">
        <is>
          <t>Patriotic football comforter room mockup</t>
        </is>
      </c>
      <c r="O59" s="2" t="n">
        <v>1</v>
      </c>
      <c r="P59" s="2" t="inlineStr">
        <is>
          <t>Image was opened directly at readable resolution and motif/type matched product evidence.</t>
        </is>
      </c>
      <c r="Q59" s="2" t="n">
        <v>1</v>
      </c>
      <c r="R59" s="2" t="inlineStr">
        <is>
          <t>Alt/observation matches the visible asset type and motif after direct visual review.</t>
        </is>
      </c>
      <c r="S59" s="2" t="n">
        <v>1</v>
      </c>
      <c r="T59" s="2" t="inlineStr">
        <is>
          <t>Image is commercially useful for buyer verification of mockup/detail/size/material.</t>
        </is>
      </c>
      <c r="U59" s="2" t="n">
        <v>1</v>
      </c>
      <c r="V59" s="2" t="inlineStr">
        <is>
          <t>No material SEO/accessibility issue found for this image row.</t>
        </is>
      </c>
      <c r="W59" s="2">
        <f>SUM(O59*40,Q59*30,S59*20,U59*10)</f>
        <v>100</v>
      </c>
      <c r="X59" s="2">
        <f>SUM(IF(O59&lt;&gt;"NOT_CHECKED",40,0),IF(Q59&lt;&gt;"NOT_CHECKED",30,0),IF(S59&lt;&gt;"NOT_CHECKED",20,0),IF(U59&lt;&gt;"NOT_CHECKED",10,0))</f>
        <v>100</v>
      </c>
      <c r="Y59" s="2">
        <f>IF(X59=100,1,0)</f>
        <v>1</v>
      </c>
      <c r="Z59" s="2" t="inlineStr"/>
      <c r="AA59" s="2" t="inlineStr">
        <is>
          <t>source_snapshot/images + contact_sheet_040</t>
        </is>
      </c>
    </row>
    <row r="60" ht="60" customHeight="1">
      <c r="A60" s="2" t="inlineStr">
        <is>
          <t>jeminise.com+custom-american-football-with-patriotic-flag-comforter-4a3a1ed3c9-4a3a1ed3c9|media:47540300611783|pos:3|url:3eb47e850613</t>
        </is>
      </c>
      <c r="B60" s="2" t="inlineStr">
        <is>
          <t>20260909_154500</t>
        </is>
      </c>
      <c r="C60" s="2" t="n">
        <v>40</v>
      </c>
      <c r="D60" s="2" t="inlineStr">
        <is>
          <t>jeminise.com+custom-american-football-with-patriotic-flag-comforter-4a3a1ed3c9-4a3a1ed3c9</t>
        </is>
      </c>
      <c r="E60" s="2" t="inlineStr">
        <is>
          <t>8834768011463</t>
        </is>
      </c>
      <c r="F60" s="2" t="inlineStr">
        <is>
          <t>47540300611783</t>
        </is>
      </c>
      <c r="G60" s="2" t="n">
        <v>3</v>
      </c>
      <c r="H60" s="2" t="inlineStr">
        <is>
          <t>GALLERY</t>
        </is>
      </c>
      <c r="I60" s="2" t="inlineStr">
        <is>
          <t>https://cdn.shopify.com/s/files/1/0792/5098/1063/files/16f7293cbefa5743a35b2e6316a5a114e5c052d08151e367dafd26aa5e2e542b_4cbeb11e-e4ef-4f2d-8aa3-de326b38c11b.jpg?v=1785101840</t>
        </is>
      </c>
      <c r="J60" s="2" t="inlineStr">
        <is>
          <t>HTTP_200_DOWNLOADED</t>
        </is>
      </c>
      <c r="K60" s="2" t="b">
        <v>1</v>
      </c>
      <c r="L60" s="2" t="inlineStr">
        <is>
          <t>Product gallery mockup/close-up reviewed visually against r5 observation and proposed alt.</t>
        </is>
      </c>
      <c r="M60" s="2" t="inlineStr">
        <is>
          <t>Product type comparison panel showing duvet cover set and comforter set options for all-season use.</t>
        </is>
      </c>
      <c r="N60" s="2" t="inlineStr">
        <is>
          <t>Patriotic football bedding type options</t>
        </is>
      </c>
      <c r="O60" s="2" t="n">
        <v>1</v>
      </c>
      <c r="P60" s="2" t="inlineStr">
        <is>
          <t>Image was opened directly at readable resolution and motif/type matched product evidence.</t>
        </is>
      </c>
      <c r="Q60" s="2" t="n">
        <v>1</v>
      </c>
      <c r="R60" s="2" t="inlineStr">
        <is>
          <t>Alt/observation matches the visible asset type and motif after direct visual review.</t>
        </is>
      </c>
      <c r="S60" s="2" t="n">
        <v>1</v>
      </c>
      <c r="T60" s="2" t="inlineStr">
        <is>
          <t>Image is commercially useful for buyer verification of mockup/detail/size/material.</t>
        </is>
      </c>
      <c r="U60" s="2" t="n">
        <v>1</v>
      </c>
      <c r="V60" s="2" t="inlineStr">
        <is>
          <t>No material SEO/accessibility issue found for this image row.</t>
        </is>
      </c>
      <c r="W60" s="2">
        <f>SUM(O60*40,Q60*30,S60*20,U60*10)</f>
        <v>100</v>
      </c>
      <c r="X60" s="2">
        <f>SUM(IF(O60&lt;&gt;"NOT_CHECKED",40,0),IF(Q60&lt;&gt;"NOT_CHECKED",30,0),IF(S60&lt;&gt;"NOT_CHECKED",20,0),IF(U60&lt;&gt;"NOT_CHECKED",10,0))</f>
        <v>100</v>
      </c>
      <c r="Y60" s="2">
        <f>IF(X60=100,1,0)</f>
        <v>1</v>
      </c>
      <c r="Z60" s="2" t="inlineStr"/>
      <c r="AA60" s="2" t="inlineStr">
        <is>
          <t>source_snapshot/images + contact_sheet_040</t>
        </is>
      </c>
    </row>
    <row r="61" ht="60" customHeight="1">
      <c r="A61" s="2" t="inlineStr">
        <is>
          <t>jeminise.com+custom-american-football-with-patriotic-flag-comforter-4a3a1ed3c9-4a3a1ed3c9|media:47540300644551|pos:4|url:04d3fa984388</t>
        </is>
      </c>
      <c r="B61" s="2" t="inlineStr">
        <is>
          <t>20260909_154500</t>
        </is>
      </c>
      <c r="C61" s="2" t="n">
        <v>40</v>
      </c>
      <c r="D61" s="2" t="inlineStr">
        <is>
          <t>jeminise.com+custom-american-football-with-patriotic-flag-comforter-4a3a1ed3c9-4a3a1ed3c9</t>
        </is>
      </c>
      <c r="E61" s="2" t="inlineStr">
        <is>
          <t>8834768011463</t>
        </is>
      </c>
      <c r="F61" s="2" t="inlineStr">
        <is>
          <t>47540300644551</t>
        </is>
      </c>
      <c r="G61" s="2" t="n">
        <v>4</v>
      </c>
      <c r="H61" s="2" t="inlineStr">
        <is>
          <t>GALLERY</t>
        </is>
      </c>
      <c r="I61" s="2" t="inlineStr">
        <is>
          <t>https://cdn.shopify.com/s/files/1/0792/5098/1063/files/56be7714426e11e337618ffdd9b78d22e6d77bcea91f35de4b20937187994964.jpg?v=1785101840</t>
        </is>
      </c>
      <c r="J61" s="2" t="inlineStr">
        <is>
          <t>HTTP_200_DOWNLOADED</t>
        </is>
      </c>
      <c r="K61" s="2" t="b">
        <v>1</v>
      </c>
      <c r="L61" s="2" t="inlineStr">
        <is>
          <t>Product gallery mockup/close-up reviewed visually against r5 observation and proposed alt.</t>
        </is>
      </c>
      <c r="M61" s="2" t="inlineStr">
        <is>
          <t>Close bedroom view of patriotic football comforter with soft, lightweight, durable and breathable icons.</t>
        </is>
      </c>
      <c r="N61" s="2" t="inlineStr">
        <is>
          <t>Patriotic football comforter feature icons</t>
        </is>
      </c>
      <c r="O61" s="2" t="n">
        <v>1</v>
      </c>
      <c r="P61" s="2" t="inlineStr">
        <is>
          <t>Image was opened directly at readable resolution and motif/type matched product evidence.</t>
        </is>
      </c>
      <c r="Q61" s="2" t="n">
        <v>1</v>
      </c>
      <c r="R61" s="2" t="inlineStr">
        <is>
          <t>Alt/observation matches the visible asset type and motif after direct visual review.</t>
        </is>
      </c>
      <c r="S61" s="2" t="n">
        <v>1</v>
      </c>
      <c r="T61" s="2" t="inlineStr">
        <is>
          <t>Image is commercially useful for buyer verification of mockup/detail/size/material.</t>
        </is>
      </c>
      <c r="U61" s="2" t="n">
        <v>1</v>
      </c>
      <c r="V61" s="2" t="inlineStr">
        <is>
          <t>No material SEO/accessibility issue found for this image row.</t>
        </is>
      </c>
      <c r="W61" s="2">
        <f>SUM(O61*40,Q61*30,S61*20,U61*10)</f>
        <v>100</v>
      </c>
      <c r="X61" s="2">
        <f>SUM(IF(O61&lt;&gt;"NOT_CHECKED",40,0),IF(Q61&lt;&gt;"NOT_CHECKED",30,0),IF(S61&lt;&gt;"NOT_CHECKED",20,0),IF(U61&lt;&gt;"NOT_CHECKED",10,0))</f>
        <v>100</v>
      </c>
      <c r="Y61" s="2">
        <f>IF(X61=100,1,0)</f>
        <v>1</v>
      </c>
      <c r="Z61" s="2" t="inlineStr"/>
      <c r="AA61" s="2" t="inlineStr">
        <is>
          <t>source_snapshot/images + contact_sheet_040</t>
        </is>
      </c>
    </row>
    <row r="62" ht="60" customHeight="1">
      <c r="A62" s="2" t="inlineStr">
        <is>
          <t>jeminise.com+custom-american-football-with-patriotic-flag-comforter-4a3a1ed3c9-4a3a1ed3c9|media:47540300677319|pos:5|url:dd1cdf35bd46</t>
        </is>
      </c>
      <c r="B62" s="2" t="inlineStr">
        <is>
          <t>20260909_154500</t>
        </is>
      </c>
      <c r="C62" s="2" t="n">
        <v>40</v>
      </c>
      <c r="D62" s="2" t="inlineStr">
        <is>
          <t>jeminise.com+custom-american-football-with-patriotic-flag-comforter-4a3a1ed3c9-4a3a1ed3c9</t>
        </is>
      </c>
      <c r="E62" s="2" t="inlineStr">
        <is>
          <t>8834768011463</t>
        </is>
      </c>
      <c r="F62" s="2" t="inlineStr">
        <is>
          <t>47540300677319</t>
        </is>
      </c>
      <c r="G62" s="2" t="n">
        <v>5</v>
      </c>
      <c r="H62" s="2" t="inlineStr">
        <is>
          <t>GALLERY</t>
        </is>
      </c>
      <c r="I62" s="2" t="inlineStr">
        <is>
          <t>https://cdn.shopify.com/s/files/1/0792/5098/1063/files/7c006bddc94d4763c71c8376307e195c1bbce73b8c802ec73ac5a8cef1291262_66044d52-aa86-47c2-84d2-beed979c5ac0.jpg?v=1785101840</t>
        </is>
      </c>
      <c r="J62" s="2" t="inlineStr">
        <is>
          <t>HTTP_200_DOWNLOADED</t>
        </is>
      </c>
      <c r="K62" s="2" t="b">
        <v>1</v>
      </c>
      <c r="L62" s="2" t="inlineStr">
        <is>
          <t>Product gallery mockup/close-up reviewed visually against r5 observation and proposed alt.</t>
        </is>
      </c>
      <c r="M62" s="2" t="inlineStr">
        <is>
          <t>Stress-free easy care panel listing wrinkle-free, stain-proof, anti-pilling and wash-fade notes.</t>
        </is>
      </c>
      <c r="N62" s="2" t="inlineStr">
        <is>
          <t>Patriotic football easy care panel</t>
        </is>
      </c>
      <c r="O62" s="2" t="n">
        <v>1</v>
      </c>
      <c r="P62" s="2" t="inlineStr">
        <is>
          <t>Image was opened directly at readable resolution and motif/type matched product evidence.</t>
        </is>
      </c>
      <c r="Q62" s="2" t="n">
        <v>1</v>
      </c>
      <c r="R62" s="2" t="inlineStr">
        <is>
          <t>Alt/observation matches the visible asset type and motif after direct visual review.</t>
        </is>
      </c>
      <c r="S62" s="2" t="n">
        <v>1</v>
      </c>
      <c r="T62" s="2" t="inlineStr">
        <is>
          <t>Image is commercially useful for buyer verification of mockup/detail/size/material.</t>
        </is>
      </c>
      <c r="U62" s="2" t="n">
        <v>1</v>
      </c>
      <c r="V62" s="2" t="inlineStr">
        <is>
          <t>No material SEO/accessibility issue found for this image row.</t>
        </is>
      </c>
      <c r="W62" s="2">
        <f>SUM(O62*40,Q62*30,S62*20,U62*10)</f>
        <v>100</v>
      </c>
      <c r="X62" s="2">
        <f>SUM(IF(O62&lt;&gt;"NOT_CHECKED",40,0),IF(Q62&lt;&gt;"NOT_CHECKED",30,0),IF(S62&lt;&gt;"NOT_CHECKED",20,0),IF(U62&lt;&gt;"NOT_CHECKED",10,0))</f>
        <v>100</v>
      </c>
      <c r="Y62" s="2">
        <f>IF(X62=100,1,0)</f>
        <v>1</v>
      </c>
      <c r="Z62" s="2" t="inlineStr"/>
      <c r="AA62" s="2" t="inlineStr">
        <is>
          <t>source_snapshot/images + contact_sheet_040</t>
        </is>
      </c>
    </row>
    <row r="63" ht="60" customHeight="1">
      <c r="A63" s="2" t="inlineStr">
        <is>
          <t>jeminise.com+custom-american-football-with-patriotic-flag-comforter-4a3a1ed3c9-4a3a1ed3c9|media:47540300710087|pos:6|url:d0f79ba743de</t>
        </is>
      </c>
      <c r="B63" s="2" t="inlineStr">
        <is>
          <t>20260909_154500</t>
        </is>
      </c>
      <c r="C63" s="2" t="n">
        <v>40</v>
      </c>
      <c r="D63" s="2" t="inlineStr">
        <is>
          <t>jeminise.com+custom-american-football-with-patriotic-flag-comforter-4a3a1ed3c9-4a3a1ed3c9</t>
        </is>
      </c>
      <c r="E63" s="2" t="inlineStr">
        <is>
          <t>8834768011463</t>
        </is>
      </c>
      <c r="F63" s="2" t="inlineStr">
        <is>
          <t>47540300710087</t>
        </is>
      </c>
      <c r="G63" s="2" t="n">
        <v>6</v>
      </c>
      <c r="H63" s="2" t="inlineStr">
        <is>
          <t>GALLERY</t>
        </is>
      </c>
      <c r="I63" s="2" t="inlineStr">
        <is>
          <t>https://cdn.shopify.com/s/files/1/0792/5098/1063/files/e5cad84edb4d7bf77c48fd7c8e52eb3b73f04eba8bf177671fd8a059c59422e8_e9a8f6c7-84a8-4f8e-a21c-61b347436f7e.jpg?v=1785101840</t>
        </is>
      </c>
      <c r="J63" s="2" t="inlineStr">
        <is>
          <t>HTTP_200_DOWNLOADED</t>
        </is>
      </c>
      <c r="K63" s="2" t="b">
        <v>1</v>
      </c>
      <c r="L63" s="2" t="inlineStr">
        <is>
          <t>Size chart / dimension guide; not a lifestyle product mockup but valid description asset.</t>
        </is>
      </c>
      <c r="M63" s="2" t="inlineStr">
        <is>
          <t>Size dimension panel showing Twin, Full, Queen and King bedding dimensions.</t>
        </is>
      </c>
      <c r="N63" s="2" t="inlineStr">
        <is>
          <t>Patriotic football comforter size chart</t>
        </is>
      </c>
      <c r="O63" s="2" t="n">
        <v>1</v>
      </c>
      <c r="P63" s="2" t="inlineStr">
        <is>
          <t>Image was opened directly at readable resolution and motif/type matched product evidence.</t>
        </is>
      </c>
      <c r="Q63" s="2" t="n">
        <v>1</v>
      </c>
      <c r="R63" s="2" t="inlineStr">
        <is>
          <t>Alt/observation matches the visible asset type and motif after direct visual review.</t>
        </is>
      </c>
      <c r="S63" s="2" t="n">
        <v>1</v>
      </c>
      <c r="T63" s="2" t="inlineStr">
        <is>
          <t>Image is commercially useful for buyer verification of mockup/detail/size/material.</t>
        </is>
      </c>
      <c r="U63" s="2" t="n">
        <v>1</v>
      </c>
      <c r="V63" s="2" t="inlineStr">
        <is>
          <t>No material SEO/accessibility issue found for this image row.</t>
        </is>
      </c>
      <c r="W63" s="2">
        <f>SUM(O63*40,Q63*30,S63*20,U63*10)</f>
        <v>100</v>
      </c>
      <c r="X63" s="2">
        <f>SUM(IF(O63&lt;&gt;"NOT_CHECKED",40,0),IF(Q63&lt;&gt;"NOT_CHECKED",30,0),IF(S63&lt;&gt;"NOT_CHECKED",20,0),IF(U63&lt;&gt;"NOT_CHECKED",10,0))</f>
        <v>100</v>
      </c>
      <c r="Y63" s="2">
        <f>IF(X63=100,1,0)</f>
        <v>1</v>
      </c>
      <c r="Z63" s="2" t="inlineStr"/>
      <c r="AA63" s="2" t="inlineStr">
        <is>
          <t>source_snapshot/images + contact_sheet_040</t>
        </is>
      </c>
    </row>
  </sheetData>
  <autoFilter ref="A1:AA63"/>
  <hyperlinks>
    <hyperlink ref="I2" ns1:id="rId1"/>
    <hyperlink ref="I3" ns1:id="rId2"/>
    <hyperlink ref="I4" ns1:id="rId3"/>
    <hyperlink ref="I5" ns1:id="rId4"/>
    <hyperlink ref="I6" ns1:id="rId5"/>
    <hyperlink ref="I7" ns1:id="rId6"/>
    <hyperlink ref="I8" ns1:id="rId7"/>
    <hyperlink ref="I9" ns1:id="rId8"/>
    <hyperlink ref="I10" ns1:id="rId9"/>
    <hyperlink ref="I11" ns1:id="rId10"/>
    <hyperlink ref="I12" ns1:id="rId11"/>
    <hyperlink ref="I13" ns1:id="rId12"/>
    <hyperlink ref="I14" ns1:id="rId13"/>
    <hyperlink ref="I15" ns1:id="rId14"/>
    <hyperlink ref="I16" ns1:id="rId15"/>
    <hyperlink ref="I17" ns1:id="rId16"/>
    <hyperlink ref="I18" ns1:id="rId17"/>
    <hyperlink ref="I19" ns1:id="rId18"/>
    <hyperlink ref="I20" ns1:id="rId19"/>
    <hyperlink ref="I21" ns1:id="rId20"/>
    <hyperlink ref="I22" ns1:id="rId21"/>
    <hyperlink ref="I23" ns1:id="rId22"/>
    <hyperlink ref="I24" ns1:id="rId23"/>
    <hyperlink ref="I25" ns1:id="rId24"/>
    <hyperlink ref="I26" ns1:id="rId25"/>
    <hyperlink ref="I27" ns1:id="rId26"/>
    <hyperlink ref="I28" ns1:id="rId27"/>
    <hyperlink ref="I29" ns1:id="rId28"/>
    <hyperlink ref="I30" ns1:id="rId29"/>
    <hyperlink ref="I31" ns1:id="rId30"/>
    <hyperlink ref="I32" ns1:id="rId31"/>
    <hyperlink ref="I33" ns1:id="rId32"/>
    <hyperlink ref="I34" ns1:id="rId33"/>
    <hyperlink ref="I35" ns1:id="rId34"/>
    <hyperlink ref="I36" ns1:id="rId35"/>
    <hyperlink ref="I37" ns1:id="rId36"/>
    <hyperlink ref="I38" ns1:id="rId37"/>
    <hyperlink ref="I39" ns1:id="rId38"/>
    <hyperlink ref="I40" ns1:id="rId39"/>
    <hyperlink ref="I41" ns1:id="rId40"/>
    <hyperlink ref="I42" ns1:id="rId41"/>
    <hyperlink ref="I43" ns1:id="rId42"/>
    <hyperlink ref="I44" ns1:id="rId43"/>
    <hyperlink ref="I45" ns1:id="rId44"/>
    <hyperlink ref="I46" ns1:id="rId45"/>
    <hyperlink ref="I47" ns1:id="rId46"/>
    <hyperlink ref="I48" ns1:id="rId47"/>
    <hyperlink ref="I49" ns1:id="rId48"/>
    <hyperlink ref="I50" ns1:id="rId49"/>
    <hyperlink ref="I51" ns1:id="rId50"/>
    <hyperlink ref="I52" ns1:id="rId51"/>
    <hyperlink ref="I53" ns1:id="rId52"/>
    <hyperlink ref="I54" ns1:id="rId53"/>
    <hyperlink ref="I55" ns1:id="rId54"/>
    <hyperlink ref="I56" ns1:id="rId55"/>
    <hyperlink ref="I57" ns1:id="rId56"/>
    <hyperlink ref="I58" ns1:id="rId57"/>
    <hyperlink ref="I59" ns1:id="rId58"/>
    <hyperlink ref="I60" ns1:id="rId59"/>
    <hyperlink ref="I61" ns1:id="rId60"/>
    <hyperlink ref="I62" ns1:id="rId61"/>
    <hyperlink ref="I63" ns1:id="rId62"/>
  </hyperlinks>
  <pageMargins left="0.75" right="0.75" top="1" bottom="1" header="0.5" footer="0.5"/>
  <tableParts count="1">
    <tablePart ns1:id="rId6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8" customWidth="1" min="12" max="12"/>
    <col width="42" customWidth="1" min="13" max="13"/>
    <col width="42" customWidth="1" min="14" max="14"/>
  </cols>
  <sheetData>
    <row r="1">
      <c r="A1" s="1" t="inlineStr">
        <is>
          <t>issue_id</t>
        </is>
      </c>
      <c r="B1" s="1" t="inlineStr">
        <is>
          <t>qa_run_id</t>
        </is>
      </c>
      <c r="C1" s="1" t="inlineStr">
        <is>
          <t>inventory_position</t>
        </is>
      </c>
      <c r="D1" s="1" t="inlineStr">
        <is>
          <t>product_key</t>
        </is>
      </c>
      <c r="E1" s="1" t="inlineStr">
        <is>
          <t>severity</t>
        </is>
      </c>
      <c r="F1" s="1" t="inlineStr">
        <is>
          <t>critical</t>
        </is>
      </c>
      <c r="G1" s="1" t="inlineStr">
        <is>
          <t>history_status</t>
        </is>
      </c>
      <c r="H1" s="1" t="inlineStr">
        <is>
          <t>summary</t>
        </is>
      </c>
      <c r="I1" s="1" t="inlineStr">
        <is>
          <t>current_value</t>
        </is>
      </c>
      <c r="J1" s="1" t="inlineStr">
        <is>
          <t>source_observation</t>
        </is>
      </c>
      <c r="K1" s="1" t="inlineStr">
        <is>
          <t>reason</t>
        </is>
      </c>
      <c r="L1" s="1" t="inlineStr">
        <is>
          <t>evidence_ref</t>
        </is>
      </c>
      <c r="M1" s="1" t="inlineStr">
        <is>
          <t>suggested_fix</t>
        </is>
      </c>
      <c r="N1" s="1" t="inlineStr">
        <is>
          <t>retest_condition</t>
        </is>
      </c>
    </row>
    <row r="2" ht="60" customHeight="1">
      <c r="A2" s="2" t="inlineStr">
        <is>
          <t>B04-034-D2-ALLIGATOR</t>
        </is>
      </c>
      <c r="B2" s="2" t="inlineStr">
        <is>
          <t>20260909_154500</t>
        </is>
      </c>
      <c r="C2" s="2" t="n">
        <v>34</v>
      </c>
      <c r="D2" s="2" t="inlineStr">
        <is>
          <t>jeminise.com+crocodile-patchwork-printed-quilts-animal-patchwork-bedding</t>
        </is>
      </c>
      <c r="E2" s="2" t="inlineStr">
        <is>
          <t>MAJOR</t>
        </is>
      </c>
      <c r="F2" s="2" t="b">
        <v>0</v>
      </c>
      <c r="G2" s="2" t="inlineStr">
        <is>
          <t>PERSISTS</t>
        </is>
      </c>
      <c r="H2" s="2" t="inlineStr">
        <is>
          <t>Crocodile product still mixes broader alligator/crocodile language and needs tighter evidence handling.</t>
        </is>
      </c>
      <c r="I2" s="2" t="inlineStr">
        <is>
          <t>&lt;p&gt;Crocodile wildlife patchwork artwork gives this quilt set a bold animal-themed look. The reptile design and coordinated bedding panels create a standout wildlife bedroom style.&lt;/p&gt;&lt;h3&gt;Design Details&lt;/h3&gt;&lt;ul&gt;&lt;li&gt;Crocodile wildlife patchwork quilt artwork.&lt;/li&gt;&lt;li&gt;Gallery includes the main mockup plus close-up, sham, care, comparison, size and material graphics when available.&lt;/li&gt;&lt;li&gt;Feature panels help confirm fabric, care, size and component details before checkout.&lt;/li&gt;&lt;/ul&gt;&lt;h3&gt;Options&lt;/h3&gt;&lt;ul&gt;&lt;li&gt;CHOOSE QUILT SIZE and PILLOWCASES (Purchase SEPARATELY) selectors are listed.&lt;/li&gt;&lt;li&gt;No shopper text-entry field is described for this product.&lt;/li&gt;&lt;li&gt;Confirm size and pillowcase choices before checkout.&lt;/li&gt;&lt;/ul&gt;</t>
        </is>
      </c>
      <c r="J2" s="2" t="inlineStr">
        <is>
          <t>Live/source product is crocodile patchwork; r5 text can invite alligator overlap.</t>
        </is>
      </c>
      <c r="K2" s="2" t="inlineStr">
        <is>
          <t>Intent and visual evidence support crocodile first. Alligator can be a comparator only if explicitly framed.</t>
        </is>
      </c>
      <c r="L2" s="2" t="inlineStr">
        <is>
          <t>SEO_Products description_proposed_html; live product JSON/body; SERP crocodile/alligator queries</t>
        </is>
      </c>
      <c r="M2" s="2" t="inlineStr">
        <is>
          <t>Use crocodile-led copy; if alligator remains, phrase as related search language, not product identity.</t>
        </is>
      </c>
      <c r="N2" s="2" t="inlineStr">
        <is>
          <t>Recheck D2 and image alt rows for crocodile-only identity.</t>
        </is>
      </c>
    </row>
    <row r="3" ht="60" customHeight="1">
      <c r="A3" s="2" t="inlineStr">
        <is>
          <t>B04-035-PERS-CONTROL</t>
        </is>
      </c>
      <c r="B3" s="2" t="inlineStr">
        <is>
          <t>20260909_154500</t>
        </is>
      </c>
      <c r="C3" s="2" t="n">
        <v>35</v>
      </c>
      <c r="D3" s="2" t="inlineStr">
        <is>
          <t>jeminise.com+custom-retro-football-art-bedding-set-c66211cf75-c66211cf75</t>
        </is>
      </c>
      <c r="E3" s="2" t="inlineStr">
        <is>
          <t>MAJOR</t>
        </is>
      </c>
      <c r="F3" s="2" t="b">
        <v>0</v>
      </c>
      <c r="G3" s="2" t="inlineStr">
        <is>
          <t>REGRESSED</t>
        </is>
      </c>
      <c r="H3" s="2" t="inlineStr">
        <is>
          <t>Personalized football copy claims name/number controls, but the exact live/customizer limits could not be fully verified from static HTML/JSON snapshot.</t>
        </is>
      </c>
      <c r="I3" s="2" t="inlineStr">
        <is>
          <t>&lt;p&gt;A retro American football close-up sits over flag-inspired comforter artwork with sample name and number details. The design gives the bedding a vintage patriotic football look.&lt;/p&gt;&lt;h3&gt;Design Details&lt;/h3&gt;&lt;ul&gt;&lt;li&gt;Retro football close-up with flag-style background.&lt;/li&gt;&lt;li&gt;Sample name and number placement are visible in the mockup.&lt;/li&gt;&lt;li&gt;Gallery includes the main mockup plus close-up, sham, care, comparison, size and material graphics when available.&lt;/li&gt;&lt;/ul&gt;&lt;h3&gt;Options and Personalization&lt;/h3&gt;&lt;ul&gt;&lt;li&gt;Choose Product Type + Size, Choose Pillowcases and Additional Sheet Cover (Flat Sheet) selectors are listed.&lt;/li&gt;&lt;li&gt;Enter Name is required and accepts up to 25 characters.&lt;/li&gt;&lt;li&gt;Enter Number is optional and accepts up to 5 characters.&lt;/li&gt;&lt;li&gt;Names and numbers visible in mockups are samples unless matching input is entered.&lt;/li&gt;&lt;li&gt;Confirm product type, size, pillowcase and sheet-cover choices before checkout.&lt;/li&gt;&lt;/ul&gt;</t>
        </is>
      </c>
      <c r="J3" s="2" t="inlineStr">
        <is>
          <t>not found</t>
        </is>
      </c>
      <c r="K3" s="2" t="inlineStr">
        <is>
          <t>Rubric requires exact control evidence; static HTML absence is not proof of no control, so this is scored as partial rather than critical.</t>
        </is>
      </c>
      <c r="L3" s="2" t="inlineStr">
        <is>
          <t>Live HTML + product JSON + admin export snapshot; customizer needs browser/runtime verification</t>
        </is>
      </c>
      <c r="M3" s="2" t="inlineStr">
        <is>
          <t>Keep personalization claims only with exact verified labels and character limits: Enter Name 1-25, Enter Number 1-5.</t>
        </is>
      </c>
      <c r="N3" s="2" t="inlineStr">
        <is>
          <t>Open runtime customizer and confirm required/optional labels/limits before PASS.</t>
        </is>
      </c>
    </row>
    <row r="4" ht="60" customHeight="1">
      <c r="A4" s="2" t="inlineStr">
        <is>
          <t>B04-036-PERS-CONTROL</t>
        </is>
      </c>
      <c r="B4" s="2" t="inlineStr">
        <is>
          <t>20260909_154500</t>
        </is>
      </c>
      <c r="C4" s="2" t="n">
        <v>36</v>
      </c>
      <c r="D4" s="2" t="inlineStr">
        <is>
          <t>jeminise.com+custom-american-football-close-up-on-grunge-vintage-comforter-26540e3264-26540e3264</t>
        </is>
      </c>
      <c r="E4" s="2" t="inlineStr">
        <is>
          <t>MAJOR</t>
        </is>
      </c>
      <c r="F4" s="2" t="b">
        <v>0</v>
      </c>
      <c r="G4" s="2" t="inlineStr">
        <is>
          <t>REGRESSED</t>
        </is>
      </c>
      <c r="H4" s="2" t="inlineStr">
        <is>
          <t>Personalized football copy claims name/number controls, but the exact live/customizer limits could not be fully verified from static HTML/JSON snapshot.</t>
        </is>
      </c>
      <c r="I4" s="2" t="inlineStr">
        <is>
          <t>&lt;p&gt;An American football close-up over a grunge vintage background gives this comforter a rugged sports style. Sample name and number details show how personalization appears in the artwork.&lt;/p&gt;&lt;h3&gt;Design Details&lt;/h3&gt;&lt;ul&gt;&lt;li&gt;Football close-up on grunge vintage comforter artwork.&lt;/li&gt;&lt;li&gt;Sample name and number placement are visible.&lt;/li&gt;&lt;li&gt;Gallery includes the main mockup plus close-up, sham, care, comparison, size and material graphics when available.&lt;/li&gt;&lt;/ul&gt;&lt;h3&gt;Options and Personalization&lt;/h3&gt;&lt;ul&gt;&lt;li&gt;Choose Product Type + Size, Choose Pillowcases and Additional Sheet Cover (Flat Sheet) selectors are listed.&lt;/li&gt;&lt;li&gt;Enter Name is required and accepts up to 25 characters.&lt;/li&gt;&lt;li&gt;Enter Number is optional and accepts up to 5 characters.&lt;/li&gt;&lt;li&gt;Names and numbers visible in mockups are samples unless matching input is entered.&lt;/li&gt;&lt;li&gt;Confirm product type, size, pillowcase and sheet-cover choices before checkout.&lt;/li&gt;&lt;/ul&gt;</t>
        </is>
      </c>
      <c r="J4" s="2" t="inlineStr">
        <is>
          <t>not found</t>
        </is>
      </c>
      <c r="K4" s="2" t="inlineStr">
        <is>
          <t>Rubric requires exact control evidence; static HTML absence is not proof of no control, so this is scored as partial rather than critical.</t>
        </is>
      </c>
      <c r="L4" s="2" t="inlineStr">
        <is>
          <t>Live HTML + product JSON + admin export snapshot; customizer needs browser/runtime verification</t>
        </is>
      </c>
      <c r="M4" s="2" t="inlineStr">
        <is>
          <t>Keep personalization claims only with exact verified labels and character limits: Enter Name 1-25, Enter Number 1-5.</t>
        </is>
      </c>
      <c r="N4" s="2" t="inlineStr">
        <is>
          <t>Open runtime customizer and confirm required/optional labels/limits before PASS.</t>
        </is>
      </c>
    </row>
    <row r="5" ht="60" customHeight="1">
      <c r="A5" s="2" t="inlineStr">
        <is>
          <t>B04-037-PERS-CONTROL</t>
        </is>
      </c>
      <c r="B5" s="2" t="inlineStr">
        <is>
          <t>20260909_154500</t>
        </is>
      </c>
      <c r="C5" s="2" t="n">
        <v>37</v>
      </c>
      <c r="D5" s="2" t="inlineStr">
        <is>
          <t>jeminise.com+custom-american-football-on-cosmic-background-vintage-comforter-62a3849621-62a3849621</t>
        </is>
      </c>
      <c r="E5" s="2" t="inlineStr">
        <is>
          <t>MAJOR</t>
        </is>
      </c>
      <c r="F5" s="2" t="b">
        <v>0</v>
      </c>
      <c r="G5" s="2" t="inlineStr">
        <is>
          <t>REGRESSED</t>
        </is>
      </c>
      <c r="H5" s="2" t="inlineStr">
        <is>
          <t>Personalized football copy claims name/number controls, but the exact live/customizer limits could not be fully verified from static HTML/JSON snapshot.</t>
        </is>
      </c>
      <c r="I5" s="2" t="inlineStr">
        <is>
          <t>&lt;p&gt;An American football over a cosmic background gives this comforter a dramatic vintage sports look. Sample name and number details add a personalized player-style finish.&lt;/p&gt;&lt;h3&gt;Design Details&lt;/h3&gt;&lt;ul&gt;&lt;li&gt;American football on cosmic background artwork.&lt;/li&gt;&lt;li&gt;Vintage styling with sample name and number placement is shown.&lt;/li&gt;&lt;li&gt;Gallery includes the main mockup plus close-up, sham, care, comparison, size and material graphics when available.&lt;/li&gt;&lt;/ul&gt;&lt;h3&gt;Options and Personalization&lt;/h3&gt;&lt;ul&gt;&lt;li&gt;Choose Product Type + Size, Choose Pillowcases and Additional Sheet Cover (Flat Sheet) selectors are listed.&lt;/li&gt;&lt;li&gt;Enter Name is required and accepts up to 25 characters.&lt;/li&gt;&lt;li&gt;Enter Number is optional and accepts up to 5 characters.&lt;/li&gt;&lt;li&gt;Names and numbers visible in mockups are samples unless matching input is entered.&lt;/li&gt;&lt;li&gt;Confirm product type, size, pillowcase and sheet-cover choices before checkout.&lt;/li&gt;&lt;/ul&gt;</t>
        </is>
      </c>
      <c r="J5" s="2" t="inlineStr">
        <is>
          <t>not found</t>
        </is>
      </c>
      <c r="K5" s="2" t="inlineStr">
        <is>
          <t>Rubric requires exact control evidence; static HTML absence is not proof of no control, so this is scored as partial rather than critical.</t>
        </is>
      </c>
      <c r="L5" s="2" t="inlineStr">
        <is>
          <t>Live HTML + product JSON + admin export snapshot; customizer needs browser/runtime verification</t>
        </is>
      </c>
      <c r="M5" s="2" t="inlineStr">
        <is>
          <t>Keep personalization claims only with exact verified labels and character limits: Enter Name 1-25, Enter Number 1-5.</t>
        </is>
      </c>
      <c r="N5" s="2" t="inlineStr">
        <is>
          <t>Open runtime customizer and confirm required/optional labels/limits before PASS.</t>
        </is>
      </c>
    </row>
    <row r="6" ht="60" customHeight="1">
      <c r="A6" s="2" t="inlineStr">
        <is>
          <t>B04-038-PERS-CONTROL</t>
        </is>
      </c>
      <c r="B6" s="2" t="inlineStr">
        <is>
          <t>20260909_154500</t>
        </is>
      </c>
      <c r="C6" s="2" t="n">
        <v>38</v>
      </c>
      <c r="D6" s="2" t="inlineStr">
        <is>
          <t>jeminise.com+custom-american-football-on-usa-flag-background-comforter-703a7c0d82-703a7c0d82</t>
        </is>
      </c>
      <c r="E6" s="2" t="inlineStr">
        <is>
          <t>MAJOR</t>
        </is>
      </c>
      <c r="F6" s="2" t="b">
        <v>0</v>
      </c>
      <c r="G6" s="2" t="inlineStr">
        <is>
          <t>REGRESSED</t>
        </is>
      </c>
      <c r="H6" s="2" t="inlineStr">
        <is>
          <t>Personalized football copy claims name/number controls, but the exact live/customizer limits could not be fully verified from static HTML/JSON snapshot.</t>
        </is>
      </c>
      <c r="I6" s="2" t="inlineStr">
        <is>
          <t>&lt;p&gt;An American football sits over a USA flag background on this patriotic comforter. Sample name and number details make the design feel like custom football bedding for a player or fan.&lt;/p&gt;&lt;h3&gt;Design Details&lt;/h3&gt;&lt;ul&gt;&lt;li&gt;Football artwork over USA flag background.&lt;/li&gt;&lt;li&gt;Sample name and number placement are visible in the mockup.&lt;/li&gt;&lt;li&gt;Gallery includes the main mockup plus close-up, sham, care, comparison, size and material graphics when available.&lt;/li&gt;&lt;/ul&gt;&lt;h3&gt;Options and Personalization&lt;/h3&gt;&lt;ul&gt;&lt;li&gt;Choose Product Type + Size, Choose Pillowcases and Additional Sheet Cover (Flat Sheet) selectors are listed.&lt;/li&gt;&lt;li&gt;Enter Name is required and accepts up to 25 characters.&lt;/li&gt;&lt;li&gt;Enter Number is optional and accepts up to 5 characters.&lt;/li&gt;&lt;li&gt;Names and numbers visible in mockups are samples unless matching input is entered.&lt;/li&gt;&lt;li&gt;Confirm product type, size, pillowcase and sheet-cover choices before checkout.&lt;/li&gt;&lt;/ul&gt;</t>
        </is>
      </c>
      <c r="J6" s="2" t="inlineStr">
        <is>
          <t>not found</t>
        </is>
      </c>
      <c r="K6" s="2" t="inlineStr">
        <is>
          <t>Rubric requires exact control evidence; static HTML absence is not proof of no control, so this is scored as partial rather than critical.</t>
        </is>
      </c>
      <c r="L6" s="2" t="inlineStr">
        <is>
          <t>Live HTML + product JSON + admin export snapshot; customizer needs browser/runtime verification</t>
        </is>
      </c>
      <c r="M6" s="2" t="inlineStr">
        <is>
          <t>Keep personalization claims only with exact verified labels and character limits: Enter Name 1-25, Enter Number 1-5.</t>
        </is>
      </c>
      <c r="N6" s="2" t="inlineStr">
        <is>
          <t>Open runtime customizer and confirm required/optional labels/limits before PASS.</t>
        </is>
      </c>
    </row>
    <row r="7" ht="60" customHeight="1">
      <c r="A7" s="2" t="inlineStr">
        <is>
          <t>B04-039-PERS-CONTROL</t>
        </is>
      </c>
      <c r="B7" s="2" t="inlineStr">
        <is>
          <t>20260909_154500</t>
        </is>
      </c>
      <c r="C7" s="2" t="n">
        <v>39</v>
      </c>
      <c r="D7" s="2" t="inlineStr">
        <is>
          <t>jeminise.com+custom-american-football-with-paint-splash-background-vintage-comforter-da0e1d5bf1-da0e1d5bf1</t>
        </is>
      </c>
      <c r="E7" s="2" t="inlineStr">
        <is>
          <t>MAJOR</t>
        </is>
      </c>
      <c r="F7" s="2" t="b">
        <v>0</v>
      </c>
      <c r="G7" s="2" t="inlineStr">
        <is>
          <t>REGRESSED</t>
        </is>
      </c>
      <c r="H7" s="2" t="inlineStr">
        <is>
          <t>Personalized football copy claims name/number controls, but the exact live/customizer limits could not be fully verified from static HTML/JSON snapshot.</t>
        </is>
      </c>
      <c r="I7" s="2" t="inlineStr">
        <is>
          <t>&lt;p&gt;Paint splash vintage artwork surrounds an American football on this personalized comforter. The sample name and number placement gives the bedding a bold football player look.&lt;/p&gt;&lt;h3&gt;Design Details&lt;/h3&gt;&lt;ul&gt;&lt;li&gt;American football with paint splash vintage artwork.&lt;/li&gt;&lt;li&gt;Sample name and number details are shown.&lt;/li&gt;&lt;li&gt;Gallery includes the main mockup plus close-up, sham, care, comparison, size and material graphics when available.&lt;/li&gt;&lt;/ul&gt;&lt;h3&gt;Options and Personalization&lt;/h3&gt;&lt;ul&gt;&lt;li&gt;Choose Product Type + Size, Choose Pillowcases and Additional Sheet Cover (Flat Sheet) selectors are listed.&lt;/li&gt;&lt;li&gt;Enter Name is required and accepts up to 25 characters.&lt;/li&gt;&lt;li&gt;Enter Number is optional and accepts up to 5 characters.&lt;/li&gt;&lt;li&gt;Names and numbers visible in mockups are samples unless matching input is entered.&lt;/li&gt;&lt;li&gt;Confirm product type, size, pillowcase and sheet-cover choices before checkout.&lt;/li&gt;&lt;/ul&gt;</t>
        </is>
      </c>
      <c r="J7" s="2" t="inlineStr">
        <is>
          <t>not found</t>
        </is>
      </c>
      <c r="K7" s="2" t="inlineStr">
        <is>
          <t>Rubric requires exact control evidence; static HTML absence is not proof of no control, so this is scored as partial rather than critical.</t>
        </is>
      </c>
      <c r="L7" s="2" t="inlineStr">
        <is>
          <t>Live HTML + product JSON + admin export snapshot; customizer needs browser/runtime verification</t>
        </is>
      </c>
      <c r="M7" s="2" t="inlineStr">
        <is>
          <t>Keep personalization claims only with exact verified labels and character limits: Enter Name 1-25, Enter Number 1-5.</t>
        </is>
      </c>
      <c r="N7" s="2" t="inlineStr">
        <is>
          <t>Open runtime customizer and confirm required/optional labels/limits before PASS.</t>
        </is>
      </c>
    </row>
    <row r="8" ht="60" customHeight="1">
      <c r="A8" s="2" t="inlineStr">
        <is>
          <t>B04-040-PERS-CONTROL</t>
        </is>
      </c>
      <c r="B8" s="2" t="inlineStr">
        <is>
          <t>20260909_154500</t>
        </is>
      </c>
      <c r="C8" s="2" t="n">
        <v>40</v>
      </c>
      <c r="D8" s="2" t="inlineStr">
        <is>
          <t>jeminise.com+custom-american-football-with-patriotic-flag-comforter-4a3a1ed3c9-4a3a1ed3c9</t>
        </is>
      </c>
      <c r="E8" s="2" t="inlineStr">
        <is>
          <t>MAJOR</t>
        </is>
      </c>
      <c r="F8" s="2" t="b">
        <v>0</v>
      </c>
      <c r="G8" s="2" t="inlineStr">
        <is>
          <t>REGRESSED</t>
        </is>
      </c>
      <c r="H8" s="2" t="inlineStr">
        <is>
          <t>Personalized football copy claims name/number controls, but the exact live/customizer limits could not be fully verified from static HTML/JSON snapshot.</t>
        </is>
      </c>
      <c r="I8" s="2" t="inlineStr">
        <is>
          <t>&lt;p&gt;Patriotic flag artwork frames an American football on this comforter design. Sample name and number placement adds a custom player-style detail for football-themed bedrooms.&lt;/p&gt;&lt;h3&gt;Design Details&lt;/h3&gt;&lt;ul&gt;&lt;li&gt;American football with patriotic flag comforter artwork.&lt;/li&gt;&lt;li&gt;Sample name and number placement are visible.&lt;/li&gt;&lt;li&gt;Gallery includes the main mockup plus close-up, sham, care, comparison, size and material graphics when available.&lt;/li&gt;&lt;/ul&gt;&lt;h3&gt;Options and Personalization&lt;/h3&gt;&lt;ul&gt;&lt;li&gt;Choose Product Type + Size, Choose Pillowcases and Additional Sheet Cover (Flat Sheet) selectors are listed.&lt;/li&gt;&lt;li&gt;Enter Name is required and accepts up to 25 characters.&lt;/li&gt;&lt;li&gt;Enter Number is optional and accepts up to 5 characters.&lt;/li&gt;&lt;li&gt;Names and numbers visible in mockups are samples unless matching input is entered.&lt;/li&gt;&lt;li&gt;Confirm product type, size, pillowcase and sheet-cover choices before checkout.&lt;/li&gt;&lt;/ul&gt;</t>
        </is>
      </c>
      <c r="J8" s="2" t="inlineStr">
        <is>
          <t>not found</t>
        </is>
      </c>
      <c r="K8" s="2" t="inlineStr">
        <is>
          <t>Rubric requires exact control evidence; static HTML absence is not proof of no control, so this is scored as partial rather than critical.</t>
        </is>
      </c>
      <c r="L8" s="2" t="inlineStr">
        <is>
          <t>Live HTML + product JSON + admin export snapshot; customizer needs browser/runtime verification</t>
        </is>
      </c>
      <c r="M8" s="2" t="inlineStr">
        <is>
          <t>Keep personalization claims only with exact verified labels and character limits: Enter Name 1-25, Enter Number 1-5.</t>
        </is>
      </c>
      <c r="N8" s="2" t="inlineStr">
        <is>
          <t>Open runtime customizer and confirm required/optional labels/limits before PASS.</t>
        </is>
      </c>
    </row>
    <row r="9" ht="60" customHeight="1">
      <c r="A9" s="2" t="inlineStr">
        <is>
          <t>B04-E1-REVISION-TRACE</t>
        </is>
      </c>
      <c r="B9" s="2" t="inlineStr">
        <is>
          <t>20260909_154500</t>
        </is>
      </c>
      <c r="C9" s="2" t="n">
        <v>0</v>
      </c>
      <c r="D9" s="2" t="inlineStr">
        <is>
          <t>BATCH_SCOPE</t>
        </is>
      </c>
      <c r="E9" s="2" t="inlineStr">
        <is>
          <t>MINOR</t>
        </is>
      </c>
      <c r="F9" s="2" t="b">
        <v>0</v>
      </c>
      <c r="G9" s="2" t="inlineStr">
        <is>
          <t>PERSISTS</t>
        </is>
      </c>
      <c r="H9" s="2" t="inlineStr">
        <is>
          <t>Workbook rows still carry revision r4 / revision summary path points at r4 source fields.</t>
        </is>
      </c>
      <c r="I9" s="2" t="inlineStr">
        <is>
          <t>SEO_Products revision; revision_summary.source_revision</t>
        </is>
      </c>
      <c r="J9" s="2" t="inlineStr">
        <is>
          <t>10 scoped SEO_Products rows have revision r4 while workbook file is r5.</t>
        </is>
      </c>
      <c r="K9" s="2" t="inlineStr">
        <is>
          <t>This weakens traceability but does not invalidate product evidence by itself.</t>
        </is>
      </c>
      <c r="L9" s="2" t="inlineStr">
        <is>
          <t>SEO_Products column revision; revision_summary.json</t>
        </is>
      </c>
      <c r="M9" s="2" t="inlineStr">
        <is>
          <t>Update revision metadata in the next SEO workbook export.</t>
        </is>
      </c>
      <c r="N9" s="2" t="inlineStr">
        <is>
          <t>Confirm all scoped rows show qa_batch_004_r5 or newer.</t>
        </is>
      </c>
    </row>
  </sheetData>
  <autoFilter ref="A1:N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2026-09-08T21:49:32Z</dcterms:created>
  <dcterms:modified xmlns:dcterms="http://purl.org/dc/terms/" xmlns:xsi="http://www.w3.org/2001/XMLSchema-instance" xsi:type="dcterms:W3CDTF">2026-09-08T21:49:33Z</dcterms:modified>
</cp:coreProperties>
</file>