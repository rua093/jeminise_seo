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'QA_Summary'!$A$1:$C$15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'QA_Images'!$A$1:$X$74</definedName>
    <definedName name="_xlnm.Print_Titles" localSheetId="3">'QA_Images'!$1:$1</definedName>
    <definedName name="_xlnm._FilterDatabase" localSheetId="4" hidden="1">'QA_Issues'!$A$1:$K$11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native-american-inspired-wolf-head-inside-circular-frame-comforter-d351b4bfe1-d351b4bfe1" TargetMode="External" Id="rId1"/><Relationship Type="http://schemas.openxmlformats.org/officeDocument/2006/relationships/hyperlink" Target="https://jeminise.com/products/custom-neon-green-soccer-player-artwork-comforter-set-boys-room-decor" TargetMode="External" Id="rId2"/><Relationship Type="http://schemas.openxmlformats.org/officeDocument/2006/relationships/hyperlink" Target="https://jeminise.com/products/custom-patriotic-semi-truck-on-american-flag-background-comforter-e664ba94f8-e664ba94f8" TargetMode="External" Id="rId3"/><Relationship Type="http://schemas.openxmlformats.org/officeDocument/2006/relationships/hyperlink" Target="https://jeminise.com/products/custom-patriotic-semi-truck-with-waving-american-flag-comforter-e01f2755b2-e01f2755b2" TargetMode="External" Id="rId4"/><Relationship Type="http://schemas.openxmlformats.org/officeDocument/2006/relationships/hyperlink" Target="https://jeminise.com/products/custom-patriotic-trucking-semi-truck-below-waving-american-flag-comforter-05c0cd8623-05c0cd8623" TargetMode="External" Id="rId5"/><Relationship Type="http://schemas.openxmlformats.org/officeDocument/2006/relationships/hyperlink" Target="https://jeminise.com/products/custom-photo-quilt-bicycle-flowers-07e2c6fca1-07e2c6fca1" TargetMode="External" Id="rId6"/><Relationship Type="http://schemas.openxmlformats.org/officeDocument/2006/relationships/hyperlink" Target="https://jeminise.com/products/custom-purple-butterflies-text-blanket-machine-washable-d7b" TargetMode="External" Id="rId7"/><Relationship Type="http://schemas.openxmlformats.org/officeDocument/2006/relationships/hyperlink" Target="https://jeminise.com/products/custom-purple-butterfly-christian-blanket-machine-washable-d15" TargetMode="External" Id="rId8"/><Relationship Type="http://schemas.openxmlformats.org/officeDocument/2006/relationships/hyperlink" Target="https://jeminise.com/products/custom-purple-floral-christian-cross-blanket-machine-washable-d2" TargetMode="External" Id="rId9"/><Relationship Type="http://schemas.openxmlformats.org/officeDocument/2006/relationships/hyperlink" Target="https://jeminise.com/products/custom-purple-floral-cross-with-butterflies-blanket-machi-design-14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8db123d2a281d8d7b1e7601cf1c6b3ae13e69bdec5076345ef0a6c9cf3ffbbf8.jpg?v=1785181534" TargetMode="External" Id="rId1"/><Relationship Type="http://schemas.openxmlformats.org/officeDocument/2006/relationships/hyperlink" Target="https://cdn.shopify.com/s/files/1/0792/5098/1063/files/8db123d2a281d8d7b1e7601cf1c6b3ae13e69bdec5076345ef0a6c9cf3ffbbf8.jpg?v=1785181534" TargetMode="External" Id="rId2"/><Relationship Type="http://schemas.openxmlformats.org/officeDocument/2006/relationships/hyperlink" Target="https://cdn.shopify.com/s/files/1/0792/5098/1063/files/c27a2d398c2e1aa051b181395529e9a599c8696153ffecec91e3703884a1ef6c.jpg?v=1785181533" TargetMode="External" Id="rId3"/><Relationship Type="http://schemas.openxmlformats.org/officeDocument/2006/relationships/hyperlink" Target="https://cdn.shopify.com/s/files/1/0792/5098/1063/files/c27a2d398c2e1aa051b181395529e9a599c8696153ffecec91e3703884a1ef6c.jpg?v=1785181533" TargetMode="External" Id="rId4"/><Relationship Type="http://schemas.openxmlformats.org/officeDocument/2006/relationships/hyperlink" Target="https://cdn.shopify.com/s/files/1/0792/5098/1063/files/69ad70a2dec3bc59d662ae6c1817f1a32b7fe5bc4c0456d3a1419927bbd23e1b.jpg?v=1785181533" TargetMode="External" Id="rId5"/><Relationship Type="http://schemas.openxmlformats.org/officeDocument/2006/relationships/hyperlink" Target="https://cdn.shopify.com/s/files/1/0792/5098/1063/files/69ad70a2dec3bc59d662ae6c1817f1a32b7fe5bc4c0456d3a1419927bbd23e1b.jpg?v=1785181533" TargetMode="External" Id="rId6"/><Relationship Type="http://schemas.openxmlformats.org/officeDocument/2006/relationships/hyperlink" Target="https://cdn.shopify.com/s/files/1/0792/5098/1063/files/0eb64820a0ab1dec4b852407512deca48c67bd46d1cbea26ed900d59cf9c44f6.jpg?v=1785181533" TargetMode="External" Id="rId7"/><Relationship Type="http://schemas.openxmlformats.org/officeDocument/2006/relationships/hyperlink" Target="https://cdn.shopify.com/s/files/1/0792/5098/1063/files/0eb64820a0ab1dec4b852407512deca48c67bd46d1cbea26ed900d59cf9c44f6.jpg?v=1785181533" TargetMode="External" Id="rId8"/><Relationship Type="http://schemas.openxmlformats.org/officeDocument/2006/relationships/hyperlink" Target="https://cdn.shopify.com/s/files/1/0792/5098/1063/files/c13d84b220c25b7126dda603be0f2749e36e6bcbef1150c54dfba8143250cd9d.jpg?v=1785181534" TargetMode="External" Id="rId9"/><Relationship Type="http://schemas.openxmlformats.org/officeDocument/2006/relationships/hyperlink" Target="https://cdn.shopify.com/s/files/1/0792/5098/1063/files/c13d84b220c25b7126dda603be0f2749e36e6bcbef1150c54dfba8143250cd9d.jpg?v=1785181534" TargetMode="External" Id="rId10"/><Relationship Type="http://schemas.openxmlformats.org/officeDocument/2006/relationships/hyperlink" Target="https://cdn.shopify.com/s/files/1/0792/5098/1063/files/6b80b75d568cdee15c272e946d98348d480efd2a5cea1cacdb69246b74474091.jpg?v=1786611026" TargetMode="External" Id="rId11"/><Relationship Type="http://schemas.openxmlformats.org/officeDocument/2006/relationships/hyperlink" Target="https://cdn.shopify.com/s/files/1/0792/5098/1063/files/6b80b75d568cdee15c272e946d98348d480efd2a5cea1cacdb69246b74474091.jpg?v=1786611026" TargetMode="External" Id="rId12"/><Relationship Type="http://schemas.openxmlformats.org/officeDocument/2006/relationships/hyperlink" Target="https://cdn.shopify.com/s/files/1/0792/5098/1063/files/2befb3162c5bae5e3dc16a2617a19876e1bad1732d46a3a0071872644aaa19c7.jpg?v=1786611026" TargetMode="External" Id="rId13"/><Relationship Type="http://schemas.openxmlformats.org/officeDocument/2006/relationships/hyperlink" Target="https://cdn.shopify.com/s/files/1/0792/5098/1063/files/2befb3162c5bae5e3dc16a2617a19876e1bad1732d46a3a0071872644aaa19c7.jpg?v=1786611026" TargetMode="External" Id="rId14"/><Relationship Type="http://schemas.openxmlformats.org/officeDocument/2006/relationships/hyperlink" Target="https://cdn.shopify.com/s/files/1/0792/5098/1063/files/0232459e1096cb7ad4227f2471e7d15ee79d1a53fbe22b7f14cb026581f911de.jpg?v=1786611026" TargetMode="External" Id="rId15"/><Relationship Type="http://schemas.openxmlformats.org/officeDocument/2006/relationships/hyperlink" Target="https://cdn.shopify.com/s/files/1/0792/5098/1063/files/0232459e1096cb7ad4227f2471e7d15ee79d1a53fbe22b7f14cb026581f911de.jpg?v=1786611026" TargetMode="External" Id="rId16"/><Relationship Type="http://schemas.openxmlformats.org/officeDocument/2006/relationships/hyperlink" Target="https://cdn.shopify.com/s/files/1/0792/5098/1063/files/e2f6c4ddb7968db8e510d947c4cb858b220d2c492e6c23261ccc64e8f76911dd.jpg?v=1786611026" TargetMode="External" Id="rId17"/><Relationship Type="http://schemas.openxmlformats.org/officeDocument/2006/relationships/hyperlink" Target="https://cdn.shopify.com/s/files/1/0792/5098/1063/files/e2f6c4ddb7968db8e510d947c4cb858b220d2c492e6c23261ccc64e8f76911dd.jpg?v=1786611026" TargetMode="External" Id="rId18"/><Relationship Type="http://schemas.openxmlformats.org/officeDocument/2006/relationships/hyperlink" Target="https://cdn.shopify.com/s/files/1/0792/5098/1063/files/3922620c2eba325e6caab3493d1452f28c86e34d2295169238a4a01b9be0fc21.jpg?v=1786611026" TargetMode="External" Id="rId19"/><Relationship Type="http://schemas.openxmlformats.org/officeDocument/2006/relationships/hyperlink" Target="https://cdn.shopify.com/s/files/1/0792/5098/1063/files/3922620c2eba325e6caab3493d1452f28c86e34d2295169238a4a01b9be0fc21.jpg?v=1786611026" TargetMode="External" Id="rId20"/><Relationship Type="http://schemas.openxmlformats.org/officeDocument/2006/relationships/hyperlink" Target="https://cdn.shopify.com/s/files/1/0792/5098/1063/files/1b992ece6d228aa4e2bf52484faac70e017778471a3ed951eae5f283d8da0d56.jpg?v=1786611026" TargetMode="External" Id="rId21"/><Relationship Type="http://schemas.openxmlformats.org/officeDocument/2006/relationships/hyperlink" Target="https://cdn.shopify.com/s/files/1/0792/5098/1063/files/1b992ece6d228aa4e2bf52484faac70e017778471a3ed951eae5f283d8da0d56.jpg?v=1786611026" TargetMode="External" Id="rId22"/><Relationship Type="http://schemas.openxmlformats.org/officeDocument/2006/relationships/hyperlink" Target="https://cdn.shopify.com/s/files/1/0792/5098/1063/files/9b36690b06b0d6afe47cba01d783821f5b729cf46d6530e6bf0ebeb68938d739.jpg?v=1786611026" TargetMode="External" Id="rId23"/><Relationship Type="http://schemas.openxmlformats.org/officeDocument/2006/relationships/hyperlink" Target="https://cdn.shopify.com/s/files/1/0792/5098/1063/files/9b36690b06b0d6afe47cba01d783821f5b729cf46d6530e6bf0ebeb68938d739.jpg?v=1786611026" TargetMode="External" Id="rId24"/><Relationship Type="http://schemas.openxmlformats.org/officeDocument/2006/relationships/hyperlink" Target="https://cdn.shopify.com/s/files/1/0792/5098/1063/files/30667ffa1b29dfa2b8673580c1476a7e3d1c88f73100c21aff40d37ab88f3c0f.jpg?v=1786611026" TargetMode="External" Id="rId25"/><Relationship Type="http://schemas.openxmlformats.org/officeDocument/2006/relationships/hyperlink" Target="https://cdn.shopify.com/s/files/1/0792/5098/1063/files/30667ffa1b29dfa2b8673580c1476a7e3d1c88f73100c21aff40d37ab88f3c0f.jpg?v=1786611026" TargetMode="External" Id="rId26"/><Relationship Type="http://schemas.openxmlformats.org/officeDocument/2006/relationships/hyperlink" Target="https://cdn.shopify.com/s/files/1/0792/5098/1063/files/fe1412d885785c85792b6280a515d4da148939773f52cad28a9077b41519bca7.jpg?v=1785132379" TargetMode="External" Id="rId27"/><Relationship Type="http://schemas.openxmlformats.org/officeDocument/2006/relationships/hyperlink" Target="https://cdn.shopify.com/s/files/1/0792/5098/1063/files/fe1412d885785c85792b6280a515d4da148939773f52cad28a9077b41519bca7.jpg?v=1785132379" TargetMode="External" Id="rId28"/><Relationship Type="http://schemas.openxmlformats.org/officeDocument/2006/relationships/hyperlink" Target="https://cdn.shopify.com/s/files/1/0792/5098/1063/files/cae1e0f323222ab8084267520a77901e07bd20837fc3b3cf158c7a3b5290f53b.jpg?v=1785132379" TargetMode="External" Id="rId29"/><Relationship Type="http://schemas.openxmlformats.org/officeDocument/2006/relationships/hyperlink" Target="https://cdn.shopify.com/s/files/1/0792/5098/1063/files/cae1e0f323222ab8084267520a77901e07bd20837fc3b3cf158c7a3b5290f53b.jpg?v=1785132379" TargetMode="External" Id="rId30"/><Relationship Type="http://schemas.openxmlformats.org/officeDocument/2006/relationships/hyperlink" Target="https://cdn.shopify.com/s/files/1/0792/5098/1063/files/16f7293cbefa5743a35b2e6316a5a114e5c052d08151e367dafd26aa5e2e542b_d050383d-1193-4807-8c84-5cdef15ff79e.jpg?v=1785132379" TargetMode="External" Id="rId31"/><Relationship Type="http://schemas.openxmlformats.org/officeDocument/2006/relationships/hyperlink" Target="https://cdn.shopify.com/s/files/1/0792/5098/1063/files/16f7293cbefa5743a35b2e6316a5a114e5c052d08151e367dafd26aa5e2e542b_d050383d-1193-4807-8c84-5cdef15ff79e.jpg?v=1785132379" TargetMode="External" Id="rId32"/><Relationship Type="http://schemas.openxmlformats.org/officeDocument/2006/relationships/hyperlink" Target="https://cdn.shopify.com/s/files/1/0792/5098/1063/files/1af0b9b4937e17de402557fcae689c596d27afb1f52fc1310e3566e92ae266a9.jpg?v=1785132379" TargetMode="External" Id="rId33"/><Relationship Type="http://schemas.openxmlformats.org/officeDocument/2006/relationships/hyperlink" Target="https://cdn.shopify.com/s/files/1/0792/5098/1063/files/1af0b9b4937e17de402557fcae689c596d27afb1f52fc1310e3566e92ae266a9.jpg?v=1785132379" TargetMode="External" Id="rId34"/><Relationship Type="http://schemas.openxmlformats.org/officeDocument/2006/relationships/hyperlink" Target="https://cdn.shopify.com/s/files/1/0792/5098/1063/files/1a43cd057736aec5cc198f0c59ffcaa3709ed17c0015a7e14b5165389dc96061.jpg?v=1785132379" TargetMode="External" Id="rId35"/><Relationship Type="http://schemas.openxmlformats.org/officeDocument/2006/relationships/hyperlink" Target="https://cdn.shopify.com/s/files/1/0792/5098/1063/files/1a43cd057736aec5cc198f0c59ffcaa3709ed17c0015a7e14b5165389dc96061.jpg?v=1785132379" TargetMode="External" Id="rId36"/><Relationship Type="http://schemas.openxmlformats.org/officeDocument/2006/relationships/hyperlink" Target="https://cdn.shopify.com/s/files/1/0792/5098/1063/files/7c006bddc94d4763c71c8376307e195c1bbce73b8c802ec73ac5a8cef1291262_0cf50cfc-d406-4f2c-946c-ebbae11c1219.jpg?v=1785132379" TargetMode="External" Id="rId37"/><Relationship Type="http://schemas.openxmlformats.org/officeDocument/2006/relationships/hyperlink" Target="https://cdn.shopify.com/s/files/1/0792/5098/1063/files/7c006bddc94d4763c71c8376307e195c1bbce73b8c802ec73ac5a8cef1291262_0cf50cfc-d406-4f2c-946c-ebbae11c1219.jpg?v=1785132379" TargetMode="External" Id="rId38"/><Relationship Type="http://schemas.openxmlformats.org/officeDocument/2006/relationships/hyperlink" Target="https://cdn.shopify.com/s/files/1/0792/5098/1063/files/e5cad84edb4d7bf77c48fd7c8e52eb3b73f04eba8bf177671fd8a059c59422e8_b94069b9-bd54-480f-9ac7-9690b49cfc2e.jpg?v=1785132379" TargetMode="External" Id="rId39"/><Relationship Type="http://schemas.openxmlformats.org/officeDocument/2006/relationships/hyperlink" Target="https://cdn.shopify.com/s/files/1/0792/5098/1063/files/e5cad84edb4d7bf77c48fd7c8e52eb3b73f04eba8bf177671fd8a059c59422e8_b94069b9-bd54-480f-9ac7-9690b49cfc2e.jpg?v=1785132379" TargetMode="External" Id="rId40"/><Relationship Type="http://schemas.openxmlformats.org/officeDocument/2006/relationships/hyperlink" Target="https://cdn.shopify.com/s/files/1/0792/5098/1063/files/fff7fb3607171e550328ca23a57753cdd5e34bd84e9bc6ddf3d658e8b386e971.jpg?v=1785133056" TargetMode="External" Id="rId41"/><Relationship Type="http://schemas.openxmlformats.org/officeDocument/2006/relationships/hyperlink" Target="https://cdn.shopify.com/s/files/1/0792/5098/1063/files/fff7fb3607171e550328ca23a57753cdd5e34bd84e9bc6ddf3d658e8b386e971.jpg?v=1785133056" TargetMode="External" Id="rId42"/><Relationship Type="http://schemas.openxmlformats.org/officeDocument/2006/relationships/hyperlink" Target="https://cdn.shopify.com/s/files/1/0792/5098/1063/files/5aa60065f310c2ee78fbf5f116d8ea612b45190d52400475f6ebfe0bf7ac3ab5.jpg?v=1785133056" TargetMode="External" Id="rId43"/><Relationship Type="http://schemas.openxmlformats.org/officeDocument/2006/relationships/hyperlink" Target="https://cdn.shopify.com/s/files/1/0792/5098/1063/files/5aa60065f310c2ee78fbf5f116d8ea612b45190d52400475f6ebfe0bf7ac3ab5.jpg?v=1785133056" TargetMode="External" Id="rId44"/><Relationship Type="http://schemas.openxmlformats.org/officeDocument/2006/relationships/hyperlink" Target="https://cdn.shopify.com/s/files/1/0792/5098/1063/files/16f7293cbefa5743a35b2e6316a5a114e5c052d08151e367dafd26aa5e2e542b_c88ded01-e9f5-47e0-a337-71272c531dc2.jpg?v=1785133055" TargetMode="External" Id="rId45"/><Relationship Type="http://schemas.openxmlformats.org/officeDocument/2006/relationships/hyperlink" Target="https://cdn.shopify.com/s/files/1/0792/5098/1063/files/16f7293cbefa5743a35b2e6316a5a114e5c052d08151e367dafd26aa5e2e542b_c88ded01-e9f5-47e0-a337-71272c531dc2.jpg?v=1785133055" TargetMode="External" Id="rId46"/><Relationship Type="http://schemas.openxmlformats.org/officeDocument/2006/relationships/hyperlink" Target="https://cdn.shopify.com/s/files/1/0792/5098/1063/files/09467376d637b8b254540c819caa86ed98bcd098da17eb5d29dbc82fb7f5cd3a.jpg?v=1785133055" TargetMode="External" Id="rId47"/><Relationship Type="http://schemas.openxmlformats.org/officeDocument/2006/relationships/hyperlink" Target="https://cdn.shopify.com/s/files/1/0792/5098/1063/files/09467376d637b8b254540c819caa86ed98bcd098da17eb5d29dbc82fb7f5cd3a.jpg?v=1785133055" TargetMode="External" Id="rId48"/><Relationship Type="http://schemas.openxmlformats.org/officeDocument/2006/relationships/hyperlink" Target="https://cdn.shopify.com/s/files/1/0792/5098/1063/files/233894d2b6b7bae581e73b21a4df3c20906e112260f36bd3434ffaade36baf00.jpg?v=1785133055" TargetMode="External" Id="rId49"/><Relationship Type="http://schemas.openxmlformats.org/officeDocument/2006/relationships/hyperlink" Target="https://cdn.shopify.com/s/files/1/0792/5098/1063/files/233894d2b6b7bae581e73b21a4df3c20906e112260f36bd3434ffaade36baf00.jpg?v=1785133055" TargetMode="External" Id="rId50"/><Relationship Type="http://schemas.openxmlformats.org/officeDocument/2006/relationships/hyperlink" Target="https://cdn.shopify.com/s/files/1/0792/5098/1063/files/7c006bddc94d4763c71c8376307e195c1bbce73b8c802ec73ac5a8cef1291262_3e77a6fa-208f-43f0-9bfe-9283e787adc2.jpg?v=1785133055" TargetMode="External" Id="rId51"/><Relationship Type="http://schemas.openxmlformats.org/officeDocument/2006/relationships/hyperlink" Target="https://cdn.shopify.com/s/files/1/0792/5098/1063/files/7c006bddc94d4763c71c8376307e195c1bbce73b8c802ec73ac5a8cef1291262_3e77a6fa-208f-43f0-9bfe-9283e787adc2.jpg?v=1785133055" TargetMode="External" Id="rId52"/><Relationship Type="http://schemas.openxmlformats.org/officeDocument/2006/relationships/hyperlink" Target="https://cdn.shopify.com/s/files/1/0792/5098/1063/files/e5cad84edb4d7bf77c48fd7c8e52eb3b73f04eba8bf177671fd8a059c59422e8_1404e0c6-034c-4379-8c81-40648fd14b0d.jpg?v=1785133055" TargetMode="External" Id="rId53"/><Relationship Type="http://schemas.openxmlformats.org/officeDocument/2006/relationships/hyperlink" Target="https://cdn.shopify.com/s/files/1/0792/5098/1063/files/e5cad84edb4d7bf77c48fd7c8e52eb3b73f04eba8bf177671fd8a059c59422e8_1404e0c6-034c-4379-8c81-40648fd14b0d.jpg?v=1785133055" TargetMode="External" Id="rId54"/><Relationship Type="http://schemas.openxmlformats.org/officeDocument/2006/relationships/hyperlink" Target="https://cdn.shopify.com/s/files/1/0792/5098/1063/files/2ade86cd5ab3acf0f2e78f8ceab6ed08c167347de0f532b69f287d8356e45ef3.jpg?v=1785132905" TargetMode="External" Id="rId55"/><Relationship Type="http://schemas.openxmlformats.org/officeDocument/2006/relationships/hyperlink" Target="https://cdn.shopify.com/s/files/1/0792/5098/1063/files/2ade86cd5ab3acf0f2e78f8ceab6ed08c167347de0f532b69f287d8356e45ef3.jpg?v=1785132905" TargetMode="External" Id="rId56"/><Relationship Type="http://schemas.openxmlformats.org/officeDocument/2006/relationships/hyperlink" Target="https://cdn.shopify.com/s/files/1/0792/5098/1063/files/b89468cedb96bb54d91fe1d0e886ebf9ead05659583ff26989e61e0189d5cab1.jpg?v=1785132905" TargetMode="External" Id="rId57"/><Relationship Type="http://schemas.openxmlformats.org/officeDocument/2006/relationships/hyperlink" Target="https://cdn.shopify.com/s/files/1/0792/5098/1063/files/b89468cedb96bb54d91fe1d0e886ebf9ead05659583ff26989e61e0189d5cab1.jpg?v=1785132905" TargetMode="External" Id="rId58"/><Relationship Type="http://schemas.openxmlformats.org/officeDocument/2006/relationships/hyperlink" Target="https://cdn.shopify.com/s/files/1/0792/5098/1063/files/16f7293cbefa5743a35b2e6316a5a114e5c052d08151e367dafd26aa5e2e542b_551b2c3e-9c31-4c48-841f-26759e261b95.jpg?v=1785132905" TargetMode="External" Id="rId59"/><Relationship Type="http://schemas.openxmlformats.org/officeDocument/2006/relationships/hyperlink" Target="https://cdn.shopify.com/s/files/1/0792/5098/1063/files/16f7293cbefa5743a35b2e6316a5a114e5c052d08151e367dafd26aa5e2e542b_551b2c3e-9c31-4c48-841f-26759e261b95.jpg?v=1785132905" TargetMode="External" Id="rId60"/><Relationship Type="http://schemas.openxmlformats.org/officeDocument/2006/relationships/hyperlink" Target="https://cdn.shopify.com/s/files/1/0792/5098/1063/files/f6fcebd3a58660186982351598e9d169ef3cb952109cd4aea22a684f16f7b49c.jpg?v=1785132905" TargetMode="External" Id="rId61"/><Relationship Type="http://schemas.openxmlformats.org/officeDocument/2006/relationships/hyperlink" Target="https://cdn.shopify.com/s/files/1/0792/5098/1063/files/f6fcebd3a58660186982351598e9d169ef3cb952109cd4aea22a684f16f7b49c.jpg?v=1785132905" TargetMode="External" Id="rId62"/><Relationship Type="http://schemas.openxmlformats.org/officeDocument/2006/relationships/hyperlink" Target="https://cdn.shopify.com/s/files/1/0792/5098/1063/files/5a83a3e1af522eb082357b9d776e7e1781c8a5745befab3f29080d8bb36511b9.jpg?v=1785132905" TargetMode="External" Id="rId63"/><Relationship Type="http://schemas.openxmlformats.org/officeDocument/2006/relationships/hyperlink" Target="https://cdn.shopify.com/s/files/1/0792/5098/1063/files/5a83a3e1af522eb082357b9d776e7e1781c8a5745befab3f29080d8bb36511b9.jpg?v=1785132905" TargetMode="External" Id="rId64"/><Relationship Type="http://schemas.openxmlformats.org/officeDocument/2006/relationships/hyperlink" Target="https://cdn.shopify.com/s/files/1/0792/5098/1063/files/7c006bddc94d4763c71c8376307e195c1bbce73b8c802ec73ac5a8cef1291262_5f849c7c-73dd-47b1-9f2a-e49c4d79be90.jpg?v=1785132905" TargetMode="External" Id="rId65"/><Relationship Type="http://schemas.openxmlformats.org/officeDocument/2006/relationships/hyperlink" Target="https://cdn.shopify.com/s/files/1/0792/5098/1063/files/7c006bddc94d4763c71c8376307e195c1bbce73b8c802ec73ac5a8cef1291262_5f849c7c-73dd-47b1-9f2a-e49c4d79be90.jpg?v=1785132905" TargetMode="External" Id="rId66"/><Relationship Type="http://schemas.openxmlformats.org/officeDocument/2006/relationships/hyperlink" Target="https://cdn.shopify.com/s/files/1/0792/5098/1063/files/e5cad84edb4d7bf77c48fd7c8e52eb3b73f04eba8bf177671fd8a059c59422e8_f2f4fdb3-ac8e-4de2-9067-ff7a83155a01.jpg?v=1785132905" TargetMode="External" Id="rId67"/><Relationship Type="http://schemas.openxmlformats.org/officeDocument/2006/relationships/hyperlink" Target="https://cdn.shopify.com/s/files/1/0792/5098/1063/files/e5cad84edb4d7bf77c48fd7c8e52eb3b73f04eba8bf177671fd8a059c59422e8_f2f4fdb3-ac8e-4de2-9067-ff7a83155a01.jpg?v=1785132905" TargetMode="External" Id="rId68"/><Relationship Type="http://schemas.openxmlformats.org/officeDocument/2006/relationships/hyperlink" Target="https://cdn.shopify.com/s/files/1/0792/5098/1063/files/d642de2fc85572ce4b3843164c4a712bf96852e46789ec09b81e744bdf123b1d.jpg?v=1785103353" TargetMode="External" Id="rId69"/><Relationship Type="http://schemas.openxmlformats.org/officeDocument/2006/relationships/hyperlink" Target="https://cdn.shopify.com/s/files/1/0792/5098/1063/files/d642de2fc85572ce4b3843164c4a712bf96852e46789ec09b81e744bdf123b1d.jpg?v=1785103353" TargetMode="External" Id="rId70"/><Relationship Type="http://schemas.openxmlformats.org/officeDocument/2006/relationships/hyperlink" Target="https://cdn.shopify.com/s/files/1/0792/5098/1063/files/d975aa39cec62cd8b6ddaddd64e8dff1c023c7b13f31247696817b59abf5080a.jpg?v=1785103353" TargetMode="External" Id="rId71"/><Relationship Type="http://schemas.openxmlformats.org/officeDocument/2006/relationships/hyperlink" Target="https://cdn.shopify.com/s/files/1/0792/5098/1063/files/d975aa39cec62cd8b6ddaddd64e8dff1c023c7b13f31247696817b59abf5080a.jpg?v=1785103353" TargetMode="External" Id="rId72"/><Relationship Type="http://schemas.openxmlformats.org/officeDocument/2006/relationships/hyperlink" Target="https://cdn.shopify.com/s/files/1/0792/5098/1063/files/3ce7f4c9f185774a2e416704ca3c2e69b2c88c7bf8f51a22e8d0b8821161561e.jpg?v=1785103353" TargetMode="External" Id="rId73"/><Relationship Type="http://schemas.openxmlformats.org/officeDocument/2006/relationships/hyperlink" Target="https://cdn.shopify.com/s/files/1/0792/5098/1063/files/3ce7f4c9f185774a2e416704ca3c2e69b2c88c7bf8f51a22e8d0b8821161561e.jpg?v=1785103353" TargetMode="External" Id="rId74"/><Relationship Type="http://schemas.openxmlformats.org/officeDocument/2006/relationships/hyperlink" Target="https://cdn.shopify.com/s/files/1/0792/5098/1063/files/f6a3692d3aa189160ac42ddbe8ec414e71ba966437ecc51a73f56f3b992d89ce.jpg?v=1785103353" TargetMode="External" Id="rId75"/><Relationship Type="http://schemas.openxmlformats.org/officeDocument/2006/relationships/hyperlink" Target="https://cdn.shopify.com/s/files/1/0792/5098/1063/files/f6a3692d3aa189160ac42ddbe8ec414e71ba966437ecc51a73f56f3b992d89ce.jpg?v=1785103353" TargetMode="External" Id="rId76"/><Relationship Type="http://schemas.openxmlformats.org/officeDocument/2006/relationships/hyperlink" Target="https://cdn.shopify.com/s/files/1/0792/5098/1063/files/f693918bd03ec5b2fabef416db50f85062ce3c5c1497878e0b5db3f80049abfe.jpg?v=1785103353" TargetMode="External" Id="rId77"/><Relationship Type="http://schemas.openxmlformats.org/officeDocument/2006/relationships/hyperlink" Target="https://cdn.shopify.com/s/files/1/0792/5098/1063/files/f693918bd03ec5b2fabef416db50f85062ce3c5c1497878e0b5db3f80049abfe.jpg?v=1785103353" TargetMode="External" Id="rId78"/><Relationship Type="http://schemas.openxmlformats.org/officeDocument/2006/relationships/hyperlink" Target="https://cdn.shopify.com/s/files/1/0792/5098/1063/files/12e0170316324347b1c2fc3bb335cf00c3e4d5ebac978b565d2bca74e67e4aeb.jpg?v=1785103353" TargetMode="External" Id="rId79"/><Relationship Type="http://schemas.openxmlformats.org/officeDocument/2006/relationships/hyperlink" Target="https://cdn.shopify.com/s/files/1/0792/5098/1063/files/12e0170316324347b1c2fc3bb335cf00c3e4d5ebac978b565d2bca74e67e4aeb.jpg?v=1785103353" TargetMode="External" Id="rId80"/><Relationship Type="http://schemas.openxmlformats.org/officeDocument/2006/relationships/hyperlink" Target="https://cdn.shopify.com/s/files/1/0792/5098/1063/files/7ff043f609e6b3494b859585c800681b91bfdbcca52d1a21fbb5594379cbe34a.jpg?v=1785103353" TargetMode="External" Id="rId81"/><Relationship Type="http://schemas.openxmlformats.org/officeDocument/2006/relationships/hyperlink" Target="https://cdn.shopify.com/s/files/1/0792/5098/1063/files/7ff043f609e6b3494b859585c800681b91bfdbcca52d1a21fbb5594379cbe34a.jpg?v=1785103353" TargetMode="External" Id="rId82"/><Relationship Type="http://schemas.openxmlformats.org/officeDocument/2006/relationships/hyperlink" Target="https://cdn.shopify.com/s/files/1/0792/5098/1063/files/b6cd34a72d72c728bb3299f3d4da788ca922c473d8c779016ce727043a3c3398.jpg?v=1786596968" TargetMode="External" Id="rId83"/><Relationship Type="http://schemas.openxmlformats.org/officeDocument/2006/relationships/hyperlink" Target="https://cdn.shopify.com/s/files/1/0792/5098/1063/files/b6cd34a72d72c728bb3299f3d4da788ca922c473d8c779016ce727043a3c3398.jpg?v=1786596968" TargetMode="External" Id="rId84"/><Relationship Type="http://schemas.openxmlformats.org/officeDocument/2006/relationships/hyperlink" Target="https://cdn.shopify.com/s/files/1/0792/5098/1063/files/bba2dd6433689526b2335b7c1e552959c8f06e353451795b0d72af4bba89e36d.jpg?v=1786596968" TargetMode="External" Id="rId85"/><Relationship Type="http://schemas.openxmlformats.org/officeDocument/2006/relationships/hyperlink" Target="https://cdn.shopify.com/s/files/1/0792/5098/1063/files/bba2dd6433689526b2335b7c1e552959c8f06e353451795b0d72af4bba89e36d.jpg?v=1786596968" TargetMode="External" Id="rId86"/><Relationship Type="http://schemas.openxmlformats.org/officeDocument/2006/relationships/hyperlink" Target="https://cdn.shopify.com/s/files/1/0792/5098/1063/files/133acefcd1f5db8f54935b64a6c42994b539d10e3484cf00c039105f98628fbb.jpg?v=1786596968" TargetMode="External" Id="rId87"/><Relationship Type="http://schemas.openxmlformats.org/officeDocument/2006/relationships/hyperlink" Target="https://cdn.shopify.com/s/files/1/0792/5098/1063/files/133acefcd1f5db8f54935b64a6c42994b539d10e3484cf00c039105f98628fbb.jpg?v=1786596968" TargetMode="External" Id="rId88"/><Relationship Type="http://schemas.openxmlformats.org/officeDocument/2006/relationships/hyperlink" Target="https://cdn.shopify.com/s/files/1/0792/5098/1063/files/e9946aac9a838881ab8553d9e775069d9ce81cd97c4b10753ddad9a7d2955cea.jpg?v=1786596968" TargetMode="External" Id="rId89"/><Relationship Type="http://schemas.openxmlformats.org/officeDocument/2006/relationships/hyperlink" Target="https://cdn.shopify.com/s/files/1/0792/5098/1063/files/e9946aac9a838881ab8553d9e775069d9ce81cd97c4b10753ddad9a7d2955cea.jpg?v=1786596968" TargetMode="External" Id="rId90"/><Relationship Type="http://schemas.openxmlformats.org/officeDocument/2006/relationships/hyperlink" Target="https://cdn.shopify.com/s/files/1/0792/5098/1063/files/20c6ad08b0330a12b5dff7193937c39d9013de1876e587f8a42fe6fbd1756d6b.jpg?v=1786596968" TargetMode="External" Id="rId91"/><Relationship Type="http://schemas.openxmlformats.org/officeDocument/2006/relationships/hyperlink" Target="https://cdn.shopify.com/s/files/1/0792/5098/1063/files/20c6ad08b0330a12b5dff7193937c39d9013de1876e587f8a42fe6fbd1756d6b.jpg?v=1786596968" TargetMode="External" Id="rId92"/><Relationship Type="http://schemas.openxmlformats.org/officeDocument/2006/relationships/hyperlink" Target="https://cdn.shopify.com/s/files/1/0792/5098/1063/files/cf5bad09c12126df5f9ce380889c2f8348a1b05126dff0ddd0904f04c00722cb.jpg?v=1786596968" TargetMode="External" Id="rId93"/><Relationship Type="http://schemas.openxmlformats.org/officeDocument/2006/relationships/hyperlink" Target="https://cdn.shopify.com/s/files/1/0792/5098/1063/files/cf5bad09c12126df5f9ce380889c2f8348a1b05126dff0ddd0904f04c00722cb.jpg?v=1786596968" TargetMode="External" Id="rId94"/><Relationship Type="http://schemas.openxmlformats.org/officeDocument/2006/relationships/hyperlink" Target="https://cdn.shopify.com/s/files/1/0792/5098/1063/files/f460a64694fc0f7702fe7e69c3b087898a73890125c7b3c373f6292b397cb764.jpg?v=1786596968" TargetMode="External" Id="rId95"/><Relationship Type="http://schemas.openxmlformats.org/officeDocument/2006/relationships/hyperlink" Target="https://cdn.shopify.com/s/files/1/0792/5098/1063/files/f460a64694fc0f7702fe7e69c3b087898a73890125c7b3c373f6292b397cb764.jpg?v=1786596968" TargetMode="External" Id="rId96"/><Relationship Type="http://schemas.openxmlformats.org/officeDocument/2006/relationships/hyperlink" Target="https://cdn.shopify.com/s/files/1/0792/5098/1063/files/5c0401e94c422195d8dc97b8cc859b7ab413ddf40e4f7c0f1455113298c8ba2b.jpg?v=1786596968" TargetMode="External" Id="rId97"/><Relationship Type="http://schemas.openxmlformats.org/officeDocument/2006/relationships/hyperlink" Target="https://cdn.shopify.com/s/files/1/0792/5098/1063/files/5c0401e94c422195d8dc97b8cc859b7ab413ddf40e4f7c0f1455113298c8ba2b.jpg?v=1786596968" TargetMode="External" Id="rId98"/><Relationship Type="http://schemas.openxmlformats.org/officeDocument/2006/relationships/hyperlink" Target="https://cdn.shopify.com/s/files/1/0792/5098/1063/files/b0d49dab17c6bdcc632b9ef24f12d0fb5113a83ac744ae5538fe6133d8649026.jpg?v=1786596344" TargetMode="External" Id="rId99"/><Relationship Type="http://schemas.openxmlformats.org/officeDocument/2006/relationships/hyperlink" Target="https://cdn.shopify.com/s/files/1/0792/5098/1063/files/b0d49dab17c6bdcc632b9ef24f12d0fb5113a83ac744ae5538fe6133d8649026.jpg?v=1786596344" TargetMode="External" Id="rId100"/><Relationship Type="http://schemas.openxmlformats.org/officeDocument/2006/relationships/hyperlink" Target="https://cdn.shopify.com/s/files/1/0792/5098/1063/files/f3a0a135c363494f783788473b93526b47c2e8cb319704064bfa447e97981e08.jpg?v=1786596344" TargetMode="External" Id="rId101"/><Relationship Type="http://schemas.openxmlformats.org/officeDocument/2006/relationships/hyperlink" Target="https://cdn.shopify.com/s/files/1/0792/5098/1063/files/f3a0a135c363494f783788473b93526b47c2e8cb319704064bfa447e97981e08.jpg?v=1786596344" TargetMode="External" Id="rId102"/><Relationship Type="http://schemas.openxmlformats.org/officeDocument/2006/relationships/hyperlink" Target="https://cdn.shopify.com/s/files/1/0792/5098/1063/files/393dde0641c109a658cdad67fc9a0926528b3e95ea49aaeeb473cb484ba86994.jpg?v=1786596344" TargetMode="External" Id="rId103"/><Relationship Type="http://schemas.openxmlformats.org/officeDocument/2006/relationships/hyperlink" Target="https://cdn.shopify.com/s/files/1/0792/5098/1063/files/393dde0641c109a658cdad67fc9a0926528b3e95ea49aaeeb473cb484ba86994.jpg?v=1786596344" TargetMode="External" Id="rId104"/><Relationship Type="http://schemas.openxmlformats.org/officeDocument/2006/relationships/hyperlink" Target="https://cdn.shopify.com/s/files/1/0792/5098/1063/files/30947e72faf8e7b9ab47f0ff239bbbf2f0536869f498102f1e0e8bf0047e10d5.jpg?v=1786596344" TargetMode="External" Id="rId105"/><Relationship Type="http://schemas.openxmlformats.org/officeDocument/2006/relationships/hyperlink" Target="https://cdn.shopify.com/s/files/1/0792/5098/1063/files/30947e72faf8e7b9ab47f0ff239bbbf2f0536869f498102f1e0e8bf0047e10d5.jpg?v=1786596344" TargetMode="External" Id="rId106"/><Relationship Type="http://schemas.openxmlformats.org/officeDocument/2006/relationships/hyperlink" Target="https://cdn.shopify.com/s/files/1/0792/5098/1063/files/561164be4965ba7d14d31536c839a8c98aaeb4b67535565041d490d5464c3971.jpg?v=1786596344" TargetMode="External" Id="rId107"/><Relationship Type="http://schemas.openxmlformats.org/officeDocument/2006/relationships/hyperlink" Target="https://cdn.shopify.com/s/files/1/0792/5098/1063/files/561164be4965ba7d14d31536c839a8c98aaeb4b67535565041d490d5464c3971.jpg?v=1786596344" TargetMode="External" Id="rId108"/><Relationship Type="http://schemas.openxmlformats.org/officeDocument/2006/relationships/hyperlink" Target="https://cdn.shopify.com/s/files/1/0792/5098/1063/files/3d8d0ae7827b3277b85844c9dfadb1dc1394b9b7636bd7f2cfb977f845b7cfdf.jpg?v=1786596344" TargetMode="External" Id="rId109"/><Relationship Type="http://schemas.openxmlformats.org/officeDocument/2006/relationships/hyperlink" Target="https://cdn.shopify.com/s/files/1/0792/5098/1063/files/3d8d0ae7827b3277b85844c9dfadb1dc1394b9b7636bd7f2cfb977f845b7cfdf.jpg?v=1786596344" TargetMode="External" Id="rId110"/><Relationship Type="http://schemas.openxmlformats.org/officeDocument/2006/relationships/hyperlink" Target="https://cdn.shopify.com/s/files/1/0792/5098/1063/files/e06ad6ea585a2cced1450af7ae2c5b03c02b4040afe9aafb22249887d13df84c.jpg?v=1786596344" TargetMode="External" Id="rId111"/><Relationship Type="http://schemas.openxmlformats.org/officeDocument/2006/relationships/hyperlink" Target="https://cdn.shopify.com/s/files/1/0792/5098/1063/files/e06ad6ea585a2cced1450af7ae2c5b03c02b4040afe9aafb22249887d13df84c.jpg?v=1786596344" TargetMode="External" Id="rId112"/><Relationship Type="http://schemas.openxmlformats.org/officeDocument/2006/relationships/hyperlink" Target="https://cdn.shopify.com/s/files/1/0792/5098/1063/files/1695bd29dc1e745b27c0ca317e206d17ca3c35cfb7319cb0cc84d6339e3f7877.jpg?v=1786596344" TargetMode="External" Id="rId113"/><Relationship Type="http://schemas.openxmlformats.org/officeDocument/2006/relationships/hyperlink" Target="https://cdn.shopify.com/s/files/1/0792/5098/1063/files/1695bd29dc1e745b27c0ca317e206d17ca3c35cfb7319cb0cc84d6339e3f7877.jpg?v=1786596344" TargetMode="External" Id="rId114"/><Relationship Type="http://schemas.openxmlformats.org/officeDocument/2006/relationships/hyperlink" Target="https://cdn.shopify.com/s/files/1/0792/5098/1063/files/1e3ef58d63b3b377403c7baa0c39f0aaca49df18a0c49d7048c441975452b123.jpg?v=1786596467" TargetMode="External" Id="rId115"/><Relationship Type="http://schemas.openxmlformats.org/officeDocument/2006/relationships/hyperlink" Target="https://cdn.shopify.com/s/files/1/0792/5098/1063/files/1e3ef58d63b3b377403c7baa0c39f0aaca49df18a0c49d7048c441975452b123.jpg?v=1786596467" TargetMode="External" Id="rId116"/><Relationship Type="http://schemas.openxmlformats.org/officeDocument/2006/relationships/hyperlink" Target="https://cdn.shopify.com/s/files/1/0792/5098/1063/files/304708b511b50b432675e367d219231bee1cbde6563b89370c053e7839041edc.jpg?v=1786596467" TargetMode="External" Id="rId117"/><Relationship Type="http://schemas.openxmlformats.org/officeDocument/2006/relationships/hyperlink" Target="https://cdn.shopify.com/s/files/1/0792/5098/1063/files/304708b511b50b432675e367d219231bee1cbde6563b89370c053e7839041edc.jpg?v=1786596467" TargetMode="External" Id="rId118"/><Relationship Type="http://schemas.openxmlformats.org/officeDocument/2006/relationships/hyperlink" Target="https://cdn.shopify.com/s/files/1/0792/5098/1063/files/6600b0d72504e32a2407088eb65dfe69f600a0e52f61f6e63e49596488c1e1ee.jpg?v=1786596467" TargetMode="External" Id="rId119"/><Relationship Type="http://schemas.openxmlformats.org/officeDocument/2006/relationships/hyperlink" Target="https://cdn.shopify.com/s/files/1/0792/5098/1063/files/6600b0d72504e32a2407088eb65dfe69f600a0e52f61f6e63e49596488c1e1ee.jpg?v=1786596467" TargetMode="External" Id="rId120"/><Relationship Type="http://schemas.openxmlformats.org/officeDocument/2006/relationships/hyperlink" Target="https://cdn.shopify.com/s/files/1/0792/5098/1063/files/32610255b10c95dd1994672a4db25a99d1504f8d5700b5a9d68dc5ea58417837.jpg?v=1786596466" TargetMode="External" Id="rId121"/><Relationship Type="http://schemas.openxmlformats.org/officeDocument/2006/relationships/hyperlink" Target="https://cdn.shopify.com/s/files/1/0792/5098/1063/files/32610255b10c95dd1994672a4db25a99d1504f8d5700b5a9d68dc5ea58417837.jpg?v=1786596466" TargetMode="External" Id="rId122"/><Relationship Type="http://schemas.openxmlformats.org/officeDocument/2006/relationships/hyperlink" Target="https://cdn.shopify.com/s/files/1/0792/5098/1063/files/4ce7ad7b28af41f4184ce676d817e67ba0c3a923153c1e8fd3b4932131d9a04c.jpg?v=1786596467" TargetMode="External" Id="rId123"/><Relationship Type="http://schemas.openxmlformats.org/officeDocument/2006/relationships/hyperlink" Target="https://cdn.shopify.com/s/files/1/0792/5098/1063/files/4ce7ad7b28af41f4184ce676d817e67ba0c3a923153c1e8fd3b4932131d9a04c.jpg?v=1786596467" TargetMode="External" Id="rId124"/><Relationship Type="http://schemas.openxmlformats.org/officeDocument/2006/relationships/hyperlink" Target="https://cdn.shopify.com/s/files/1/0792/5098/1063/files/8f4ca20461e5e7f3c9a4f9e46a3aeb722251b8c5bda7ce1d6dd3566915800b92.jpg?v=1786596467" TargetMode="External" Id="rId125"/><Relationship Type="http://schemas.openxmlformats.org/officeDocument/2006/relationships/hyperlink" Target="https://cdn.shopify.com/s/files/1/0792/5098/1063/files/8f4ca20461e5e7f3c9a4f9e46a3aeb722251b8c5bda7ce1d6dd3566915800b92.jpg?v=1786596467" TargetMode="External" Id="rId126"/><Relationship Type="http://schemas.openxmlformats.org/officeDocument/2006/relationships/hyperlink" Target="https://cdn.shopify.com/s/files/1/0792/5098/1063/files/4aa92077789873319d5517c427bfa50d8063a0acc92b217756a381f9fe296efa.jpg?v=1786596467" TargetMode="External" Id="rId127"/><Relationship Type="http://schemas.openxmlformats.org/officeDocument/2006/relationships/hyperlink" Target="https://cdn.shopify.com/s/files/1/0792/5098/1063/files/4aa92077789873319d5517c427bfa50d8063a0acc92b217756a381f9fe296efa.jpg?v=1786596467" TargetMode="External" Id="rId128"/><Relationship Type="http://schemas.openxmlformats.org/officeDocument/2006/relationships/hyperlink" Target="https://cdn.shopify.com/s/files/1/0792/5098/1063/files/4bf3e5ac8d2c496079286be34619f530e3a2ef3ee4eb27bf1ccc7beac7dfa930.jpg?v=1786596467" TargetMode="External" Id="rId129"/><Relationship Type="http://schemas.openxmlformats.org/officeDocument/2006/relationships/hyperlink" Target="https://cdn.shopify.com/s/files/1/0792/5098/1063/files/4bf3e5ac8d2c496079286be34619f530e3a2ef3ee4eb27bf1ccc7beac7dfa930.jpg?v=1786596467" TargetMode="External" Id="rId130"/><Relationship Type="http://schemas.openxmlformats.org/officeDocument/2006/relationships/hyperlink" Target="https://cdn.shopify.com/s/files/1/0792/5098/1063/files/3d80b7de7d1f734e2ecfc7968366600fbdbd5ea5fa3c36401da4183fc73403f1.jpg?v=1786596780" TargetMode="External" Id="rId131"/><Relationship Type="http://schemas.openxmlformats.org/officeDocument/2006/relationships/hyperlink" Target="https://cdn.shopify.com/s/files/1/0792/5098/1063/files/3d80b7de7d1f734e2ecfc7968366600fbdbd5ea5fa3c36401da4183fc73403f1.jpg?v=1786596780" TargetMode="External" Id="rId132"/><Relationship Type="http://schemas.openxmlformats.org/officeDocument/2006/relationships/hyperlink" Target="https://cdn.shopify.com/s/files/1/0792/5098/1063/files/83e15a673d7d1da050a161634e22e9593dc2161ab2861c9d7a1565a35a0df5fd.jpg?v=1786596780" TargetMode="External" Id="rId133"/><Relationship Type="http://schemas.openxmlformats.org/officeDocument/2006/relationships/hyperlink" Target="https://cdn.shopify.com/s/files/1/0792/5098/1063/files/83e15a673d7d1da050a161634e22e9593dc2161ab2861c9d7a1565a35a0df5fd.jpg?v=1786596780" TargetMode="External" Id="rId134"/><Relationship Type="http://schemas.openxmlformats.org/officeDocument/2006/relationships/hyperlink" Target="https://cdn.shopify.com/s/files/1/0792/5098/1063/files/b032afe25c0b31b61cc058ec5d2b0b263e0f2d006ceccecc1b1a7eb01a1809dc.jpg?v=1786596780" TargetMode="External" Id="rId135"/><Relationship Type="http://schemas.openxmlformats.org/officeDocument/2006/relationships/hyperlink" Target="https://cdn.shopify.com/s/files/1/0792/5098/1063/files/b032afe25c0b31b61cc058ec5d2b0b263e0f2d006ceccecc1b1a7eb01a1809dc.jpg?v=1786596780" TargetMode="External" Id="rId136"/><Relationship Type="http://schemas.openxmlformats.org/officeDocument/2006/relationships/hyperlink" Target="https://cdn.shopify.com/s/files/1/0792/5098/1063/files/ee31f565477c8d5e60e6e828da4896e0d9999f7ac852fafc866a10174eec8bfd.jpg?v=1786596780" TargetMode="External" Id="rId137"/><Relationship Type="http://schemas.openxmlformats.org/officeDocument/2006/relationships/hyperlink" Target="https://cdn.shopify.com/s/files/1/0792/5098/1063/files/ee31f565477c8d5e60e6e828da4896e0d9999f7ac852fafc866a10174eec8bfd.jpg?v=1786596780" TargetMode="External" Id="rId138"/><Relationship Type="http://schemas.openxmlformats.org/officeDocument/2006/relationships/hyperlink" Target="https://cdn.shopify.com/s/files/1/0792/5098/1063/files/57b0bb2bb4ea8e6a43e9de940df134059dc576db7cbabe4b7496475a71f27764.jpg?v=1786596780" TargetMode="External" Id="rId139"/><Relationship Type="http://schemas.openxmlformats.org/officeDocument/2006/relationships/hyperlink" Target="https://cdn.shopify.com/s/files/1/0792/5098/1063/files/57b0bb2bb4ea8e6a43e9de940df134059dc576db7cbabe4b7496475a71f27764.jpg?v=1786596780" TargetMode="External" Id="rId140"/><Relationship Type="http://schemas.openxmlformats.org/officeDocument/2006/relationships/hyperlink" Target="https://cdn.shopify.com/s/files/1/0792/5098/1063/files/229be66a9e9e5e22fdec36da8f53aaea958d634b94b90fbb3c8082284ba3eaf4.jpg?v=1786596780" TargetMode="External" Id="rId141"/><Relationship Type="http://schemas.openxmlformats.org/officeDocument/2006/relationships/hyperlink" Target="https://cdn.shopify.com/s/files/1/0792/5098/1063/files/229be66a9e9e5e22fdec36da8f53aaea958d634b94b90fbb3c8082284ba3eaf4.jpg?v=1786596780" TargetMode="External" Id="rId142"/><Relationship Type="http://schemas.openxmlformats.org/officeDocument/2006/relationships/hyperlink" Target="https://cdn.shopify.com/s/files/1/0792/5098/1063/files/c3a47e8ec44fb577496c4a89f94c907d6704a91509dd99a418f3dc0e038a4f3e.jpg?v=1786596780" TargetMode="External" Id="rId143"/><Relationship Type="http://schemas.openxmlformats.org/officeDocument/2006/relationships/hyperlink" Target="https://cdn.shopify.com/s/files/1/0792/5098/1063/files/c3a47e8ec44fb577496c4a89f94c907d6704a91509dd99a418f3dc0e038a4f3e.jpg?v=1786596780" TargetMode="External" Id="rId144"/><Relationship Type="http://schemas.openxmlformats.org/officeDocument/2006/relationships/hyperlink" Target="https://cdn.shopify.com/s/files/1/0792/5098/1063/files/fae8e2040b0e02cb6244f200a057209b7427bd45ced7b542a3836dde42c2e396.jpg?v=1786596780" TargetMode="External" Id="rId145"/><Relationship Type="http://schemas.openxmlformats.org/officeDocument/2006/relationships/hyperlink" Target="https://cdn.shopify.com/s/files/1/0792/5098/1063/files/fae8e2040b0e02cb6244f200a057209b7427bd45ced7b542a3836dde42c2e396.jpg?v=1786596780" TargetMode="External" Id="rId14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Independent QA rubric.</t>
        </is>
      </c>
    </row>
    <row r="3" ht="42" customHeight="1">
      <c r="A3" s="3" t="inlineStr">
        <is>
          <t>shop_domain</t>
        </is>
      </c>
      <c r="B3" s="3" t="inlineStr">
        <is>
          <t>jeminise.com</t>
        </is>
      </c>
      <c r="C3" s="3" t="inlineStr">
        <is>
          <t>Shop.</t>
        </is>
      </c>
    </row>
    <row r="4" ht="42" customHeight="1">
      <c r="A4" s="2" t="inlineStr">
        <is>
          <t>source_run_id</t>
        </is>
      </c>
      <c r="B4" s="2" t="inlineStr">
        <is>
          <t>20260906_234129</t>
        </is>
      </c>
      <c r="C4" s="2" t="inlineStr">
        <is>
          <t>Drafting run.</t>
        </is>
      </c>
    </row>
    <row r="5" ht="42" customHeight="1">
      <c r="A5" s="3" t="inlineStr">
        <is>
          <t>qa_run_id</t>
        </is>
      </c>
      <c r="B5" s="3" t="inlineStr">
        <is>
          <t>20260908_010000</t>
        </is>
      </c>
      <c r="C5" s="3" t="inlineStr">
        <is>
          <t>This re-QA run.</t>
        </is>
      </c>
    </row>
    <row r="6" ht="42" customHeight="1">
      <c r="A6" s="2" t="inlineStr">
        <is>
          <t>qa_batch_id</t>
        </is>
      </c>
      <c r="B6" s="2" t="inlineStr">
        <is>
          <t>qa_batch_010</t>
        </is>
      </c>
      <c r="C6" s="2" t="inlineStr">
        <is>
          <t>Fixed scope.</t>
        </is>
      </c>
    </row>
    <row r="7" ht="42" customHeight="1">
      <c r="A7" s="3" t="inlineStr">
        <is>
          <t>revision</t>
        </is>
      </c>
      <c r="B7" s="3" t="inlineStr">
        <is>
          <t>r3</t>
        </is>
      </c>
      <c r="C7" s="3" t="inlineStr">
        <is>
          <t>Workbook revision assessed.</t>
        </is>
      </c>
    </row>
    <row r="8" ht="42" customHeight="1">
      <c r="A8" s="2" t="inlineStr">
        <is>
          <t>source_workbook</t>
        </is>
      </c>
      <c r="B8" s="2" t="inlineStr">
        <is>
          <t>D:\Shopify_Workspace\jeminise_seo\resutls\jeminise.com\20260906_234129\revisions\qa_batch_010_r3\SEO_Product_Optimization_qa_batch_010_r3.xlsx</t>
        </is>
      </c>
      <c r="C8" s="2" t="inlineStr">
        <is>
          <t>Frozen r3 source.</t>
        </is>
      </c>
    </row>
    <row r="9" ht="42" customHeight="1">
      <c r="A9" s="3" t="inlineStr">
        <is>
          <t>source_sha256</t>
        </is>
      </c>
      <c r="B9" s="3" t="inlineStr">
        <is>
          <t>682468BA68CFE8721C1357EA1B8CC0059A28B1FCE625DEC985237434AA128130</t>
        </is>
      </c>
      <c r="C9" s="3" t="inlineStr">
        <is>
          <t>Hash at freeze and handoff.</t>
        </is>
      </c>
    </row>
    <row r="10" ht="42" customHeight="1">
      <c r="A10" s="2" t="inlineStr">
        <is>
          <t>scope</t>
        </is>
      </c>
      <c r="B10" s="2" t="inlineStr">
        <is>
          <t>10 products, 73/73 images (100%)</t>
        </is>
      </c>
      <c r="C10" s="2" t="inlineStr">
        <is>
          <t>Inventory positions 91–100.</t>
        </is>
      </c>
    </row>
    <row r="11" ht="42" customHeight="1">
      <c r="A11" s="3" t="inlineStr">
        <is>
          <t>batch_final_score</t>
        </is>
      </c>
      <c r="B11" s="3">
        <f>AVERAGE('QA_Products'!$K$2:$K$11)</f>
        <v/>
      </c>
      <c r="C11" s="3" t="inlineStr">
        <is>
          <t>Average formula-driven final scores.</t>
        </is>
      </c>
    </row>
    <row r="12" ht="42" customHeight="1">
      <c r="A12" s="2" t="inlineStr">
        <is>
          <t>batch_result</t>
        </is>
      </c>
      <c r="B12" s="2">
        <f>IF(COUNTIF('QA_Products'!$L$2:$L$11,"QA_PASS")=ROWS('QA_Products'!$L$2:$L$11),"PASSED","NOT_PASSED")</f>
        <v/>
      </c>
      <c r="C12" s="2" t="inlineStr">
        <is>
          <t>All products QA_PASS.</t>
        </is>
      </c>
    </row>
    <row r="13" ht="42" customHeight="1">
      <c r="A13" s="3" t="inlineStr">
        <is>
          <t>status_counts</t>
        </is>
      </c>
      <c r="B13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3" s="3" t="inlineStr">
        <is>
          <t>Final rubric statuses.</t>
        </is>
      </c>
    </row>
    <row r="14" ht="42" customHeight="1">
      <c r="A14" s="2" t="inlineStr">
        <is>
          <t>issue_counts</t>
        </is>
      </c>
      <c r="B14" s="2" t="inlineStr">
        <is>
          <t>CRITICAL=0; MAJOR=0; MINOR=0; LIMITATION=10</t>
        </is>
      </c>
      <c r="C14" s="2" t="inlineStr">
        <is>
          <t>Findings by severity.</t>
        </is>
      </c>
    </row>
    <row r="15" ht="42" customHeight="1">
      <c r="A15" s="3" t="inlineStr">
        <is>
          <t>awaiting_confirmation</t>
        </is>
      </c>
      <c r="B15" s="3" t="b">
        <v>1</v>
      </c>
      <c r="C15" s="3" t="inlineStr">
        <is>
          <t>Do not assess another batch without instruction.</t>
        </is>
      </c>
    </row>
  </sheetData>
  <autoFilter ref="A1:C15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91</v>
      </c>
      <c r="B2" s="2" t="inlineStr">
        <is>
          <t>jeminise.com+custom-native-american-inspired-wolf-head-inside-circular-frame-comforter-d351b4bfe1-d351b4bfe1</t>
        </is>
      </c>
      <c r="C2" s="4" t="inlineStr">
        <is>
          <t>https://jeminise.com/products/custom-native-american-inspired-wolf-head-inside-circular-frame-comforter-d351b4bfe1-d351b4bfe1</t>
        </is>
      </c>
      <c r="D2" s="2" t="inlineStr">
        <is>
          <t>custom-native-american-inspired-wolf-head-inside-circular-frame-comforter-d351b4bfe1-d351b4bfe1</t>
        </is>
      </c>
      <c r="E2" s="2" t="inlineStr">
        <is>
          <t>8837138940103</t>
        </is>
      </c>
      <c r="F2" s="2" t="inlineStr">
        <is>
          <t>r3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5</v>
      </c>
      <c r="O2" s="2" t="n">
        <v>5</v>
      </c>
      <c r="P2" s="2" t="b">
        <v>1</v>
      </c>
      <c r="Q2" s="6" t="n">
        <v>1</v>
      </c>
      <c r="R2" s="2">
        <f>COUNTIFS('QA_Issues'!$B$2:$B$11,B2,'QA_Issues'!$D$2:$D$11,"CRITICAL")</f>
        <v/>
      </c>
      <c r="S2" s="2">
        <f>COUNTIFS('QA_Issues'!$B$2:$B$11,B2,'QA_Issues'!$D$2:$D$11,"MAJOR")</f>
        <v/>
      </c>
      <c r="T2" s="2">
        <f>COUNTIFS('QA_Issues'!$B$2:$B$11,B2,'QA_Issues'!$D$2:$D$11,"MINOR")</f>
        <v/>
      </c>
      <c r="U2" s="2">
        <f>COUNTIFS('QA_Issues'!$B$2:$B$11,B2,'QA_Issues'!$D$2:$D$11,"LIMITATION")</f>
        <v/>
      </c>
      <c r="V2" s="2" t="inlineStr">
        <is>
          <t>ISSUE-0001</t>
        </is>
      </c>
      <c r="W2" s="2" t="inlineStr">
        <is>
          <t>evidence_batch_010_091; live_source_comparison; customizer_audit; serp_evidence</t>
        </is>
      </c>
    </row>
    <row r="3" ht="42" customHeight="1">
      <c r="A3" s="3" t="n">
        <v>92</v>
      </c>
      <c r="B3" s="3" t="inlineStr">
        <is>
          <t>jeminise.com+custom-neon-green-soccer-player-artwork-comforter-set-boys-room-decor</t>
        </is>
      </c>
      <c r="C3" s="4" t="inlineStr">
        <is>
          <t>https://jeminise.com/products/custom-neon-green-soccer-player-artwork-comforter-set-boys-room-decor</t>
        </is>
      </c>
      <c r="D3" s="3" t="inlineStr">
        <is>
          <t>custom-neon-green-soccer-player-artwork-comforter-set-boys-room-decor</t>
        </is>
      </c>
      <c r="E3" s="3" t="inlineStr">
        <is>
          <t>8860498821319</t>
        </is>
      </c>
      <c r="F3" s="3" t="inlineStr">
        <is>
          <t>r3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8</v>
      </c>
      <c r="O3" s="3" t="n">
        <v>8</v>
      </c>
      <c r="P3" s="3" t="b">
        <v>1</v>
      </c>
      <c r="Q3" s="8" t="n">
        <v>1</v>
      </c>
      <c r="R3" s="3">
        <f>COUNTIFS('QA_Issues'!$B$2:$B$11,B3,'QA_Issues'!$D$2:$D$11,"CRITICAL")</f>
        <v/>
      </c>
      <c r="S3" s="3">
        <f>COUNTIFS('QA_Issues'!$B$2:$B$11,B3,'QA_Issues'!$D$2:$D$11,"MAJOR")</f>
        <v/>
      </c>
      <c r="T3" s="3">
        <f>COUNTIFS('QA_Issues'!$B$2:$B$11,B3,'QA_Issues'!$D$2:$D$11,"MINOR")</f>
        <v/>
      </c>
      <c r="U3" s="3">
        <f>COUNTIFS('QA_Issues'!$B$2:$B$11,B3,'QA_Issues'!$D$2:$D$11,"LIMITATION")</f>
        <v/>
      </c>
      <c r="V3" s="3" t="inlineStr">
        <is>
          <t>ISSUE-0002</t>
        </is>
      </c>
      <c r="W3" s="3" t="inlineStr">
        <is>
          <t>evidence_batch_010_092; live_source_comparison; customizer_audit; serp_evidence</t>
        </is>
      </c>
    </row>
    <row r="4" ht="42" customHeight="1">
      <c r="A4" s="2" t="n">
        <v>93</v>
      </c>
      <c r="B4" s="2" t="inlineStr">
        <is>
          <t>jeminise.com+custom-patriotic-semi-truck-on-american-flag-background-comforter-e664ba94f8-e664ba94f8</t>
        </is>
      </c>
      <c r="C4" s="4" t="inlineStr">
        <is>
          <t>https://jeminise.com/products/custom-patriotic-semi-truck-on-american-flag-background-comforter-e664ba94f8-e664ba94f8</t>
        </is>
      </c>
      <c r="D4" s="2" t="inlineStr">
        <is>
          <t>custom-patriotic-semi-truck-on-american-flag-background-comforter-e664ba94f8-e664ba94f8</t>
        </is>
      </c>
      <c r="E4" s="2" t="inlineStr">
        <is>
          <t>8835550806215</t>
        </is>
      </c>
      <c r="F4" s="2" t="inlineStr">
        <is>
          <t>r3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7</v>
      </c>
      <c r="O4" s="2" t="n">
        <v>7</v>
      </c>
      <c r="P4" s="2" t="b">
        <v>1</v>
      </c>
      <c r="Q4" s="6" t="n">
        <v>1</v>
      </c>
      <c r="R4" s="2">
        <f>COUNTIFS('QA_Issues'!$B$2:$B$11,B4,'QA_Issues'!$D$2:$D$11,"CRITICAL")</f>
        <v/>
      </c>
      <c r="S4" s="2">
        <f>COUNTIFS('QA_Issues'!$B$2:$B$11,B4,'QA_Issues'!$D$2:$D$11,"MAJOR")</f>
        <v/>
      </c>
      <c r="T4" s="2">
        <f>COUNTIFS('QA_Issues'!$B$2:$B$11,B4,'QA_Issues'!$D$2:$D$11,"MINOR")</f>
        <v/>
      </c>
      <c r="U4" s="2">
        <f>COUNTIFS('QA_Issues'!$B$2:$B$11,B4,'QA_Issues'!$D$2:$D$11,"LIMITATION")</f>
        <v/>
      </c>
      <c r="V4" s="2" t="inlineStr">
        <is>
          <t>ISSUE-0003</t>
        </is>
      </c>
      <c r="W4" s="2" t="inlineStr">
        <is>
          <t>evidence_batch_010_093; live_source_comparison; customizer_audit; serp_evidence</t>
        </is>
      </c>
    </row>
    <row r="5" ht="42" customHeight="1">
      <c r="A5" s="3" t="n">
        <v>94</v>
      </c>
      <c r="B5" s="3" t="inlineStr">
        <is>
          <t>jeminise.com+custom-patriotic-semi-truck-with-waving-american-flag-comforter-e01f2755b2-e01f2755b2</t>
        </is>
      </c>
      <c r="C5" s="4" t="inlineStr">
        <is>
          <t>https://jeminise.com/products/custom-patriotic-semi-truck-with-waving-american-flag-comforter-e01f2755b2-e01f2755b2</t>
        </is>
      </c>
      <c r="D5" s="3" t="inlineStr">
        <is>
          <t>custom-patriotic-semi-truck-with-waving-american-flag-comforter-e01f2755b2-e01f2755b2</t>
        </is>
      </c>
      <c r="E5" s="3" t="inlineStr">
        <is>
          <t>8835554541767</t>
        </is>
      </c>
      <c r="F5" s="3" t="inlineStr">
        <is>
          <t>r3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7</v>
      </c>
      <c r="O5" s="3" t="n">
        <v>7</v>
      </c>
      <c r="P5" s="3" t="b">
        <v>1</v>
      </c>
      <c r="Q5" s="8" t="n">
        <v>1</v>
      </c>
      <c r="R5" s="3">
        <f>COUNTIFS('QA_Issues'!$B$2:$B$11,B5,'QA_Issues'!$D$2:$D$11,"CRITICAL")</f>
        <v/>
      </c>
      <c r="S5" s="3">
        <f>COUNTIFS('QA_Issues'!$B$2:$B$11,B5,'QA_Issues'!$D$2:$D$11,"MAJOR")</f>
        <v/>
      </c>
      <c r="T5" s="3">
        <f>COUNTIFS('QA_Issues'!$B$2:$B$11,B5,'QA_Issues'!$D$2:$D$11,"MINOR")</f>
        <v/>
      </c>
      <c r="U5" s="3">
        <f>COUNTIFS('QA_Issues'!$B$2:$B$11,B5,'QA_Issues'!$D$2:$D$11,"LIMITATION")</f>
        <v/>
      </c>
      <c r="V5" s="3" t="inlineStr">
        <is>
          <t>ISSUE-0004</t>
        </is>
      </c>
      <c r="W5" s="3" t="inlineStr">
        <is>
          <t>evidence_batch_010_094; live_source_comparison; customizer_audit; serp_evidence</t>
        </is>
      </c>
    </row>
    <row r="6" ht="42" customHeight="1">
      <c r="A6" s="2" t="n">
        <v>95</v>
      </c>
      <c r="B6" s="2" t="inlineStr">
        <is>
          <t>jeminise.com+custom-patriotic-trucking-semi-truck-below-waving-american-flag-comforter-05c0cd8623-05c0cd8623</t>
        </is>
      </c>
      <c r="C6" s="4" t="inlineStr">
        <is>
          <t>https://jeminise.com/products/custom-patriotic-trucking-semi-truck-below-waving-american-flag-comforter-05c0cd8623-05c0cd8623</t>
        </is>
      </c>
      <c r="D6" s="2" t="inlineStr">
        <is>
          <t>custom-patriotic-trucking-semi-truck-below-waving-american-flag-comforter-05c0cd8623-05c0cd8623</t>
        </is>
      </c>
      <c r="E6" s="2" t="inlineStr">
        <is>
          <t>8835554246855</t>
        </is>
      </c>
      <c r="F6" s="2" t="inlineStr">
        <is>
          <t>r3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7</v>
      </c>
      <c r="O6" s="2" t="n">
        <v>7</v>
      </c>
      <c r="P6" s="2" t="b">
        <v>1</v>
      </c>
      <c r="Q6" s="6" t="n">
        <v>1</v>
      </c>
      <c r="R6" s="2">
        <f>COUNTIFS('QA_Issues'!$B$2:$B$11,B6,'QA_Issues'!$D$2:$D$11,"CRITICAL")</f>
        <v/>
      </c>
      <c r="S6" s="2">
        <f>COUNTIFS('QA_Issues'!$B$2:$B$11,B6,'QA_Issues'!$D$2:$D$11,"MAJOR")</f>
        <v/>
      </c>
      <c r="T6" s="2">
        <f>COUNTIFS('QA_Issues'!$B$2:$B$11,B6,'QA_Issues'!$D$2:$D$11,"MINOR")</f>
        <v/>
      </c>
      <c r="U6" s="2">
        <f>COUNTIFS('QA_Issues'!$B$2:$B$11,B6,'QA_Issues'!$D$2:$D$11,"LIMITATION")</f>
        <v/>
      </c>
      <c r="V6" s="2" t="inlineStr">
        <is>
          <t>ISSUE-0005</t>
        </is>
      </c>
      <c r="W6" s="2" t="inlineStr">
        <is>
          <t>evidence_batch_010_095; live_source_comparison; customizer_audit; serp_evidence</t>
        </is>
      </c>
    </row>
    <row r="7" ht="42" customHeight="1">
      <c r="A7" s="3" t="n">
        <v>96</v>
      </c>
      <c r="B7" s="3" t="inlineStr">
        <is>
          <t>jeminise.com+custom-photo-quilt-bicycle-flowers-07e2c6fca1-07e2c6fca1</t>
        </is>
      </c>
      <c r="C7" s="4" t="inlineStr">
        <is>
          <t>https://jeminise.com/products/custom-photo-quilt-bicycle-flowers-07e2c6fca1-07e2c6fca1</t>
        </is>
      </c>
      <c r="D7" s="3" t="inlineStr">
        <is>
          <t>custom-photo-quilt-bicycle-flowers-07e2c6fca1-07e2c6fca1</t>
        </is>
      </c>
      <c r="E7" s="3" t="inlineStr">
        <is>
          <t>8834787442887</t>
        </is>
      </c>
      <c r="F7" s="3" t="inlineStr">
        <is>
          <t>r3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7</v>
      </c>
      <c r="O7" s="3" t="n">
        <v>7</v>
      </c>
      <c r="P7" s="3" t="b">
        <v>1</v>
      </c>
      <c r="Q7" s="8" t="n">
        <v>1</v>
      </c>
      <c r="R7" s="3">
        <f>COUNTIFS('QA_Issues'!$B$2:$B$11,B7,'QA_Issues'!$D$2:$D$11,"CRITICAL")</f>
        <v/>
      </c>
      <c r="S7" s="3">
        <f>COUNTIFS('QA_Issues'!$B$2:$B$11,B7,'QA_Issues'!$D$2:$D$11,"MAJOR")</f>
        <v/>
      </c>
      <c r="T7" s="3">
        <f>COUNTIFS('QA_Issues'!$B$2:$B$11,B7,'QA_Issues'!$D$2:$D$11,"MINOR")</f>
        <v/>
      </c>
      <c r="U7" s="3">
        <f>COUNTIFS('QA_Issues'!$B$2:$B$11,B7,'QA_Issues'!$D$2:$D$11,"LIMITATION")</f>
        <v/>
      </c>
      <c r="V7" s="3" t="inlineStr">
        <is>
          <t>ISSUE-0006</t>
        </is>
      </c>
      <c r="W7" s="3" t="inlineStr">
        <is>
          <t>evidence_batch_010_096; live_source_comparison; customizer_audit; serp_evidence</t>
        </is>
      </c>
    </row>
    <row r="8" ht="42" customHeight="1">
      <c r="A8" s="2" t="n">
        <v>97</v>
      </c>
      <c r="B8" s="2" t="inlineStr">
        <is>
          <t>jeminise.com+custom-purple-butterflies-text-blanket-machine-washable-d7b</t>
        </is>
      </c>
      <c r="C8" s="4" t="inlineStr">
        <is>
          <t>https://jeminise.com/products/custom-purple-butterflies-text-blanket-machine-washable-d7b</t>
        </is>
      </c>
      <c r="D8" s="2" t="inlineStr">
        <is>
          <t>custom-purple-butterflies-text-blanket-machine-washable-d7b</t>
        </is>
      </c>
      <c r="E8" s="2" t="inlineStr">
        <is>
          <t>8860137160903</t>
        </is>
      </c>
      <c r="F8" s="2" t="inlineStr">
        <is>
          <t>r3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8</v>
      </c>
      <c r="O8" s="2" t="n">
        <v>8</v>
      </c>
      <c r="P8" s="2" t="b">
        <v>1</v>
      </c>
      <c r="Q8" s="6" t="n">
        <v>1</v>
      </c>
      <c r="R8" s="2">
        <f>COUNTIFS('QA_Issues'!$B$2:$B$11,B8,'QA_Issues'!$D$2:$D$11,"CRITICAL")</f>
        <v/>
      </c>
      <c r="S8" s="2">
        <f>COUNTIFS('QA_Issues'!$B$2:$B$11,B8,'QA_Issues'!$D$2:$D$11,"MAJOR")</f>
        <v/>
      </c>
      <c r="T8" s="2">
        <f>COUNTIFS('QA_Issues'!$B$2:$B$11,B8,'QA_Issues'!$D$2:$D$11,"MINOR")</f>
        <v/>
      </c>
      <c r="U8" s="2">
        <f>COUNTIFS('QA_Issues'!$B$2:$B$11,B8,'QA_Issues'!$D$2:$D$11,"LIMITATION")</f>
        <v/>
      </c>
      <c r="V8" s="2" t="inlineStr">
        <is>
          <t>ISSUE-0007</t>
        </is>
      </c>
      <c r="W8" s="2" t="inlineStr">
        <is>
          <t>evidence_batch_010_097; live_source_comparison; customizer_audit; serp_evidence</t>
        </is>
      </c>
    </row>
    <row r="9" ht="42" customHeight="1">
      <c r="A9" s="3" t="n">
        <v>98</v>
      </c>
      <c r="B9" s="3" t="inlineStr">
        <is>
          <t>jeminise.com+custom-purple-butterfly-christian-blanket-machine-washable-d15</t>
        </is>
      </c>
      <c r="C9" s="4" t="inlineStr">
        <is>
          <t>https://jeminise.com/products/custom-purple-butterfly-christian-blanket-machine-washable-d15</t>
        </is>
      </c>
      <c r="D9" s="3" t="inlineStr">
        <is>
          <t>custom-purple-butterfly-christian-blanket-machine-washable-d15</t>
        </is>
      </c>
      <c r="E9" s="3" t="inlineStr">
        <is>
          <t>8860096954567</t>
        </is>
      </c>
      <c r="F9" s="3" t="inlineStr">
        <is>
          <t>r3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8</v>
      </c>
      <c r="O9" s="3" t="n">
        <v>8</v>
      </c>
      <c r="P9" s="3" t="b">
        <v>1</v>
      </c>
      <c r="Q9" s="8" t="n">
        <v>1</v>
      </c>
      <c r="R9" s="3">
        <f>COUNTIFS('QA_Issues'!$B$2:$B$11,B9,'QA_Issues'!$D$2:$D$11,"CRITICAL")</f>
        <v/>
      </c>
      <c r="S9" s="3">
        <f>COUNTIFS('QA_Issues'!$B$2:$B$11,B9,'QA_Issues'!$D$2:$D$11,"MAJOR")</f>
        <v/>
      </c>
      <c r="T9" s="3">
        <f>COUNTIFS('QA_Issues'!$B$2:$B$11,B9,'QA_Issues'!$D$2:$D$11,"MINOR")</f>
        <v/>
      </c>
      <c r="U9" s="3">
        <f>COUNTIFS('QA_Issues'!$B$2:$B$11,B9,'QA_Issues'!$D$2:$D$11,"LIMITATION")</f>
        <v/>
      </c>
      <c r="V9" s="3" t="inlineStr">
        <is>
          <t>ISSUE-0008</t>
        </is>
      </c>
      <c r="W9" s="3" t="inlineStr">
        <is>
          <t>evidence_batch_010_098; live_source_comparison; customizer_audit; serp_evidence</t>
        </is>
      </c>
    </row>
    <row r="10" ht="42" customHeight="1">
      <c r="A10" s="2" t="n">
        <v>99</v>
      </c>
      <c r="B10" s="2" t="inlineStr">
        <is>
          <t>jeminise.com+custom-purple-floral-christian-cross-blanket-machine-washable-d2</t>
        </is>
      </c>
      <c r="C10" s="4" t="inlineStr">
        <is>
          <t>https://jeminise.com/products/custom-purple-floral-christian-cross-blanket-machine-washable-d2</t>
        </is>
      </c>
      <c r="D10" s="2" t="inlineStr">
        <is>
          <t>custom-purple-floral-christian-cross-blanket-machine-washable-d2</t>
        </is>
      </c>
      <c r="E10" s="2" t="inlineStr">
        <is>
          <t>8860106883271</t>
        </is>
      </c>
      <c r="F10" s="2" t="inlineStr">
        <is>
          <t>r3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8</v>
      </c>
      <c r="O10" s="2" t="n">
        <v>8</v>
      </c>
      <c r="P10" s="2" t="b">
        <v>1</v>
      </c>
      <c r="Q10" s="6" t="n">
        <v>1</v>
      </c>
      <c r="R10" s="2">
        <f>COUNTIFS('QA_Issues'!$B$2:$B$11,B10,'QA_Issues'!$D$2:$D$11,"CRITICAL")</f>
        <v/>
      </c>
      <c r="S10" s="2">
        <f>COUNTIFS('QA_Issues'!$B$2:$B$11,B10,'QA_Issues'!$D$2:$D$11,"MAJOR")</f>
        <v/>
      </c>
      <c r="T10" s="2">
        <f>COUNTIFS('QA_Issues'!$B$2:$B$11,B10,'QA_Issues'!$D$2:$D$11,"MINOR")</f>
        <v/>
      </c>
      <c r="U10" s="2">
        <f>COUNTIFS('QA_Issues'!$B$2:$B$11,B10,'QA_Issues'!$D$2:$D$11,"LIMITATION")</f>
        <v/>
      </c>
      <c r="V10" s="2" t="inlineStr">
        <is>
          <t>ISSUE-0009</t>
        </is>
      </c>
      <c r="W10" s="2" t="inlineStr">
        <is>
          <t>evidence_batch_010_099; live_source_comparison; customizer_audit; serp_evidence</t>
        </is>
      </c>
    </row>
    <row r="11" ht="42" customHeight="1">
      <c r="A11" s="3" t="n">
        <v>100</v>
      </c>
      <c r="B11" s="3" t="inlineStr">
        <is>
          <t>jeminise.com+custom-purple-floral-cross-with-butterflies-blanket-machi-design-14</t>
        </is>
      </c>
      <c r="C11" s="4" t="inlineStr">
        <is>
          <t>https://jeminise.com/products/custom-purple-floral-cross-with-butterflies-blanket-machi-design-14</t>
        </is>
      </c>
      <c r="D11" s="3" t="inlineStr">
        <is>
          <t>custom-purple-floral-cross-with-butterflies-blanket-machi-design-14</t>
        </is>
      </c>
      <c r="E11" s="3" t="inlineStr">
        <is>
          <t>8860127658183</t>
        </is>
      </c>
      <c r="F11" s="3" t="inlineStr">
        <is>
          <t>r3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8</v>
      </c>
      <c r="O11" s="3" t="n">
        <v>8</v>
      </c>
      <c r="P11" s="3" t="b">
        <v>1</v>
      </c>
      <c r="Q11" s="8" t="n">
        <v>1</v>
      </c>
      <c r="R11" s="3">
        <f>COUNTIFS('QA_Issues'!$B$2:$B$11,B11,'QA_Issues'!$D$2:$D$11,"CRITICAL")</f>
        <v/>
      </c>
      <c r="S11" s="3">
        <f>COUNTIFS('QA_Issues'!$B$2:$B$11,B11,'QA_Issues'!$D$2:$D$11,"MAJOR")</f>
        <v/>
      </c>
      <c r="T11" s="3">
        <f>COUNTIFS('QA_Issues'!$B$2:$B$11,B11,'QA_Issues'!$D$2:$D$11,"MINOR")</f>
        <v/>
      </c>
      <c r="U11" s="3">
        <f>COUNTIFS('QA_Issues'!$B$2:$B$11,B11,'QA_Issues'!$D$2:$D$11,"LIMITATION")</f>
        <v/>
      </c>
      <c r="V11" s="3" t="inlineStr">
        <is>
          <t>ISSUE-0010</t>
        </is>
      </c>
      <c r="W11" s="3" t="inlineStr">
        <is>
          <t>evidence_batch_010_100; live_source_comparison; customizer_audit; serp_evidence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jeminise.com+custom-native-american-inspired-wolf-head-inside-circular-frame-comforter-d351b4bfe1-d351b4bfe1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IF(B2="I1",AVERAGEIF('QA_Images'!$A$2:$A$74,A2,'QA_Images'!$R$2:$R$74)/100,IF(D2="FULL",1,IF(D2="PARTIAL",0.5,IF(D2="FAIL",0,""))))</f>
        <v/>
      </c>
      <c r="F2" s="5">
        <f>IF(E2="",0,C2*E2)</f>
        <v/>
      </c>
      <c r="G2" s="5">
        <f>IF(B2="I1",20*AVERAGEIF('QA_Images'!$A$2:$A$74,A2,'QA_Images'!$S$2:$S$74)/100,IF(D2="NOT_CHECKED",0,C2))</f>
        <v/>
      </c>
      <c r="H2" s="2" t="inlineStr">
        <is>
          <t>Product key, handle, ID, URL and canonical match the frozen r3 workbook and retained live comparison.</t>
        </is>
      </c>
      <c r="I2" s="2" t="inlineStr">
        <is>
          <t>evidence_batch_010_091; source_snapshot; live_source_comparison; customizer_audit; serp_evidence</t>
        </is>
      </c>
      <c r="J2" s="2" t="inlineStr">
        <is>
          <t>ISSUE-0001</t>
        </is>
      </c>
    </row>
    <row r="3" ht="42" customHeight="1">
      <c r="A3" s="3" t="inlineStr">
        <is>
          <t>jeminise.com+custom-native-american-inspired-wolf-head-inside-circular-frame-comforter-d351b4bfe1-d351b4bfe1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IF(B3="I1",AVERAGEIF('QA_Images'!$A$2:$A$74,A3,'QA_Images'!$R$2:$R$74)/100,IF(D3="FULL",1,IF(D3="PARTIAL",0.5,IF(D3="FAIL",0,""))))</f>
        <v/>
      </c>
      <c r="F3" s="7">
        <f>IF(E3="",0,C3*E3)</f>
        <v/>
      </c>
      <c r="G3" s="7">
        <f>IF(B3="I1",20*AVERAGEIF('QA_Images'!$A$2:$A$74,A3,'QA_Images'!$S$2:$S$74)/100,IF(D3="NOT_CHECKED",0,C3))</f>
        <v/>
      </c>
      <c r="H3" s="3" t="inlineStr">
        <is>
          <t>Visible design facts are supported by direct gallery assets; static customizer configuration is present. Admin fulfillment mapping was not supplied.</t>
        </is>
      </c>
      <c r="I3" s="3" t="inlineStr">
        <is>
          <t>evidence_batch_010_091; source_snapshot; live_source_comparison; customizer_audit; serp_evidence</t>
        </is>
      </c>
      <c r="J3" s="3" t="inlineStr">
        <is>
          <t>ISSUE-0001</t>
        </is>
      </c>
    </row>
    <row r="4" ht="42" customHeight="1">
      <c r="A4" s="2" t="inlineStr">
        <is>
          <t>jeminise.com+custom-native-american-inspired-wolf-head-inside-circular-frame-comforter-d351b4bfe1-d351b4bfe1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IF(B4="I1",AVERAGEIF('QA_Images'!$A$2:$A$74,A4,'QA_Images'!$R$2:$R$74)/100,IF(D4="FULL",1,IF(D4="PARTIAL",0.5,IF(D4="FAIL",0,""))))</f>
        <v/>
      </c>
      <c r="F4" s="5">
        <f>IF(E4="",0,C4*E4)</f>
        <v/>
      </c>
      <c r="G4" s="5">
        <f>IF(B4="I1",20*AVERAGEIF('QA_Images'!$A$2:$A$74,A4,'QA_Images'!$S$2:$S$74)/100,IF(D4="NOT_CHECKED",0,C4))</f>
        <v/>
      </c>
      <c r="H4" s="2" t="inlineStr">
        <is>
          <t>Product-specific long-tail is relevant, but demand support is only public SERP evidence.</t>
        </is>
      </c>
      <c r="I4" s="2" t="inlineStr">
        <is>
          <t>evidence_batch_010_091; source_snapshot; live_source_comparison; customizer_audit; serp_evidence</t>
        </is>
      </c>
      <c r="J4" s="2" t="inlineStr">
        <is>
          <t>ISSUE-0001</t>
        </is>
      </c>
    </row>
    <row r="5" ht="42" customHeight="1">
      <c r="A5" s="3" t="inlineStr">
        <is>
          <t>jeminise.com+custom-native-american-inspired-wolf-head-inside-circular-frame-comforter-d351b4bfe1-d351b4bfe1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IF(B5="I1",AVERAGEIF('QA_Images'!$A$2:$A$74,A5,'QA_Images'!$R$2:$R$74)/100,IF(D5="FULL",1,IF(D5="PARTIAL",0.5,IF(D5="FAIL",0,""))))</f>
        <v/>
      </c>
      <c r="F5" s="7">
        <f>IF(E5="",0,C5*E5)</f>
        <v/>
      </c>
      <c r="G5" s="7">
        <f>IF(B5="I1",20*AVERAGEIF('QA_Images'!$A$2:$A$74,A5,'QA_Images'!$S$2:$S$74)/100,IF(D5="NOT_CHECKED",0,C5))</f>
        <v/>
      </c>
      <c r="H5" s="3" t="inlineStr">
        <is>
          <t>Primary queries distinguish motif/color and product type within the batch cluster.</t>
        </is>
      </c>
      <c r="I5" s="3" t="inlineStr">
        <is>
          <t>evidence_batch_010_091; source_snapshot; live_source_comparison; customizer_audit; serp_evidence</t>
        </is>
      </c>
      <c r="J5" s="3" t="inlineStr">
        <is>
          <t>ISSUE-0001</t>
        </is>
      </c>
    </row>
    <row r="6" ht="42" customHeight="1">
      <c r="A6" s="2" t="inlineStr">
        <is>
          <t>jeminise.com+custom-native-american-inspired-wolf-head-inside-circular-frame-comforter-d351b4bfe1-d351b4bfe1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IF(B6="I1",AVERAGEIF('QA_Images'!$A$2:$A$74,A6,'QA_Images'!$R$2:$R$74)/100,IF(D6="FULL",1,IF(D6="PARTIAL",0.5,IF(D6="FAIL",0,""))))</f>
        <v/>
      </c>
      <c r="F6" s="5">
        <f>IF(E6="",0,C6*E6)</f>
        <v/>
      </c>
      <c r="G6" s="5">
        <f>IF(B6="I1",20*AVERAGEIF('QA_Images'!$A$2:$A$74,A6,'QA_Images'!$S$2:$S$74)/100,IF(D6="NOT_CHECKED",0,C6))</f>
        <v/>
      </c>
      <c r="H6" s="2" t="inlineStr">
        <is>
          <t>SERP_ONLY is honestly labelled; no volume, ranking or demand magnitude claim is used.</t>
        </is>
      </c>
      <c r="I6" s="2" t="inlineStr">
        <is>
          <t>evidence_batch_010_091; source_snapshot; live_source_comparison; customizer_audit; serp_evidence</t>
        </is>
      </c>
      <c r="J6" s="2" t="inlineStr">
        <is>
          <t>ISSUE-0001</t>
        </is>
      </c>
    </row>
    <row r="7" ht="42" customHeight="1">
      <c r="A7" s="3" t="inlineStr">
        <is>
          <t>jeminise.com+custom-native-american-inspired-wolf-head-inside-circular-frame-comforter-d351b4bfe1-d351b4bfe1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IF(B7="I1",AVERAGEIF('QA_Images'!$A$2:$A$74,A7,'QA_Images'!$R$2:$R$74)/100,IF(D7="FULL",1,IF(D7="PARTIAL",0.5,IF(D7="FAIL",0,""))))</f>
        <v/>
      </c>
      <c r="F7" s="7">
        <f>IF(E7="",0,C7*E7)</f>
        <v/>
      </c>
      <c r="G7" s="7">
        <f>IF(B7="I1",20*AVERAGEIF('QA_Images'!$A$2:$A$74,A7,'QA_Images'!$S$2:$S$74)/100,IF(D7="NOT_CHECKED",0,C7))</f>
        <v/>
      </c>
      <c r="H7" s="3" t="inlineStr">
        <is>
          <t>SEO title is concise English and matches the visible design/product type.</t>
        </is>
      </c>
      <c r="I7" s="3" t="inlineStr">
        <is>
          <t>evidence_batch_010_091; source_snapshot; live_source_comparison; customizer_audit; serp_evidence</t>
        </is>
      </c>
      <c r="J7" s="3" t="inlineStr">
        <is>
          <t>ISSUE-0001</t>
        </is>
      </c>
    </row>
    <row r="8" ht="42" customHeight="1">
      <c r="A8" s="2" t="inlineStr">
        <is>
          <t>jeminise.com+custom-native-american-inspired-wolf-head-inside-circular-frame-comforter-d351b4bfe1-d351b4bfe1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IF(B8="I1",AVERAGEIF('QA_Images'!$A$2:$A$74,A8,'QA_Images'!$R$2:$R$74)/100,IF(D8="FULL",1,IF(D8="PARTIAL",0.5,IF(D8="FAIL",0,""))))</f>
        <v/>
      </c>
      <c r="F8" s="5">
        <f>IF(E8="",0,C8*E8)</f>
        <v/>
      </c>
      <c r="G8" s="5">
        <f>IF(B8="I1",20*AVERAGEIF('QA_Images'!$A$2:$A$74,A8,'QA_Images'!$S$2:$S$74)/100,IF(D8="NOT_CHECKED",0,C8))</f>
        <v/>
      </c>
      <c r="H8" s="2" t="inlineStr">
        <is>
          <t>Proposed product title is a natural, product-specific H1 candidate.</t>
        </is>
      </c>
      <c r="I8" s="2" t="inlineStr">
        <is>
          <t>evidence_batch_010_091; source_snapshot; live_source_comparison; customizer_audit; serp_evidence</t>
        </is>
      </c>
      <c r="J8" s="2" t="inlineStr">
        <is>
          <t>ISSUE-0001</t>
        </is>
      </c>
    </row>
    <row r="9" ht="42" customHeight="1">
      <c r="A9" s="3" t="inlineStr">
        <is>
          <t>jeminise.com+custom-native-american-inspired-wolf-head-inside-circular-frame-comforter-d351b4bfe1-d351b4bfe1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IF(B9="I1",AVERAGEIF('QA_Images'!$A$2:$A$74,A9,'QA_Images'!$R$2:$R$74)/100,IF(D9="FULL",1,IF(D9="PARTIAL",0.5,IF(D9="FAIL",0,""))))</f>
        <v/>
      </c>
      <c r="F9" s="7">
        <f>IF(E9="",0,C9*E9)</f>
        <v/>
      </c>
      <c r="G9" s="7">
        <f>IF(B9="I1",20*AVERAGEIF('QA_Images'!$A$2:$A$74,A9,'QA_Images'!$S$2:$S$74)/100,IF(D9="NOT_CHECKED",0,C9))</f>
        <v/>
      </c>
      <c r="H9" s="3" t="inlineStr">
        <is>
          <t>SET HTML is customer-facing and contains no draft, import or QA workflow language.</t>
        </is>
      </c>
      <c r="I9" s="3" t="inlineStr">
        <is>
          <t>evidence_batch_010_091; source_snapshot; live_source_comparison; customizer_audit; serp_evidence</t>
        </is>
      </c>
      <c r="J9" s="3" t="inlineStr">
        <is>
          <t>ISSUE-0001</t>
        </is>
      </c>
    </row>
    <row r="10" ht="42" customHeight="1">
      <c r="A10" s="2" t="inlineStr">
        <is>
          <t>jeminise.com+custom-native-american-inspired-wolf-head-inside-circular-frame-comforter-d351b4bfe1-d351b4bfe1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IF(B10="I1",AVERAGEIF('QA_Images'!$A$2:$A$74,A10,'QA_Images'!$R$2:$R$74)/100,IF(D10="FULL",1,IF(D10="PARTIAL",0.5,IF(D10="FAIL",0,""))))</f>
        <v/>
      </c>
      <c r="F10" s="5">
        <f>IF(E10="",0,C10*E10)</f>
        <v/>
      </c>
      <c r="G10" s="5">
        <f>IF(B10="I1",20*AVERAGEIF('QA_Images'!$A$2:$A$74,A10,'QA_Images'!$S$2:$S$74)/100,IF(D10="NOT_CHECKED",0,C10))</f>
        <v/>
      </c>
      <c r="H10" s="2" t="inlineStr">
        <is>
          <t>HTML accurately states the motif and gallery-supported components, but repeats generic positioning language instead of adding buyer-use detail.</t>
        </is>
      </c>
      <c r="I10" s="2" t="inlineStr">
        <is>
          <t>evidence_batch_010_091; source_snapshot; live_source_comparison; customizer_audit; serp_evidence</t>
        </is>
      </c>
      <c r="J10" s="2" t="inlineStr">
        <is>
          <t>ISSUE-0001</t>
        </is>
      </c>
    </row>
    <row r="11" ht="42" customHeight="1">
      <c r="A11" s="3" t="inlineStr">
        <is>
          <t>jeminise.com+custom-native-american-inspired-wolf-head-inside-circular-frame-comforter-d351b4bfe1-d351b4bfe1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IF(B11="I1",AVERAGEIF('QA_Images'!$A$2:$A$74,A11,'QA_Images'!$R$2:$R$74)/100,IF(D11="FULL",1,IF(D11="PARTIAL",0.5,IF(D11="FAIL",0,""))))</f>
        <v/>
      </c>
      <c r="F11" s="7">
        <f>IF(E11="",0,C11*E11)</f>
        <v/>
      </c>
      <c r="G11" s="7">
        <f>IF(B11="I1",20*AVERAGEIF('QA_Images'!$A$2:$A$74,A11,'QA_Images'!$S$2:$S$74)/100,IF(D11="NOT_CHECKED",0,C11))</f>
        <v/>
      </c>
      <c r="H11" s="3" t="inlineStr">
        <is>
          <t>Derived from all QA_Images rows for this product.</t>
        </is>
      </c>
      <c r="I11" s="3" t="inlineStr">
        <is>
          <t>evidence_batch_010_091; source_snapshot; live_source_comparison; customizer_audit; serp_evidence</t>
        </is>
      </c>
      <c r="J11" s="3" t="inlineStr">
        <is>
          <t>ISSUE-0001</t>
        </is>
      </c>
    </row>
    <row r="12" ht="42" customHeight="1">
      <c r="A12" s="2" t="inlineStr">
        <is>
          <t>jeminise.com+custom-native-american-inspired-wolf-head-inside-circular-frame-comforter-d351b4bfe1-d351b4bfe1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5">
        <f>IF(B12="I1",AVERAGEIF('QA_Images'!$A$2:$A$74,A12,'QA_Images'!$R$2:$R$74)/100,IF(D12="FULL",1,IF(D12="PARTIAL",0.5,IF(D12="FAIL",0,""))))</f>
        <v/>
      </c>
      <c r="F12" s="5">
        <f>IF(E12="",0,C12*E12)</f>
        <v/>
      </c>
      <c r="G12" s="5">
        <f>IF(B12="I1",20*AVERAGEIF('QA_Images'!$A$2:$A$74,A12,'QA_Images'!$S$2:$S$74)/100,IF(D12="NOT_CHECKED",0,C12))</f>
        <v/>
      </c>
      <c r="H12" s="2" t="inlineStr">
        <is>
          <t>Evidence links and revision are traceable; the absent Shopify admin export remains separated as a limitation.</t>
        </is>
      </c>
      <c r="I12" s="2" t="inlineStr">
        <is>
          <t>evidence_batch_010_091; source_snapshot; live_source_comparison; customizer_audit; serp_evidence</t>
        </is>
      </c>
      <c r="J12" s="2" t="inlineStr">
        <is>
          <t>ISSUE-0001</t>
        </is>
      </c>
    </row>
    <row r="13" ht="42" customHeight="1">
      <c r="A13" s="3" t="inlineStr">
        <is>
          <t>jeminise.com+custom-neon-green-soccer-player-artwork-comforter-set-boys-room-decor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IF(B13="I1",AVERAGEIF('QA_Images'!$A$2:$A$74,A13,'QA_Images'!$R$2:$R$74)/100,IF(D13="FULL",1,IF(D13="PARTIAL",0.5,IF(D13="FAIL",0,""))))</f>
        <v/>
      </c>
      <c r="F13" s="7">
        <f>IF(E13="",0,C13*E13)</f>
        <v/>
      </c>
      <c r="G13" s="7">
        <f>IF(B13="I1",20*AVERAGEIF('QA_Images'!$A$2:$A$74,A13,'QA_Images'!$S$2:$S$74)/100,IF(D13="NOT_CHECKED",0,C13))</f>
        <v/>
      </c>
      <c r="H13" s="3" t="inlineStr">
        <is>
          <t>Product key, handle, ID, URL and canonical match the frozen r3 workbook and retained live comparison.</t>
        </is>
      </c>
      <c r="I13" s="3" t="inlineStr">
        <is>
          <t>evidence_batch_010_092; source_snapshot; live_source_comparison; customizer_audit; serp_evidence</t>
        </is>
      </c>
      <c r="J13" s="3" t="inlineStr">
        <is>
          <t>ISSUE-0002</t>
        </is>
      </c>
    </row>
    <row r="14" ht="42" customHeight="1">
      <c r="A14" s="2" t="inlineStr">
        <is>
          <t>jeminise.com+custom-neon-green-soccer-player-artwork-comforter-set-boys-room-decor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IF(B14="I1",AVERAGEIF('QA_Images'!$A$2:$A$74,A14,'QA_Images'!$R$2:$R$74)/100,IF(D14="FULL",1,IF(D14="PARTIAL",0.5,IF(D14="FAIL",0,""))))</f>
        <v/>
      </c>
      <c r="F14" s="5">
        <f>IF(E14="",0,C14*E14)</f>
        <v/>
      </c>
      <c r="G14" s="5">
        <f>IF(B14="I1",20*AVERAGEIF('QA_Images'!$A$2:$A$74,A14,'QA_Images'!$S$2:$S$74)/100,IF(D14="NOT_CHECKED",0,C14))</f>
        <v/>
      </c>
      <c r="H14" s="2" t="inlineStr">
        <is>
          <t>Visible design facts are supported by direct gallery assets; static customizer configuration is present. Admin fulfillment mapping was not supplied.</t>
        </is>
      </c>
      <c r="I14" s="2" t="inlineStr">
        <is>
          <t>evidence_batch_010_092; source_snapshot; live_source_comparison; customizer_audit; serp_evidence</t>
        </is>
      </c>
      <c r="J14" s="2" t="inlineStr">
        <is>
          <t>ISSUE-0002</t>
        </is>
      </c>
    </row>
    <row r="15" ht="42" customHeight="1">
      <c r="A15" s="3" t="inlineStr">
        <is>
          <t>jeminise.com+custom-neon-green-soccer-player-artwork-comforter-set-boys-room-decor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IF(B15="I1",AVERAGEIF('QA_Images'!$A$2:$A$74,A15,'QA_Images'!$R$2:$R$74)/100,IF(D15="FULL",1,IF(D15="PARTIAL",0.5,IF(D15="FAIL",0,""))))</f>
        <v/>
      </c>
      <c r="F15" s="7">
        <f>IF(E15="",0,C15*E15)</f>
        <v/>
      </c>
      <c r="G15" s="7">
        <f>IF(B15="I1",20*AVERAGEIF('QA_Images'!$A$2:$A$74,A15,'QA_Images'!$S$2:$S$74)/100,IF(D15="NOT_CHECKED",0,C15))</f>
        <v/>
      </c>
      <c r="H15" s="3" t="inlineStr">
        <is>
          <t>Product-specific long-tail is relevant, but demand support is only public SERP evidence.</t>
        </is>
      </c>
      <c r="I15" s="3" t="inlineStr">
        <is>
          <t>evidence_batch_010_092; source_snapshot; live_source_comparison; customizer_audit; serp_evidence</t>
        </is>
      </c>
      <c r="J15" s="3" t="inlineStr">
        <is>
          <t>ISSUE-0002</t>
        </is>
      </c>
    </row>
    <row r="16" ht="42" customHeight="1">
      <c r="A16" s="2" t="inlineStr">
        <is>
          <t>jeminise.com+custom-neon-green-soccer-player-artwork-comforter-set-boys-room-decor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IF(B16="I1",AVERAGEIF('QA_Images'!$A$2:$A$74,A16,'QA_Images'!$R$2:$R$74)/100,IF(D16="FULL",1,IF(D16="PARTIAL",0.5,IF(D16="FAIL",0,""))))</f>
        <v/>
      </c>
      <c r="F16" s="5">
        <f>IF(E16="",0,C16*E16)</f>
        <v/>
      </c>
      <c r="G16" s="5">
        <f>IF(B16="I1",20*AVERAGEIF('QA_Images'!$A$2:$A$74,A16,'QA_Images'!$S$2:$S$74)/100,IF(D16="NOT_CHECKED",0,C16))</f>
        <v/>
      </c>
      <c r="H16" s="2" t="inlineStr">
        <is>
          <t>Primary queries distinguish motif/color and product type within the batch cluster.</t>
        </is>
      </c>
      <c r="I16" s="2" t="inlineStr">
        <is>
          <t>evidence_batch_010_092; source_snapshot; live_source_comparison; customizer_audit; serp_evidence</t>
        </is>
      </c>
      <c r="J16" s="2" t="inlineStr">
        <is>
          <t>ISSUE-0002</t>
        </is>
      </c>
    </row>
    <row r="17" ht="42" customHeight="1">
      <c r="A17" s="3" t="inlineStr">
        <is>
          <t>jeminise.com+custom-neon-green-soccer-player-artwork-comforter-set-boys-room-decor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IF(B17="I1",AVERAGEIF('QA_Images'!$A$2:$A$74,A17,'QA_Images'!$R$2:$R$74)/100,IF(D17="FULL",1,IF(D17="PARTIAL",0.5,IF(D17="FAIL",0,""))))</f>
        <v/>
      </c>
      <c r="F17" s="7">
        <f>IF(E17="",0,C17*E17)</f>
        <v/>
      </c>
      <c r="G17" s="7">
        <f>IF(B17="I1",20*AVERAGEIF('QA_Images'!$A$2:$A$74,A17,'QA_Images'!$S$2:$S$74)/100,IF(D17="NOT_CHECKED",0,C17))</f>
        <v/>
      </c>
      <c r="H17" s="3" t="inlineStr">
        <is>
          <t>SERP_ONLY is honestly labelled; no volume, ranking or demand magnitude claim is used.</t>
        </is>
      </c>
      <c r="I17" s="3" t="inlineStr">
        <is>
          <t>evidence_batch_010_092; source_snapshot; live_source_comparison; customizer_audit; serp_evidence</t>
        </is>
      </c>
      <c r="J17" s="3" t="inlineStr">
        <is>
          <t>ISSUE-0002</t>
        </is>
      </c>
    </row>
    <row r="18" ht="42" customHeight="1">
      <c r="A18" s="2" t="inlineStr">
        <is>
          <t>jeminise.com+custom-neon-green-soccer-player-artwork-comforter-set-boys-room-decor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IF(B18="I1",AVERAGEIF('QA_Images'!$A$2:$A$74,A18,'QA_Images'!$R$2:$R$74)/100,IF(D18="FULL",1,IF(D18="PARTIAL",0.5,IF(D18="FAIL",0,""))))</f>
        <v/>
      </c>
      <c r="F18" s="5">
        <f>IF(E18="",0,C18*E18)</f>
        <v/>
      </c>
      <c r="G18" s="5">
        <f>IF(B18="I1",20*AVERAGEIF('QA_Images'!$A$2:$A$74,A18,'QA_Images'!$S$2:$S$74)/100,IF(D18="NOT_CHECKED",0,C18))</f>
        <v/>
      </c>
      <c r="H18" s="2" t="inlineStr">
        <is>
          <t>SEO title is concise English and matches the visible design/product type.</t>
        </is>
      </c>
      <c r="I18" s="2" t="inlineStr">
        <is>
          <t>evidence_batch_010_092; source_snapshot; live_source_comparison; customizer_audit; serp_evidence</t>
        </is>
      </c>
      <c r="J18" s="2" t="inlineStr">
        <is>
          <t>ISSUE-0002</t>
        </is>
      </c>
    </row>
    <row r="19" ht="42" customHeight="1">
      <c r="A19" s="3" t="inlineStr">
        <is>
          <t>jeminise.com+custom-neon-green-soccer-player-artwork-comforter-set-boys-room-decor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IF(B19="I1",AVERAGEIF('QA_Images'!$A$2:$A$74,A19,'QA_Images'!$R$2:$R$74)/100,IF(D19="FULL",1,IF(D19="PARTIAL",0.5,IF(D19="FAIL",0,""))))</f>
        <v/>
      </c>
      <c r="F19" s="7">
        <f>IF(E19="",0,C19*E19)</f>
        <v/>
      </c>
      <c r="G19" s="7">
        <f>IF(B19="I1",20*AVERAGEIF('QA_Images'!$A$2:$A$74,A19,'QA_Images'!$S$2:$S$74)/100,IF(D19="NOT_CHECKED",0,C19))</f>
        <v/>
      </c>
      <c r="H19" s="3" t="inlineStr">
        <is>
          <t>Proposed product title is a natural, product-specific H1 candidate.</t>
        </is>
      </c>
      <c r="I19" s="3" t="inlineStr">
        <is>
          <t>evidence_batch_010_092; source_snapshot; live_source_comparison; customizer_audit; serp_evidence</t>
        </is>
      </c>
      <c r="J19" s="3" t="inlineStr">
        <is>
          <t>ISSUE-0002</t>
        </is>
      </c>
    </row>
    <row r="20" ht="42" customHeight="1">
      <c r="A20" s="2" t="inlineStr">
        <is>
          <t>jeminise.com+custom-neon-green-soccer-player-artwork-comforter-set-boys-room-decor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IF(B20="I1",AVERAGEIF('QA_Images'!$A$2:$A$74,A20,'QA_Images'!$R$2:$R$74)/100,IF(D20="FULL",1,IF(D20="PARTIAL",0.5,IF(D20="FAIL",0,""))))</f>
        <v/>
      </c>
      <c r="F20" s="5">
        <f>IF(E20="",0,C20*E20)</f>
        <v/>
      </c>
      <c r="G20" s="5">
        <f>IF(B20="I1",20*AVERAGEIF('QA_Images'!$A$2:$A$74,A20,'QA_Images'!$S$2:$S$74)/100,IF(D20="NOT_CHECKED",0,C20))</f>
        <v/>
      </c>
      <c r="H20" s="2" t="inlineStr">
        <is>
          <t>SET HTML is customer-facing and contains no draft, import or QA workflow language.</t>
        </is>
      </c>
      <c r="I20" s="2" t="inlineStr">
        <is>
          <t>evidence_batch_010_092; source_snapshot; live_source_comparison; customizer_audit; serp_evidence</t>
        </is>
      </c>
      <c r="J20" s="2" t="inlineStr">
        <is>
          <t>ISSUE-0002</t>
        </is>
      </c>
    </row>
    <row r="21" ht="42" customHeight="1">
      <c r="A21" s="3" t="inlineStr">
        <is>
          <t>jeminise.com+custom-neon-green-soccer-player-artwork-comforter-set-boys-room-decor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IF(B21="I1",AVERAGEIF('QA_Images'!$A$2:$A$74,A21,'QA_Images'!$R$2:$R$74)/100,IF(D21="FULL",1,IF(D21="PARTIAL",0.5,IF(D21="FAIL",0,""))))</f>
        <v/>
      </c>
      <c r="F21" s="7">
        <f>IF(E21="",0,C21*E21)</f>
        <v/>
      </c>
      <c r="G21" s="7">
        <f>IF(B21="I1",20*AVERAGEIF('QA_Images'!$A$2:$A$74,A21,'QA_Images'!$S$2:$S$74)/100,IF(D21="NOT_CHECKED",0,C21))</f>
        <v/>
      </c>
      <c r="H21" s="3" t="inlineStr">
        <is>
          <t>HTML accurately states the motif and gallery-supported components, but repeats generic positioning language instead of adding buyer-use detail.</t>
        </is>
      </c>
      <c r="I21" s="3" t="inlineStr">
        <is>
          <t>evidence_batch_010_092; source_snapshot; live_source_comparison; customizer_audit; serp_evidence</t>
        </is>
      </c>
      <c r="J21" s="3" t="inlineStr">
        <is>
          <t>ISSUE-0002</t>
        </is>
      </c>
    </row>
    <row r="22" ht="42" customHeight="1">
      <c r="A22" s="2" t="inlineStr">
        <is>
          <t>jeminise.com+custom-neon-green-soccer-player-artwork-comforter-set-boys-room-decor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IF(B22="I1",AVERAGEIF('QA_Images'!$A$2:$A$74,A22,'QA_Images'!$R$2:$R$74)/100,IF(D22="FULL",1,IF(D22="PARTIAL",0.5,IF(D22="FAIL",0,""))))</f>
        <v/>
      </c>
      <c r="F22" s="5">
        <f>IF(E22="",0,C22*E22)</f>
        <v/>
      </c>
      <c r="G22" s="5">
        <f>IF(B22="I1",20*AVERAGEIF('QA_Images'!$A$2:$A$74,A22,'QA_Images'!$S$2:$S$74)/100,IF(D22="NOT_CHECKED",0,C22))</f>
        <v/>
      </c>
      <c r="H22" s="2" t="inlineStr">
        <is>
          <t>Derived from all QA_Images rows for this product.</t>
        </is>
      </c>
      <c r="I22" s="2" t="inlineStr">
        <is>
          <t>evidence_batch_010_092; source_snapshot; live_source_comparison; customizer_audit; serp_evidence</t>
        </is>
      </c>
      <c r="J22" s="2" t="inlineStr">
        <is>
          <t>ISSUE-0002</t>
        </is>
      </c>
    </row>
    <row r="23" ht="42" customHeight="1">
      <c r="A23" s="3" t="inlineStr">
        <is>
          <t>jeminise.com+custom-neon-green-soccer-player-artwork-comforter-set-boys-room-decor</t>
        </is>
      </c>
      <c r="B23" s="3" t="inlineStr">
        <is>
          <t>E1</t>
        </is>
      </c>
      <c r="C23" s="3" t="n">
        <v>5</v>
      </c>
      <c r="D23" s="3" t="inlineStr">
        <is>
          <t>PARTIAL</t>
        </is>
      </c>
      <c r="E23" s="7">
        <f>IF(B23="I1",AVERAGEIF('QA_Images'!$A$2:$A$74,A23,'QA_Images'!$R$2:$R$74)/100,IF(D23="FULL",1,IF(D23="PARTIAL",0.5,IF(D23="FAIL",0,""))))</f>
        <v/>
      </c>
      <c r="F23" s="7">
        <f>IF(E23="",0,C23*E23)</f>
        <v/>
      </c>
      <c r="G23" s="7">
        <f>IF(B23="I1",20*AVERAGEIF('QA_Images'!$A$2:$A$74,A23,'QA_Images'!$S$2:$S$74)/100,IF(D23="NOT_CHECKED",0,C23))</f>
        <v/>
      </c>
      <c r="H23" s="3" t="inlineStr">
        <is>
          <t>Evidence links and revision are traceable; the absent Shopify admin export remains separated as a limitation.</t>
        </is>
      </c>
      <c r="I23" s="3" t="inlineStr">
        <is>
          <t>evidence_batch_010_092; source_snapshot; live_source_comparison; customizer_audit; serp_evidence</t>
        </is>
      </c>
      <c r="J23" s="3" t="inlineStr">
        <is>
          <t>ISSUE-0002</t>
        </is>
      </c>
    </row>
    <row r="24" ht="42" customHeight="1">
      <c r="A24" s="2" t="inlineStr">
        <is>
          <t>jeminise.com+custom-patriotic-semi-truck-on-american-flag-background-comforter-e664ba94f8-e664ba94f8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IF(B24="I1",AVERAGEIF('QA_Images'!$A$2:$A$74,A24,'QA_Images'!$R$2:$R$74)/100,IF(D24="FULL",1,IF(D24="PARTIAL",0.5,IF(D24="FAIL",0,""))))</f>
        <v/>
      </c>
      <c r="F24" s="5">
        <f>IF(E24="",0,C24*E24)</f>
        <v/>
      </c>
      <c r="G24" s="5">
        <f>IF(B24="I1",20*AVERAGEIF('QA_Images'!$A$2:$A$74,A24,'QA_Images'!$S$2:$S$74)/100,IF(D24="NOT_CHECKED",0,C24))</f>
        <v/>
      </c>
      <c r="H24" s="2" t="inlineStr">
        <is>
          <t>Product key, handle, ID, URL and canonical match the frozen r3 workbook and retained live comparison.</t>
        </is>
      </c>
      <c r="I24" s="2" t="inlineStr">
        <is>
          <t>evidence_batch_010_093; source_snapshot; live_source_comparison; customizer_audit; serp_evidence</t>
        </is>
      </c>
      <c r="J24" s="2" t="inlineStr">
        <is>
          <t>ISSUE-0003</t>
        </is>
      </c>
    </row>
    <row r="25" ht="42" customHeight="1">
      <c r="A25" s="3" t="inlineStr">
        <is>
          <t>jeminise.com+custom-patriotic-semi-truck-on-american-flag-background-comforter-e664ba94f8-e664ba94f8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IF(B25="I1",AVERAGEIF('QA_Images'!$A$2:$A$74,A25,'QA_Images'!$R$2:$R$74)/100,IF(D25="FULL",1,IF(D25="PARTIAL",0.5,IF(D25="FAIL",0,""))))</f>
        <v/>
      </c>
      <c r="F25" s="7">
        <f>IF(E25="",0,C25*E25)</f>
        <v/>
      </c>
      <c r="G25" s="7">
        <f>IF(B25="I1",20*AVERAGEIF('QA_Images'!$A$2:$A$74,A25,'QA_Images'!$S$2:$S$74)/100,IF(D25="NOT_CHECKED",0,C25))</f>
        <v/>
      </c>
      <c r="H25" s="3" t="inlineStr">
        <is>
          <t>Visible design facts are supported by direct gallery assets; static customizer configuration is present. Admin fulfillment mapping was not supplied.</t>
        </is>
      </c>
      <c r="I25" s="3" t="inlineStr">
        <is>
          <t>evidence_batch_010_093; source_snapshot; live_source_comparison; customizer_audit; serp_evidence</t>
        </is>
      </c>
      <c r="J25" s="3" t="inlineStr">
        <is>
          <t>ISSUE-0003</t>
        </is>
      </c>
    </row>
    <row r="26" ht="42" customHeight="1">
      <c r="A26" s="2" t="inlineStr">
        <is>
          <t>jeminise.com+custom-patriotic-semi-truck-on-american-flag-background-comforter-e664ba94f8-e664ba94f8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IF(B26="I1",AVERAGEIF('QA_Images'!$A$2:$A$74,A26,'QA_Images'!$R$2:$R$74)/100,IF(D26="FULL",1,IF(D26="PARTIAL",0.5,IF(D26="FAIL",0,""))))</f>
        <v/>
      </c>
      <c r="F26" s="5">
        <f>IF(E26="",0,C26*E26)</f>
        <v/>
      </c>
      <c r="G26" s="5">
        <f>IF(B26="I1",20*AVERAGEIF('QA_Images'!$A$2:$A$74,A26,'QA_Images'!$S$2:$S$74)/100,IF(D26="NOT_CHECKED",0,C26))</f>
        <v/>
      </c>
      <c r="H26" s="2" t="inlineStr">
        <is>
          <t>Product-specific long-tail is relevant, but demand support is only public SERP evidence.</t>
        </is>
      </c>
      <c r="I26" s="2" t="inlineStr">
        <is>
          <t>evidence_batch_010_093; source_snapshot; live_source_comparison; customizer_audit; serp_evidence</t>
        </is>
      </c>
      <c r="J26" s="2" t="inlineStr">
        <is>
          <t>ISSUE-0003</t>
        </is>
      </c>
    </row>
    <row r="27" ht="42" customHeight="1">
      <c r="A27" s="3" t="inlineStr">
        <is>
          <t>jeminise.com+custom-patriotic-semi-truck-on-american-flag-background-comforter-e664ba94f8-e664ba94f8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IF(B27="I1",AVERAGEIF('QA_Images'!$A$2:$A$74,A27,'QA_Images'!$R$2:$R$74)/100,IF(D27="FULL",1,IF(D27="PARTIAL",0.5,IF(D27="FAIL",0,""))))</f>
        <v/>
      </c>
      <c r="F27" s="7">
        <f>IF(E27="",0,C27*E27)</f>
        <v/>
      </c>
      <c r="G27" s="7">
        <f>IF(B27="I1",20*AVERAGEIF('QA_Images'!$A$2:$A$74,A27,'QA_Images'!$S$2:$S$74)/100,IF(D27="NOT_CHECKED",0,C27))</f>
        <v/>
      </c>
      <c r="H27" s="3" t="inlineStr">
        <is>
          <t>Primary queries distinguish motif/color and product type within the batch cluster.</t>
        </is>
      </c>
      <c r="I27" s="3" t="inlineStr">
        <is>
          <t>evidence_batch_010_093; source_snapshot; live_source_comparison; customizer_audit; serp_evidence</t>
        </is>
      </c>
      <c r="J27" s="3" t="inlineStr">
        <is>
          <t>ISSUE-0003</t>
        </is>
      </c>
    </row>
    <row r="28" ht="42" customHeight="1">
      <c r="A28" s="2" t="inlineStr">
        <is>
          <t>jeminise.com+custom-patriotic-semi-truck-on-american-flag-background-comforter-e664ba94f8-e664ba94f8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IF(B28="I1",AVERAGEIF('QA_Images'!$A$2:$A$74,A28,'QA_Images'!$R$2:$R$74)/100,IF(D28="FULL",1,IF(D28="PARTIAL",0.5,IF(D28="FAIL",0,""))))</f>
        <v/>
      </c>
      <c r="F28" s="5">
        <f>IF(E28="",0,C28*E28)</f>
        <v/>
      </c>
      <c r="G28" s="5">
        <f>IF(B28="I1",20*AVERAGEIF('QA_Images'!$A$2:$A$74,A28,'QA_Images'!$S$2:$S$74)/100,IF(D28="NOT_CHECKED",0,C28))</f>
        <v/>
      </c>
      <c r="H28" s="2" t="inlineStr">
        <is>
          <t>SERP_ONLY is honestly labelled; no volume, ranking or demand magnitude claim is used.</t>
        </is>
      </c>
      <c r="I28" s="2" t="inlineStr">
        <is>
          <t>evidence_batch_010_093; source_snapshot; live_source_comparison; customizer_audit; serp_evidence</t>
        </is>
      </c>
      <c r="J28" s="2" t="inlineStr">
        <is>
          <t>ISSUE-0003</t>
        </is>
      </c>
    </row>
    <row r="29" ht="42" customHeight="1">
      <c r="A29" s="3" t="inlineStr">
        <is>
          <t>jeminise.com+custom-patriotic-semi-truck-on-american-flag-background-comforter-e664ba94f8-e664ba94f8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IF(B29="I1",AVERAGEIF('QA_Images'!$A$2:$A$74,A29,'QA_Images'!$R$2:$R$74)/100,IF(D29="FULL",1,IF(D29="PARTIAL",0.5,IF(D29="FAIL",0,""))))</f>
        <v/>
      </c>
      <c r="F29" s="7">
        <f>IF(E29="",0,C29*E29)</f>
        <v/>
      </c>
      <c r="G29" s="7">
        <f>IF(B29="I1",20*AVERAGEIF('QA_Images'!$A$2:$A$74,A29,'QA_Images'!$S$2:$S$74)/100,IF(D29="NOT_CHECKED",0,C29))</f>
        <v/>
      </c>
      <c r="H29" s="3" t="inlineStr">
        <is>
          <t>SEO title is concise English and matches the visible design/product type.</t>
        </is>
      </c>
      <c r="I29" s="3" t="inlineStr">
        <is>
          <t>evidence_batch_010_093; source_snapshot; live_source_comparison; customizer_audit; serp_evidence</t>
        </is>
      </c>
      <c r="J29" s="3" t="inlineStr">
        <is>
          <t>ISSUE-0003</t>
        </is>
      </c>
    </row>
    <row r="30" ht="42" customHeight="1">
      <c r="A30" s="2" t="inlineStr">
        <is>
          <t>jeminise.com+custom-patriotic-semi-truck-on-american-flag-background-comforter-e664ba94f8-e664ba94f8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IF(B30="I1",AVERAGEIF('QA_Images'!$A$2:$A$74,A30,'QA_Images'!$R$2:$R$74)/100,IF(D30="FULL",1,IF(D30="PARTIAL",0.5,IF(D30="FAIL",0,""))))</f>
        <v/>
      </c>
      <c r="F30" s="5">
        <f>IF(E30="",0,C30*E30)</f>
        <v/>
      </c>
      <c r="G30" s="5">
        <f>IF(B30="I1",20*AVERAGEIF('QA_Images'!$A$2:$A$74,A30,'QA_Images'!$S$2:$S$74)/100,IF(D30="NOT_CHECKED",0,C30))</f>
        <v/>
      </c>
      <c r="H30" s="2" t="inlineStr">
        <is>
          <t>Proposed product title is a natural, product-specific H1 candidate.</t>
        </is>
      </c>
      <c r="I30" s="2" t="inlineStr">
        <is>
          <t>evidence_batch_010_093; source_snapshot; live_source_comparison; customizer_audit; serp_evidence</t>
        </is>
      </c>
      <c r="J30" s="2" t="inlineStr">
        <is>
          <t>ISSUE-0003</t>
        </is>
      </c>
    </row>
    <row r="31" ht="42" customHeight="1">
      <c r="A31" s="3" t="inlineStr">
        <is>
          <t>jeminise.com+custom-patriotic-semi-truck-on-american-flag-background-comforter-e664ba94f8-e664ba94f8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IF(B31="I1",AVERAGEIF('QA_Images'!$A$2:$A$74,A31,'QA_Images'!$R$2:$R$74)/100,IF(D31="FULL",1,IF(D31="PARTIAL",0.5,IF(D31="FAIL",0,""))))</f>
        <v/>
      </c>
      <c r="F31" s="7">
        <f>IF(E31="",0,C31*E31)</f>
        <v/>
      </c>
      <c r="G31" s="7">
        <f>IF(B31="I1",20*AVERAGEIF('QA_Images'!$A$2:$A$74,A31,'QA_Images'!$S$2:$S$74)/100,IF(D31="NOT_CHECKED",0,C31))</f>
        <v/>
      </c>
      <c r="H31" s="3" t="inlineStr">
        <is>
          <t>SET HTML is customer-facing and contains no draft, import or QA workflow language.</t>
        </is>
      </c>
      <c r="I31" s="3" t="inlineStr">
        <is>
          <t>evidence_batch_010_093; source_snapshot; live_source_comparison; customizer_audit; serp_evidence</t>
        </is>
      </c>
      <c r="J31" s="3" t="inlineStr">
        <is>
          <t>ISSUE-0003</t>
        </is>
      </c>
    </row>
    <row r="32" ht="42" customHeight="1">
      <c r="A32" s="2" t="inlineStr">
        <is>
          <t>jeminise.com+custom-patriotic-semi-truck-on-american-flag-background-comforter-e664ba94f8-e664ba94f8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IF(B32="I1",AVERAGEIF('QA_Images'!$A$2:$A$74,A32,'QA_Images'!$R$2:$R$74)/100,IF(D32="FULL",1,IF(D32="PARTIAL",0.5,IF(D32="FAIL",0,""))))</f>
        <v/>
      </c>
      <c r="F32" s="5">
        <f>IF(E32="",0,C32*E32)</f>
        <v/>
      </c>
      <c r="G32" s="5">
        <f>IF(B32="I1",20*AVERAGEIF('QA_Images'!$A$2:$A$74,A32,'QA_Images'!$S$2:$S$74)/100,IF(D32="NOT_CHECKED",0,C32))</f>
        <v/>
      </c>
      <c r="H32" s="2" t="inlineStr">
        <is>
          <t>HTML accurately states the motif and gallery-supported components, but repeats generic positioning language instead of adding buyer-use detail.</t>
        </is>
      </c>
      <c r="I32" s="2" t="inlineStr">
        <is>
          <t>evidence_batch_010_093; source_snapshot; live_source_comparison; customizer_audit; serp_evidence</t>
        </is>
      </c>
      <c r="J32" s="2" t="inlineStr">
        <is>
          <t>ISSUE-0003</t>
        </is>
      </c>
    </row>
    <row r="33" ht="42" customHeight="1">
      <c r="A33" s="3" t="inlineStr">
        <is>
          <t>jeminise.com+custom-patriotic-semi-truck-on-american-flag-background-comforter-e664ba94f8-e664ba94f8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IF(B33="I1",AVERAGEIF('QA_Images'!$A$2:$A$74,A33,'QA_Images'!$R$2:$R$74)/100,IF(D33="FULL",1,IF(D33="PARTIAL",0.5,IF(D33="FAIL",0,""))))</f>
        <v/>
      </c>
      <c r="F33" s="7">
        <f>IF(E33="",0,C33*E33)</f>
        <v/>
      </c>
      <c r="G33" s="7">
        <f>IF(B33="I1",20*AVERAGEIF('QA_Images'!$A$2:$A$74,A33,'QA_Images'!$S$2:$S$74)/100,IF(D33="NOT_CHECKED",0,C33))</f>
        <v/>
      </c>
      <c r="H33" s="3" t="inlineStr">
        <is>
          <t>Derived from all QA_Images rows for this product.</t>
        </is>
      </c>
      <c r="I33" s="3" t="inlineStr">
        <is>
          <t>evidence_batch_010_093; source_snapshot; live_source_comparison; customizer_audit; serp_evidence</t>
        </is>
      </c>
      <c r="J33" s="3" t="inlineStr">
        <is>
          <t>ISSUE-0003</t>
        </is>
      </c>
    </row>
    <row r="34" ht="42" customHeight="1">
      <c r="A34" s="2" t="inlineStr">
        <is>
          <t>jeminise.com+custom-patriotic-semi-truck-on-american-flag-background-comforter-e664ba94f8-e664ba94f8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5">
        <f>IF(B34="I1",AVERAGEIF('QA_Images'!$A$2:$A$74,A34,'QA_Images'!$R$2:$R$74)/100,IF(D34="FULL",1,IF(D34="PARTIAL",0.5,IF(D34="FAIL",0,""))))</f>
        <v/>
      </c>
      <c r="F34" s="5">
        <f>IF(E34="",0,C34*E34)</f>
        <v/>
      </c>
      <c r="G34" s="5">
        <f>IF(B34="I1",20*AVERAGEIF('QA_Images'!$A$2:$A$74,A34,'QA_Images'!$S$2:$S$74)/100,IF(D34="NOT_CHECKED",0,C34))</f>
        <v/>
      </c>
      <c r="H34" s="2" t="inlineStr">
        <is>
          <t>Evidence links and revision are traceable; the absent Shopify admin export remains separated as a limitation.</t>
        </is>
      </c>
      <c r="I34" s="2" t="inlineStr">
        <is>
          <t>evidence_batch_010_093; source_snapshot; live_source_comparison; customizer_audit; serp_evidence</t>
        </is>
      </c>
      <c r="J34" s="2" t="inlineStr">
        <is>
          <t>ISSUE-0003</t>
        </is>
      </c>
    </row>
    <row r="35" ht="42" customHeight="1">
      <c r="A35" s="3" t="inlineStr">
        <is>
          <t>jeminise.com+custom-patriotic-semi-truck-with-waving-american-flag-comforter-e01f2755b2-e01f2755b2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IF(B35="I1",AVERAGEIF('QA_Images'!$A$2:$A$74,A35,'QA_Images'!$R$2:$R$74)/100,IF(D35="FULL",1,IF(D35="PARTIAL",0.5,IF(D35="FAIL",0,""))))</f>
        <v/>
      </c>
      <c r="F35" s="7">
        <f>IF(E35="",0,C35*E35)</f>
        <v/>
      </c>
      <c r="G35" s="7">
        <f>IF(B35="I1",20*AVERAGEIF('QA_Images'!$A$2:$A$74,A35,'QA_Images'!$S$2:$S$74)/100,IF(D35="NOT_CHECKED",0,C35))</f>
        <v/>
      </c>
      <c r="H35" s="3" t="inlineStr">
        <is>
          <t>Product key, handle, ID, URL and canonical match the frozen r3 workbook and retained live comparison.</t>
        </is>
      </c>
      <c r="I35" s="3" t="inlineStr">
        <is>
          <t>evidence_batch_010_094; source_snapshot; live_source_comparison; customizer_audit; serp_evidence</t>
        </is>
      </c>
      <c r="J35" s="3" t="inlineStr">
        <is>
          <t>ISSUE-0004</t>
        </is>
      </c>
    </row>
    <row r="36" ht="42" customHeight="1">
      <c r="A36" s="2" t="inlineStr">
        <is>
          <t>jeminise.com+custom-patriotic-semi-truck-with-waving-american-flag-comforter-e01f2755b2-e01f2755b2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IF(B36="I1",AVERAGEIF('QA_Images'!$A$2:$A$74,A36,'QA_Images'!$R$2:$R$74)/100,IF(D36="FULL",1,IF(D36="PARTIAL",0.5,IF(D36="FAIL",0,""))))</f>
        <v/>
      </c>
      <c r="F36" s="5">
        <f>IF(E36="",0,C36*E36)</f>
        <v/>
      </c>
      <c r="G36" s="5">
        <f>IF(B36="I1",20*AVERAGEIF('QA_Images'!$A$2:$A$74,A36,'QA_Images'!$S$2:$S$74)/100,IF(D36="NOT_CHECKED",0,C36))</f>
        <v/>
      </c>
      <c r="H36" s="2" t="inlineStr">
        <is>
          <t>Visible design facts are supported by direct gallery assets; static customizer configuration is present. Admin fulfillment mapping was not supplied.</t>
        </is>
      </c>
      <c r="I36" s="2" t="inlineStr">
        <is>
          <t>evidence_batch_010_094; source_snapshot; live_source_comparison; customizer_audit; serp_evidence</t>
        </is>
      </c>
      <c r="J36" s="2" t="inlineStr">
        <is>
          <t>ISSUE-0004</t>
        </is>
      </c>
    </row>
    <row r="37" ht="42" customHeight="1">
      <c r="A37" s="3" t="inlineStr">
        <is>
          <t>jeminise.com+custom-patriotic-semi-truck-with-waving-american-flag-comforter-e01f2755b2-e01f2755b2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IF(B37="I1",AVERAGEIF('QA_Images'!$A$2:$A$74,A37,'QA_Images'!$R$2:$R$74)/100,IF(D37="FULL",1,IF(D37="PARTIAL",0.5,IF(D37="FAIL",0,""))))</f>
        <v/>
      </c>
      <c r="F37" s="7">
        <f>IF(E37="",0,C37*E37)</f>
        <v/>
      </c>
      <c r="G37" s="7">
        <f>IF(B37="I1",20*AVERAGEIF('QA_Images'!$A$2:$A$74,A37,'QA_Images'!$S$2:$S$74)/100,IF(D37="NOT_CHECKED",0,C37))</f>
        <v/>
      </c>
      <c r="H37" s="3" t="inlineStr">
        <is>
          <t>Product-specific long-tail is relevant, but demand support is only public SERP evidence.</t>
        </is>
      </c>
      <c r="I37" s="3" t="inlineStr">
        <is>
          <t>evidence_batch_010_094; source_snapshot; live_source_comparison; customizer_audit; serp_evidence</t>
        </is>
      </c>
      <c r="J37" s="3" t="inlineStr">
        <is>
          <t>ISSUE-0004</t>
        </is>
      </c>
    </row>
    <row r="38" ht="42" customHeight="1">
      <c r="A38" s="2" t="inlineStr">
        <is>
          <t>jeminise.com+custom-patriotic-semi-truck-with-waving-american-flag-comforter-e01f2755b2-e01f2755b2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IF(B38="I1",AVERAGEIF('QA_Images'!$A$2:$A$74,A38,'QA_Images'!$R$2:$R$74)/100,IF(D38="FULL",1,IF(D38="PARTIAL",0.5,IF(D38="FAIL",0,""))))</f>
        <v/>
      </c>
      <c r="F38" s="5">
        <f>IF(E38="",0,C38*E38)</f>
        <v/>
      </c>
      <c r="G38" s="5">
        <f>IF(B38="I1",20*AVERAGEIF('QA_Images'!$A$2:$A$74,A38,'QA_Images'!$S$2:$S$74)/100,IF(D38="NOT_CHECKED",0,C38))</f>
        <v/>
      </c>
      <c r="H38" s="2" t="inlineStr">
        <is>
          <t>Primary queries distinguish motif/color and product type within the batch cluster.</t>
        </is>
      </c>
      <c r="I38" s="2" t="inlineStr">
        <is>
          <t>evidence_batch_010_094; source_snapshot; live_source_comparison; customizer_audit; serp_evidence</t>
        </is>
      </c>
      <c r="J38" s="2" t="inlineStr">
        <is>
          <t>ISSUE-0004</t>
        </is>
      </c>
    </row>
    <row r="39" ht="42" customHeight="1">
      <c r="A39" s="3" t="inlineStr">
        <is>
          <t>jeminise.com+custom-patriotic-semi-truck-with-waving-american-flag-comforter-e01f2755b2-e01f2755b2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IF(B39="I1",AVERAGEIF('QA_Images'!$A$2:$A$74,A39,'QA_Images'!$R$2:$R$74)/100,IF(D39="FULL",1,IF(D39="PARTIAL",0.5,IF(D39="FAIL",0,""))))</f>
        <v/>
      </c>
      <c r="F39" s="7">
        <f>IF(E39="",0,C39*E39)</f>
        <v/>
      </c>
      <c r="G39" s="7">
        <f>IF(B39="I1",20*AVERAGEIF('QA_Images'!$A$2:$A$74,A39,'QA_Images'!$S$2:$S$74)/100,IF(D39="NOT_CHECKED",0,C39))</f>
        <v/>
      </c>
      <c r="H39" s="3" t="inlineStr">
        <is>
          <t>SERP_ONLY is honestly labelled; no volume, ranking or demand magnitude claim is used.</t>
        </is>
      </c>
      <c r="I39" s="3" t="inlineStr">
        <is>
          <t>evidence_batch_010_094; source_snapshot; live_source_comparison; customizer_audit; serp_evidence</t>
        </is>
      </c>
      <c r="J39" s="3" t="inlineStr">
        <is>
          <t>ISSUE-0004</t>
        </is>
      </c>
    </row>
    <row r="40" ht="42" customHeight="1">
      <c r="A40" s="2" t="inlineStr">
        <is>
          <t>jeminise.com+custom-patriotic-semi-truck-with-waving-american-flag-comforter-e01f2755b2-e01f2755b2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IF(B40="I1",AVERAGEIF('QA_Images'!$A$2:$A$74,A40,'QA_Images'!$R$2:$R$74)/100,IF(D40="FULL",1,IF(D40="PARTIAL",0.5,IF(D40="FAIL",0,""))))</f>
        <v/>
      </c>
      <c r="F40" s="5">
        <f>IF(E40="",0,C40*E40)</f>
        <v/>
      </c>
      <c r="G40" s="5">
        <f>IF(B40="I1",20*AVERAGEIF('QA_Images'!$A$2:$A$74,A40,'QA_Images'!$S$2:$S$74)/100,IF(D40="NOT_CHECKED",0,C40))</f>
        <v/>
      </c>
      <c r="H40" s="2" t="inlineStr">
        <is>
          <t>SEO title is concise English and matches the visible design/product type.</t>
        </is>
      </c>
      <c r="I40" s="2" t="inlineStr">
        <is>
          <t>evidence_batch_010_094; source_snapshot; live_source_comparison; customizer_audit; serp_evidence</t>
        </is>
      </c>
      <c r="J40" s="2" t="inlineStr">
        <is>
          <t>ISSUE-0004</t>
        </is>
      </c>
    </row>
    <row r="41" ht="42" customHeight="1">
      <c r="A41" s="3" t="inlineStr">
        <is>
          <t>jeminise.com+custom-patriotic-semi-truck-with-waving-american-flag-comforter-e01f2755b2-e01f2755b2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IF(B41="I1",AVERAGEIF('QA_Images'!$A$2:$A$74,A41,'QA_Images'!$R$2:$R$74)/100,IF(D41="FULL",1,IF(D41="PARTIAL",0.5,IF(D41="FAIL",0,""))))</f>
        <v/>
      </c>
      <c r="F41" s="7">
        <f>IF(E41="",0,C41*E41)</f>
        <v/>
      </c>
      <c r="G41" s="7">
        <f>IF(B41="I1",20*AVERAGEIF('QA_Images'!$A$2:$A$74,A41,'QA_Images'!$S$2:$S$74)/100,IF(D41="NOT_CHECKED",0,C41))</f>
        <v/>
      </c>
      <c r="H41" s="3" t="inlineStr">
        <is>
          <t>Proposed product title is a natural, product-specific H1 candidate.</t>
        </is>
      </c>
      <c r="I41" s="3" t="inlineStr">
        <is>
          <t>evidence_batch_010_094; source_snapshot; live_source_comparison; customizer_audit; serp_evidence</t>
        </is>
      </c>
      <c r="J41" s="3" t="inlineStr">
        <is>
          <t>ISSUE-0004</t>
        </is>
      </c>
    </row>
    <row r="42" ht="42" customHeight="1">
      <c r="A42" s="2" t="inlineStr">
        <is>
          <t>jeminise.com+custom-patriotic-semi-truck-with-waving-american-flag-comforter-e01f2755b2-e01f2755b2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IF(B42="I1",AVERAGEIF('QA_Images'!$A$2:$A$74,A42,'QA_Images'!$R$2:$R$74)/100,IF(D42="FULL",1,IF(D42="PARTIAL",0.5,IF(D42="FAIL",0,""))))</f>
        <v/>
      </c>
      <c r="F42" s="5">
        <f>IF(E42="",0,C42*E42)</f>
        <v/>
      </c>
      <c r="G42" s="5">
        <f>IF(B42="I1",20*AVERAGEIF('QA_Images'!$A$2:$A$74,A42,'QA_Images'!$S$2:$S$74)/100,IF(D42="NOT_CHECKED",0,C42))</f>
        <v/>
      </c>
      <c r="H42" s="2" t="inlineStr">
        <is>
          <t>SET HTML is customer-facing and contains no draft, import or QA workflow language.</t>
        </is>
      </c>
      <c r="I42" s="2" t="inlineStr">
        <is>
          <t>evidence_batch_010_094; source_snapshot; live_source_comparison; customizer_audit; serp_evidence</t>
        </is>
      </c>
      <c r="J42" s="2" t="inlineStr">
        <is>
          <t>ISSUE-0004</t>
        </is>
      </c>
    </row>
    <row r="43" ht="42" customHeight="1">
      <c r="A43" s="3" t="inlineStr">
        <is>
          <t>jeminise.com+custom-patriotic-semi-truck-with-waving-american-flag-comforter-e01f2755b2-e01f2755b2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IF(B43="I1",AVERAGEIF('QA_Images'!$A$2:$A$74,A43,'QA_Images'!$R$2:$R$74)/100,IF(D43="FULL",1,IF(D43="PARTIAL",0.5,IF(D43="FAIL",0,""))))</f>
        <v/>
      </c>
      <c r="F43" s="7">
        <f>IF(E43="",0,C43*E43)</f>
        <v/>
      </c>
      <c r="G43" s="7">
        <f>IF(B43="I1",20*AVERAGEIF('QA_Images'!$A$2:$A$74,A43,'QA_Images'!$S$2:$S$74)/100,IF(D43="NOT_CHECKED",0,C43))</f>
        <v/>
      </c>
      <c r="H43" s="3" t="inlineStr">
        <is>
          <t>HTML accurately states the motif and gallery-supported components, but repeats generic positioning language instead of adding buyer-use detail.</t>
        </is>
      </c>
      <c r="I43" s="3" t="inlineStr">
        <is>
          <t>evidence_batch_010_094; source_snapshot; live_source_comparison; customizer_audit; serp_evidence</t>
        </is>
      </c>
      <c r="J43" s="3" t="inlineStr">
        <is>
          <t>ISSUE-0004</t>
        </is>
      </c>
    </row>
    <row r="44" ht="42" customHeight="1">
      <c r="A44" s="2" t="inlineStr">
        <is>
          <t>jeminise.com+custom-patriotic-semi-truck-with-waving-american-flag-comforter-e01f2755b2-e01f2755b2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IF(B44="I1",AVERAGEIF('QA_Images'!$A$2:$A$74,A44,'QA_Images'!$R$2:$R$74)/100,IF(D44="FULL",1,IF(D44="PARTIAL",0.5,IF(D44="FAIL",0,""))))</f>
        <v/>
      </c>
      <c r="F44" s="5">
        <f>IF(E44="",0,C44*E44)</f>
        <v/>
      </c>
      <c r="G44" s="5">
        <f>IF(B44="I1",20*AVERAGEIF('QA_Images'!$A$2:$A$74,A44,'QA_Images'!$S$2:$S$74)/100,IF(D44="NOT_CHECKED",0,C44))</f>
        <v/>
      </c>
      <c r="H44" s="2" t="inlineStr">
        <is>
          <t>Derived from all QA_Images rows for this product.</t>
        </is>
      </c>
      <c r="I44" s="2" t="inlineStr">
        <is>
          <t>evidence_batch_010_094; source_snapshot; live_source_comparison; customizer_audit; serp_evidence</t>
        </is>
      </c>
      <c r="J44" s="2" t="inlineStr">
        <is>
          <t>ISSUE-0004</t>
        </is>
      </c>
    </row>
    <row r="45" ht="42" customHeight="1">
      <c r="A45" s="3" t="inlineStr">
        <is>
          <t>jeminise.com+custom-patriotic-semi-truck-with-waving-american-flag-comforter-e01f2755b2-e01f2755b2</t>
        </is>
      </c>
      <c r="B45" s="3" t="inlineStr">
        <is>
          <t>E1</t>
        </is>
      </c>
      <c r="C45" s="3" t="n">
        <v>5</v>
      </c>
      <c r="D45" s="3" t="inlineStr">
        <is>
          <t>PARTIAL</t>
        </is>
      </c>
      <c r="E45" s="7">
        <f>IF(B45="I1",AVERAGEIF('QA_Images'!$A$2:$A$74,A45,'QA_Images'!$R$2:$R$74)/100,IF(D45="FULL",1,IF(D45="PARTIAL",0.5,IF(D45="FAIL",0,""))))</f>
        <v/>
      </c>
      <c r="F45" s="7">
        <f>IF(E45="",0,C45*E45)</f>
        <v/>
      </c>
      <c r="G45" s="7">
        <f>IF(B45="I1",20*AVERAGEIF('QA_Images'!$A$2:$A$74,A45,'QA_Images'!$S$2:$S$74)/100,IF(D45="NOT_CHECKED",0,C45))</f>
        <v/>
      </c>
      <c r="H45" s="3" t="inlineStr">
        <is>
          <t>Evidence links and revision are traceable; the absent Shopify admin export remains separated as a limitation.</t>
        </is>
      </c>
      <c r="I45" s="3" t="inlineStr">
        <is>
          <t>evidence_batch_010_094; source_snapshot; live_source_comparison; customizer_audit; serp_evidence</t>
        </is>
      </c>
      <c r="J45" s="3" t="inlineStr">
        <is>
          <t>ISSUE-0004</t>
        </is>
      </c>
    </row>
    <row r="46" ht="42" customHeight="1">
      <c r="A46" s="2" t="inlineStr">
        <is>
          <t>jeminise.com+custom-patriotic-trucking-semi-truck-below-waving-american-flag-comforter-05c0cd8623-05c0cd8623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IF(B46="I1",AVERAGEIF('QA_Images'!$A$2:$A$74,A46,'QA_Images'!$R$2:$R$74)/100,IF(D46="FULL",1,IF(D46="PARTIAL",0.5,IF(D46="FAIL",0,""))))</f>
        <v/>
      </c>
      <c r="F46" s="5">
        <f>IF(E46="",0,C46*E46)</f>
        <v/>
      </c>
      <c r="G46" s="5">
        <f>IF(B46="I1",20*AVERAGEIF('QA_Images'!$A$2:$A$74,A46,'QA_Images'!$S$2:$S$74)/100,IF(D46="NOT_CHECKED",0,C46))</f>
        <v/>
      </c>
      <c r="H46" s="2" t="inlineStr">
        <is>
          <t>Product key, handle, ID, URL and canonical match the frozen r3 workbook and retained live comparison.</t>
        </is>
      </c>
      <c r="I46" s="2" t="inlineStr">
        <is>
          <t>evidence_batch_010_095; source_snapshot; live_source_comparison; customizer_audit; serp_evidence</t>
        </is>
      </c>
      <c r="J46" s="2" t="inlineStr">
        <is>
          <t>ISSUE-0005</t>
        </is>
      </c>
    </row>
    <row r="47" ht="42" customHeight="1">
      <c r="A47" s="3" t="inlineStr">
        <is>
          <t>jeminise.com+custom-patriotic-trucking-semi-truck-below-waving-american-flag-comforter-05c0cd8623-05c0cd8623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IF(B47="I1",AVERAGEIF('QA_Images'!$A$2:$A$74,A47,'QA_Images'!$R$2:$R$74)/100,IF(D47="FULL",1,IF(D47="PARTIAL",0.5,IF(D47="FAIL",0,""))))</f>
        <v/>
      </c>
      <c r="F47" s="7">
        <f>IF(E47="",0,C47*E47)</f>
        <v/>
      </c>
      <c r="G47" s="7">
        <f>IF(B47="I1",20*AVERAGEIF('QA_Images'!$A$2:$A$74,A47,'QA_Images'!$S$2:$S$74)/100,IF(D47="NOT_CHECKED",0,C47))</f>
        <v/>
      </c>
      <c r="H47" s="3" t="inlineStr">
        <is>
          <t>Visible design facts are supported by direct gallery assets; static customizer configuration is present. Admin fulfillment mapping was not supplied.</t>
        </is>
      </c>
      <c r="I47" s="3" t="inlineStr">
        <is>
          <t>evidence_batch_010_095; source_snapshot; live_source_comparison; customizer_audit; serp_evidence</t>
        </is>
      </c>
      <c r="J47" s="3" t="inlineStr">
        <is>
          <t>ISSUE-0005</t>
        </is>
      </c>
    </row>
    <row r="48" ht="42" customHeight="1">
      <c r="A48" s="2" t="inlineStr">
        <is>
          <t>jeminise.com+custom-patriotic-trucking-semi-truck-below-waving-american-flag-comforter-05c0cd8623-05c0cd8623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IF(B48="I1",AVERAGEIF('QA_Images'!$A$2:$A$74,A48,'QA_Images'!$R$2:$R$74)/100,IF(D48="FULL",1,IF(D48="PARTIAL",0.5,IF(D48="FAIL",0,""))))</f>
        <v/>
      </c>
      <c r="F48" s="5">
        <f>IF(E48="",0,C48*E48)</f>
        <v/>
      </c>
      <c r="G48" s="5">
        <f>IF(B48="I1",20*AVERAGEIF('QA_Images'!$A$2:$A$74,A48,'QA_Images'!$S$2:$S$74)/100,IF(D48="NOT_CHECKED",0,C48))</f>
        <v/>
      </c>
      <c r="H48" s="2" t="inlineStr">
        <is>
          <t>Product-specific long-tail is relevant, but demand support is only public SERP evidence.</t>
        </is>
      </c>
      <c r="I48" s="2" t="inlineStr">
        <is>
          <t>evidence_batch_010_095; source_snapshot; live_source_comparison; customizer_audit; serp_evidence</t>
        </is>
      </c>
      <c r="J48" s="2" t="inlineStr">
        <is>
          <t>ISSUE-0005</t>
        </is>
      </c>
    </row>
    <row r="49" ht="42" customHeight="1">
      <c r="A49" s="3" t="inlineStr">
        <is>
          <t>jeminise.com+custom-patriotic-trucking-semi-truck-below-waving-american-flag-comforter-05c0cd8623-05c0cd8623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IF(B49="I1",AVERAGEIF('QA_Images'!$A$2:$A$74,A49,'QA_Images'!$R$2:$R$74)/100,IF(D49="FULL",1,IF(D49="PARTIAL",0.5,IF(D49="FAIL",0,""))))</f>
        <v/>
      </c>
      <c r="F49" s="7">
        <f>IF(E49="",0,C49*E49)</f>
        <v/>
      </c>
      <c r="G49" s="7">
        <f>IF(B49="I1",20*AVERAGEIF('QA_Images'!$A$2:$A$74,A49,'QA_Images'!$S$2:$S$74)/100,IF(D49="NOT_CHECKED",0,C49))</f>
        <v/>
      </c>
      <c r="H49" s="3" t="inlineStr">
        <is>
          <t>Primary queries distinguish motif/color and product type within the batch cluster.</t>
        </is>
      </c>
      <c r="I49" s="3" t="inlineStr">
        <is>
          <t>evidence_batch_010_095; source_snapshot; live_source_comparison; customizer_audit; serp_evidence</t>
        </is>
      </c>
      <c r="J49" s="3" t="inlineStr">
        <is>
          <t>ISSUE-0005</t>
        </is>
      </c>
    </row>
    <row r="50" ht="42" customHeight="1">
      <c r="A50" s="2" t="inlineStr">
        <is>
          <t>jeminise.com+custom-patriotic-trucking-semi-truck-below-waving-american-flag-comforter-05c0cd8623-05c0cd8623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IF(B50="I1",AVERAGEIF('QA_Images'!$A$2:$A$74,A50,'QA_Images'!$R$2:$R$74)/100,IF(D50="FULL",1,IF(D50="PARTIAL",0.5,IF(D50="FAIL",0,""))))</f>
        <v/>
      </c>
      <c r="F50" s="5">
        <f>IF(E50="",0,C50*E50)</f>
        <v/>
      </c>
      <c r="G50" s="5">
        <f>IF(B50="I1",20*AVERAGEIF('QA_Images'!$A$2:$A$74,A50,'QA_Images'!$S$2:$S$74)/100,IF(D50="NOT_CHECKED",0,C50))</f>
        <v/>
      </c>
      <c r="H50" s="2" t="inlineStr">
        <is>
          <t>SERP_ONLY is honestly labelled; no volume, ranking or demand magnitude claim is used.</t>
        </is>
      </c>
      <c r="I50" s="2" t="inlineStr">
        <is>
          <t>evidence_batch_010_095; source_snapshot; live_source_comparison; customizer_audit; serp_evidence</t>
        </is>
      </c>
      <c r="J50" s="2" t="inlineStr">
        <is>
          <t>ISSUE-0005</t>
        </is>
      </c>
    </row>
    <row r="51" ht="42" customHeight="1">
      <c r="A51" s="3" t="inlineStr">
        <is>
          <t>jeminise.com+custom-patriotic-trucking-semi-truck-below-waving-american-flag-comforter-05c0cd8623-05c0cd8623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IF(B51="I1",AVERAGEIF('QA_Images'!$A$2:$A$74,A51,'QA_Images'!$R$2:$R$74)/100,IF(D51="FULL",1,IF(D51="PARTIAL",0.5,IF(D51="FAIL",0,""))))</f>
        <v/>
      </c>
      <c r="F51" s="7">
        <f>IF(E51="",0,C51*E51)</f>
        <v/>
      </c>
      <c r="G51" s="7">
        <f>IF(B51="I1",20*AVERAGEIF('QA_Images'!$A$2:$A$74,A51,'QA_Images'!$S$2:$S$74)/100,IF(D51="NOT_CHECKED",0,C51))</f>
        <v/>
      </c>
      <c r="H51" s="3" t="inlineStr">
        <is>
          <t>SEO title is concise English and matches the visible design/product type.</t>
        </is>
      </c>
      <c r="I51" s="3" t="inlineStr">
        <is>
          <t>evidence_batch_010_095; source_snapshot; live_source_comparison; customizer_audit; serp_evidence</t>
        </is>
      </c>
      <c r="J51" s="3" t="inlineStr">
        <is>
          <t>ISSUE-0005</t>
        </is>
      </c>
    </row>
    <row r="52" ht="42" customHeight="1">
      <c r="A52" s="2" t="inlineStr">
        <is>
          <t>jeminise.com+custom-patriotic-trucking-semi-truck-below-waving-american-flag-comforter-05c0cd8623-05c0cd8623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IF(B52="I1",AVERAGEIF('QA_Images'!$A$2:$A$74,A52,'QA_Images'!$R$2:$R$74)/100,IF(D52="FULL",1,IF(D52="PARTIAL",0.5,IF(D52="FAIL",0,""))))</f>
        <v/>
      </c>
      <c r="F52" s="5">
        <f>IF(E52="",0,C52*E52)</f>
        <v/>
      </c>
      <c r="G52" s="5">
        <f>IF(B52="I1",20*AVERAGEIF('QA_Images'!$A$2:$A$74,A52,'QA_Images'!$S$2:$S$74)/100,IF(D52="NOT_CHECKED",0,C52))</f>
        <v/>
      </c>
      <c r="H52" s="2" t="inlineStr">
        <is>
          <t>Proposed product title is a natural, product-specific H1 candidate.</t>
        </is>
      </c>
      <c r="I52" s="2" t="inlineStr">
        <is>
          <t>evidence_batch_010_095; source_snapshot; live_source_comparison; customizer_audit; serp_evidence</t>
        </is>
      </c>
      <c r="J52" s="2" t="inlineStr">
        <is>
          <t>ISSUE-0005</t>
        </is>
      </c>
    </row>
    <row r="53" ht="42" customHeight="1">
      <c r="A53" s="3" t="inlineStr">
        <is>
          <t>jeminise.com+custom-patriotic-trucking-semi-truck-below-waving-american-flag-comforter-05c0cd8623-05c0cd8623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IF(B53="I1",AVERAGEIF('QA_Images'!$A$2:$A$74,A53,'QA_Images'!$R$2:$R$74)/100,IF(D53="FULL",1,IF(D53="PARTIAL",0.5,IF(D53="FAIL",0,""))))</f>
        <v/>
      </c>
      <c r="F53" s="7">
        <f>IF(E53="",0,C53*E53)</f>
        <v/>
      </c>
      <c r="G53" s="7">
        <f>IF(B53="I1",20*AVERAGEIF('QA_Images'!$A$2:$A$74,A53,'QA_Images'!$S$2:$S$74)/100,IF(D53="NOT_CHECKED",0,C53))</f>
        <v/>
      </c>
      <c r="H53" s="3" t="inlineStr">
        <is>
          <t>SET HTML is customer-facing and contains no draft, import or QA workflow language.</t>
        </is>
      </c>
      <c r="I53" s="3" t="inlineStr">
        <is>
          <t>evidence_batch_010_095; source_snapshot; live_source_comparison; customizer_audit; serp_evidence</t>
        </is>
      </c>
      <c r="J53" s="3" t="inlineStr">
        <is>
          <t>ISSUE-0005</t>
        </is>
      </c>
    </row>
    <row r="54" ht="42" customHeight="1">
      <c r="A54" s="2" t="inlineStr">
        <is>
          <t>jeminise.com+custom-patriotic-trucking-semi-truck-below-waving-american-flag-comforter-05c0cd8623-05c0cd8623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IF(B54="I1",AVERAGEIF('QA_Images'!$A$2:$A$74,A54,'QA_Images'!$R$2:$R$74)/100,IF(D54="FULL",1,IF(D54="PARTIAL",0.5,IF(D54="FAIL",0,""))))</f>
        <v/>
      </c>
      <c r="F54" s="5">
        <f>IF(E54="",0,C54*E54)</f>
        <v/>
      </c>
      <c r="G54" s="5">
        <f>IF(B54="I1",20*AVERAGEIF('QA_Images'!$A$2:$A$74,A54,'QA_Images'!$S$2:$S$74)/100,IF(D54="NOT_CHECKED",0,C54))</f>
        <v/>
      </c>
      <c r="H54" s="2" t="inlineStr">
        <is>
          <t>HTML accurately states the motif and gallery-supported components, but repeats generic positioning language instead of adding buyer-use detail.</t>
        </is>
      </c>
      <c r="I54" s="2" t="inlineStr">
        <is>
          <t>evidence_batch_010_095; source_snapshot; live_source_comparison; customizer_audit; serp_evidence</t>
        </is>
      </c>
      <c r="J54" s="2" t="inlineStr">
        <is>
          <t>ISSUE-0005</t>
        </is>
      </c>
    </row>
    <row r="55" ht="42" customHeight="1">
      <c r="A55" s="3" t="inlineStr">
        <is>
          <t>jeminise.com+custom-patriotic-trucking-semi-truck-below-waving-american-flag-comforter-05c0cd8623-05c0cd8623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IF(B55="I1",AVERAGEIF('QA_Images'!$A$2:$A$74,A55,'QA_Images'!$R$2:$R$74)/100,IF(D55="FULL",1,IF(D55="PARTIAL",0.5,IF(D55="FAIL",0,""))))</f>
        <v/>
      </c>
      <c r="F55" s="7">
        <f>IF(E55="",0,C55*E55)</f>
        <v/>
      </c>
      <c r="G55" s="7">
        <f>IF(B55="I1",20*AVERAGEIF('QA_Images'!$A$2:$A$74,A55,'QA_Images'!$S$2:$S$74)/100,IF(D55="NOT_CHECKED",0,C55))</f>
        <v/>
      </c>
      <c r="H55" s="3" t="inlineStr">
        <is>
          <t>Derived from all QA_Images rows for this product.</t>
        </is>
      </c>
      <c r="I55" s="3" t="inlineStr">
        <is>
          <t>evidence_batch_010_095; source_snapshot; live_source_comparison; customizer_audit; serp_evidence</t>
        </is>
      </c>
      <c r="J55" s="3" t="inlineStr">
        <is>
          <t>ISSUE-0005</t>
        </is>
      </c>
    </row>
    <row r="56" ht="42" customHeight="1">
      <c r="A56" s="2" t="inlineStr">
        <is>
          <t>jeminise.com+custom-patriotic-trucking-semi-truck-below-waving-american-flag-comforter-05c0cd8623-05c0cd8623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5">
        <f>IF(B56="I1",AVERAGEIF('QA_Images'!$A$2:$A$74,A56,'QA_Images'!$R$2:$R$74)/100,IF(D56="FULL",1,IF(D56="PARTIAL",0.5,IF(D56="FAIL",0,""))))</f>
        <v/>
      </c>
      <c r="F56" s="5">
        <f>IF(E56="",0,C56*E56)</f>
        <v/>
      </c>
      <c r="G56" s="5">
        <f>IF(B56="I1",20*AVERAGEIF('QA_Images'!$A$2:$A$74,A56,'QA_Images'!$S$2:$S$74)/100,IF(D56="NOT_CHECKED",0,C56))</f>
        <v/>
      </c>
      <c r="H56" s="2" t="inlineStr">
        <is>
          <t>Evidence links and revision are traceable; the absent Shopify admin export remains separated as a limitation.</t>
        </is>
      </c>
      <c r="I56" s="2" t="inlineStr">
        <is>
          <t>evidence_batch_010_095; source_snapshot; live_source_comparison; customizer_audit; serp_evidence</t>
        </is>
      </c>
      <c r="J56" s="2" t="inlineStr">
        <is>
          <t>ISSUE-0005</t>
        </is>
      </c>
    </row>
    <row r="57" ht="42" customHeight="1">
      <c r="A57" s="3" t="inlineStr">
        <is>
          <t>jeminise.com+custom-photo-quilt-bicycle-flowers-07e2c6fca1-07e2c6fca1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IF(B57="I1",AVERAGEIF('QA_Images'!$A$2:$A$74,A57,'QA_Images'!$R$2:$R$74)/100,IF(D57="FULL",1,IF(D57="PARTIAL",0.5,IF(D57="FAIL",0,""))))</f>
        <v/>
      </c>
      <c r="F57" s="7">
        <f>IF(E57="",0,C57*E57)</f>
        <v/>
      </c>
      <c r="G57" s="7">
        <f>IF(B57="I1",20*AVERAGEIF('QA_Images'!$A$2:$A$74,A57,'QA_Images'!$S$2:$S$74)/100,IF(D57="NOT_CHECKED",0,C57))</f>
        <v/>
      </c>
      <c r="H57" s="3" t="inlineStr">
        <is>
          <t>Product key, handle, ID, URL and canonical match the frozen r3 workbook and retained live comparison.</t>
        </is>
      </c>
      <c r="I57" s="3" t="inlineStr">
        <is>
          <t>evidence_batch_010_096; source_snapshot; live_source_comparison; customizer_audit; serp_evidence</t>
        </is>
      </c>
      <c r="J57" s="3" t="inlineStr">
        <is>
          <t>ISSUE-0006</t>
        </is>
      </c>
    </row>
    <row r="58" ht="42" customHeight="1">
      <c r="A58" s="2" t="inlineStr">
        <is>
          <t>jeminise.com+custom-photo-quilt-bicycle-flowers-07e2c6fca1-07e2c6fca1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IF(B58="I1",AVERAGEIF('QA_Images'!$A$2:$A$74,A58,'QA_Images'!$R$2:$R$74)/100,IF(D58="FULL",1,IF(D58="PARTIAL",0.5,IF(D58="FAIL",0,""))))</f>
        <v/>
      </c>
      <c r="F58" s="5">
        <f>IF(E58="",0,C58*E58)</f>
        <v/>
      </c>
      <c r="G58" s="5">
        <f>IF(B58="I1",20*AVERAGEIF('QA_Images'!$A$2:$A$74,A58,'QA_Images'!$S$2:$S$74)/100,IF(D58="NOT_CHECKED",0,C58))</f>
        <v/>
      </c>
      <c r="H58" s="2" t="inlineStr">
        <is>
          <t>Visible design facts are supported by direct gallery assets; static customizer configuration is present. Admin fulfillment mapping was not supplied.</t>
        </is>
      </c>
      <c r="I58" s="2" t="inlineStr">
        <is>
          <t>evidence_batch_010_096; source_snapshot; live_source_comparison; customizer_audit; serp_evidence</t>
        </is>
      </c>
      <c r="J58" s="2" t="inlineStr">
        <is>
          <t>ISSUE-0006</t>
        </is>
      </c>
    </row>
    <row r="59" ht="42" customHeight="1">
      <c r="A59" s="3" t="inlineStr">
        <is>
          <t>jeminise.com+custom-photo-quilt-bicycle-flowers-07e2c6fca1-07e2c6fca1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IF(B59="I1",AVERAGEIF('QA_Images'!$A$2:$A$74,A59,'QA_Images'!$R$2:$R$74)/100,IF(D59="FULL",1,IF(D59="PARTIAL",0.5,IF(D59="FAIL",0,""))))</f>
        <v/>
      </c>
      <c r="F59" s="7">
        <f>IF(E59="",0,C59*E59)</f>
        <v/>
      </c>
      <c r="G59" s="7">
        <f>IF(B59="I1",20*AVERAGEIF('QA_Images'!$A$2:$A$74,A59,'QA_Images'!$S$2:$S$74)/100,IF(D59="NOT_CHECKED",0,C59))</f>
        <v/>
      </c>
      <c r="H59" s="3" t="inlineStr">
        <is>
          <t>Product-specific long-tail is relevant, but demand support is only public SERP evidence.</t>
        </is>
      </c>
      <c r="I59" s="3" t="inlineStr">
        <is>
          <t>evidence_batch_010_096; source_snapshot; live_source_comparison; customizer_audit; serp_evidence</t>
        </is>
      </c>
      <c r="J59" s="3" t="inlineStr">
        <is>
          <t>ISSUE-0006</t>
        </is>
      </c>
    </row>
    <row r="60" ht="42" customHeight="1">
      <c r="A60" s="2" t="inlineStr">
        <is>
          <t>jeminise.com+custom-photo-quilt-bicycle-flowers-07e2c6fca1-07e2c6fca1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IF(B60="I1",AVERAGEIF('QA_Images'!$A$2:$A$74,A60,'QA_Images'!$R$2:$R$74)/100,IF(D60="FULL",1,IF(D60="PARTIAL",0.5,IF(D60="FAIL",0,""))))</f>
        <v/>
      </c>
      <c r="F60" s="5">
        <f>IF(E60="",0,C60*E60)</f>
        <v/>
      </c>
      <c r="G60" s="5">
        <f>IF(B60="I1",20*AVERAGEIF('QA_Images'!$A$2:$A$74,A60,'QA_Images'!$S$2:$S$74)/100,IF(D60="NOT_CHECKED",0,C60))</f>
        <v/>
      </c>
      <c r="H60" s="2" t="inlineStr">
        <is>
          <t>Primary queries distinguish motif/color and product type within the batch cluster.</t>
        </is>
      </c>
      <c r="I60" s="2" t="inlineStr">
        <is>
          <t>evidence_batch_010_096; source_snapshot; live_source_comparison; customizer_audit; serp_evidence</t>
        </is>
      </c>
      <c r="J60" s="2" t="inlineStr">
        <is>
          <t>ISSUE-0006</t>
        </is>
      </c>
    </row>
    <row r="61" ht="42" customHeight="1">
      <c r="A61" s="3" t="inlineStr">
        <is>
          <t>jeminise.com+custom-photo-quilt-bicycle-flowers-07e2c6fca1-07e2c6fca1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IF(B61="I1",AVERAGEIF('QA_Images'!$A$2:$A$74,A61,'QA_Images'!$R$2:$R$74)/100,IF(D61="FULL",1,IF(D61="PARTIAL",0.5,IF(D61="FAIL",0,""))))</f>
        <v/>
      </c>
      <c r="F61" s="7">
        <f>IF(E61="",0,C61*E61)</f>
        <v/>
      </c>
      <c r="G61" s="7">
        <f>IF(B61="I1",20*AVERAGEIF('QA_Images'!$A$2:$A$74,A61,'QA_Images'!$S$2:$S$74)/100,IF(D61="NOT_CHECKED",0,C61))</f>
        <v/>
      </c>
      <c r="H61" s="3" t="inlineStr">
        <is>
          <t>SERP_ONLY is honestly labelled; no volume, ranking or demand magnitude claim is used.</t>
        </is>
      </c>
      <c r="I61" s="3" t="inlineStr">
        <is>
          <t>evidence_batch_010_096; source_snapshot; live_source_comparison; customizer_audit; serp_evidence</t>
        </is>
      </c>
      <c r="J61" s="3" t="inlineStr">
        <is>
          <t>ISSUE-0006</t>
        </is>
      </c>
    </row>
    <row r="62" ht="42" customHeight="1">
      <c r="A62" s="2" t="inlineStr">
        <is>
          <t>jeminise.com+custom-photo-quilt-bicycle-flowers-07e2c6fca1-07e2c6fca1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IF(B62="I1",AVERAGEIF('QA_Images'!$A$2:$A$74,A62,'QA_Images'!$R$2:$R$74)/100,IF(D62="FULL",1,IF(D62="PARTIAL",0.5,IF(D62="FAIL",0,""))))</f>
        <v/>
      </c>
      <c r="F62" s="5">
        <f>IF(E62="",0,C62*E62)</f>
        <v/>
      </c>
      <c r="G62" s="5">
        <f>IF(B62="I1",20*AVERAGEIF('QA_Images'!$A$2:$A$74,A62,'QA_Images'!$S$2:$S$74)/100,IF(D62="NOT_CHECKED",0,C62))</f>
        <v/>
      </c>
      <c r="H62" s="2" t="inlineStr">
        <is>
          <t>SEO title is concise English and matches the visible design/product type.</t>
        </is>
      </c>
      <c r="I62" s="2" t="inlineStr">
        <is>
          <t>evidence_batch_010_096; source_snapshot; live_source_comparison; customizer_audit; serp_evidence</t>
        </is>
      </c>
      <c r="J62" s="2" t="inlineStr">
        <is>
          <t>ISSUE-0006</t>
        </is>
      </c>
    </row>
    <row r="63" ht="42" customHeight="1">
      <c r="A63" s="3" t="inlineStr">
        <is>
          <t>jeminise.com+custom-photo-quilt-bicycle-flowers-07e2c6fca1-07e2c6fca1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IF(B63="I1",AVERAGEIF('QA_Images'!$A$2:$A$74,A63,'QA_Images'!$R$2:$R$74)/100,IF(D63="FULL",1,IF(D63="PARTIAL",0.5,IF(D63="FAIL",0,""))))</f>
        <v/>
      </c>
      <c r="F63" s="7">
        <f>IF(E63="",0,C63*E63)</f>
        <v/>
      </c>
      <c r="G63" s="7">
        <f>IF(B63="I1",20*AVERAGEIF('QA_Images'!$A$2:$A$74,A63,'QA_Images'!$S$2:$S$74)/100,IF(D63="NOT_CHECKED",0,C63))</f>
        <v/>
      </c>
      <c r="H63" s="3" t="inlineStr">
        <is>
          <t>Proposed product title is a natural, product-specific H1 candidate.</t>
        </is>
      </c>
      <c r="I63" s="3" t="inlineStr">
        <is>
          <t>evidence_batch_010_096; source_snapshot; live_source_comparison; customizer_audit; serp_evidence</t>
        </is>
      </c>
      <c r="J63" s="3" t="inlineStr">
        <is>
          <t>ISSUE-0006</t>
        </is>
      </c>
    </row>
    <row r="64" ht="42" customHeight="1">
      <c r="A64" s="2" t="inlineStr">
        <is>
          <t>jeminise.com+custom-photo-quilt-bicycle-flowers-07e2c6fca1-07e2c6fca1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IF(B64="I1",AVERAGEIF('QA_Images'!$A$2:$A$74,A64,'QA_Images'!$R$2:$R$74)/100,IF(D64="FULL",1,IF(D64="PARTIAL",0.5,IF(D64="FAIL",0,""))))</f>
        <v/>
      </c>
      <c r="F64" s="5">
        <f>IF(E64="",0,C64*E64)</f>
        <v/>
      </c>
      <c r="G64" s="5">
        <f>IF(B64="I1",20*AVERAGEIF('QA_Images'!$A$2:$A$74,A64,'QA_Images'!$S$2:$S$74)/100,IF(D64="NOT_CHECKED",0,C64))</f>
        <v/>
      </c>
      <c r="H64" s="2" t="inlineStr">
        <is>
          <t>SET HTML is customer-facing and contains no draft, import or QA workflow language.</t>
        </is>
      </c>
      <c r="I64" s="2" t="inlineStr">
        <is>
          <t>evidence_batch_010_096; source_snapshot; live_source_comparison; customizer_audit; serp_evidence</t>
        </is>
      </c>
      <c r="J64" s="2" t="inlineStr">
        <is>
          <t>ISSUE-0006</t>
        </is>
      </c>
    </row>
    <row r="65" ht="42" customHeight="1">
      <c r="A65" s="3" t="inlineStr">
        <is>
          <t>jeminise.com+custom-photo-quilt-bicycle-flowers-07e2c6fca1-07e2c6fca1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IF(B65="I1",AVERAGEIF('QA_Images'!$A$2:$A$74,A65,'QA_Images'!$R$2:$R$74)/100,IF(D65="FULL",1,IF(D65="PARTIAL",0.5,IF(D65="FAIL",0,""))))</f>
        <v/>
      </c>
      <c r="F65" s="7">
        <f>IF(E65="",0,C65*E65)</f>
        <v/>
      </c>
      <c r="G65" s="7">
        <f>IF(B65="I1",20*AVERAGEIF('QA_Images'!$A$2:$A$74,A65,'QA_Images'!$S$2:$S$74)/100,IF(D65="NOT_CHECKED",0,C65))</f>
        <v/>
      </c>
      <c r="H65" s="3" t="inlineStr">
        <is>
          <t>HTML accurately states the motif and gallery-supported components, but repeats generic positioning language instead of adding buyer-use detail.</t>
        </is>
      </c>
      <c r="I65" s="3" t="inlineStr">
        <is>
          <t>evidence_batch_010_096; source_snapshot; live_source_comparison; customizer_audit; serp_evidence</t>
        </is>
      </c>
      <c r="J65" s="3" t="inlineStr">
        <is>
          <t>ISSUE-0006</t>
        </is>
      </c>
    </row>
    <row r="66" ht="42" customHeight="1">
      <c r="A66" s="2" t="inlineStr">
        <is>
          <t>jeminise.com+custom-photo-quilt-bicycle-flowers-07e2c6fca1-07e2c6fca1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IF(B66="I1",AVERAGEIF('QA_Images'!$A$2:$A$74,A66,'QA_Images'!$R$2:$R$74)/100,IF(D66="FULL",1,IF(D66="PARTIAL",0.5,IF(D66="FAIL",0,""))))</f>
        <v/>
      </c>
      <c r="F66" s="5">
        <f>IF(E66="",0,C66*E66)</f>
        <v/>
      </c>
      <c r="G66" s="5">
        <f>IF(B66="I1",20*AVERAGEIF('QA_Images'!$A$2:$A$74,A66,'QA_Images'!$S$2:$S$74)/100,IF(D66="NOT_CHECKED",0,C66))</f>
        <v/>
      </c>
      <c r="H66" s="2" t="inlineStr">
        <is>
          <t>Derived from all QA_Images rows for this product.</t>
        </is>
      </c>
      <c r="I66" s="2" t="inlineStr">
        <is>
          <t>evidence_batch_010_096; source_snapshot; live_source_comparison; customizer_audit; serp_evidence</t>
        </is>
      </c>
      <c r="J66" s="2" t="inlineStr">
        <is>
          <t>ISSUE-0006</t>
        </is>
      </c>
    </row>
    <row r="67" ht="42" customHeight="1">
      <c r="A67" s="3" t="inlineStr">
        <is>
          <t>jeminise.com+custom-photo-quilt-bicycle-flowers-07e2c6fca1-07e2c6fca1</t>
        </is>
      </c>
      <c r="B67" s="3" t="inlineStr">
        <is>
          <t>E1</t>
        </is>
      </c>
      <c r="C67" s="3" t="n">
        <v>5</v>
      </c>
      <c r="D67" s="3" t="inlineStr">
        <is>
          <t>PARTIAL</t>
        </is>
      </c>
      <c r="E67" s="7">
        <f>IF(B67="I1",AVERAGEIF('QA_Images'!$A$2:$A$74,A67,'QA_Images'!$R$2:$R$74)/100,IF(D67="FULL",1,IF(D67="PARTIAL",0.5,IF(D67="FAIL",0,""))))</f>
        <v/>
      </c>
      <c r="F67" s="7">
        <f>IF(E67="",0,C67*E67)</f>
        <v/>
      </c>
      <c r="G67" s="7">
        <f>IF(B67="I1",20*AVERAGEIF('QA_Images'!$A$2:$A$74,A67,'QA_Images'!$S$2:$S$74)/100,IF(D67="NOT_CHECKED",0,C67))</f>
        <v/>
      </c>
      <c r="H67" s="3" t="inlineStr">
        <is>
          <t>Evidence links and revision are traceable; the absent Shopify admin export remains separated as a limitation.</t>
        </is>
      </c>
      <c r="I67" s="3" t="inlineStr">
        <is>
          <t>evidence_batch_010_096; source_snapshot; live_source_comparison; customizer_audit; serp_evidence</t>
        </is>
      </c>
      <c r="J67" s="3" t="inlineStr">
        <is>
          <t>ISSUE-0006</t>
        </is>
      </c>
    </row>
    <row r="68" ht="42" customHeight="1">
      <c r="A68" s="2" t="inlineStr">
        <is>
          <t>jeminise.com+custom-purple-butterflies-text-blanket-machine-washable-d7b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IF(B68="I1",AVERAGEIF('QA_Images'!$A$2:$A$74,A68,'QA_Images'!$R$2:$R$74)/100,IF(D68="FULL",1,IF(D68="PARTIAL",0.5,IF(D68="FAIL",0,""))))</f>
        <v/>
      </c>
      <c r="F68" s="5">
        <f>IF(E68="",0,C68*E68)</f>
        <v/>
      </c>
      <c r="G68" s="5">
        <f>IF(B68="I1",20*AVERAGEIF('QA_Images'!$A$2:$A$74,A68,'QA_Images'!$S$2:$S$74)/100,IF(D68="NOT_CHECKED",0,C68))</f>
        <v/>
      </c>
      <c r="H68" s="2" t="inlineStr">
        <is>
          <t>Product key, handle, ID, URL and canonical match the frozen r3 workbook and retained live comparison.</t>
        </is>
      </c>
      <c r="I68" s="2" t="inlineStr">
        <is>
          <t>evidence_batch_010_097; source_snapshot; live_source_comparison; customizer_audit; serp_evidence</t>
        </is>
      </c>
      <c r="J68" s="2" t="inlineStr">
        <is>
          <t>ISSUE-0007</t>
        </is>
      </c>
    </row>
    <row r="69" ht="42" customHeight="1">
      <c r="A69" s="3" t="inlineStr">
        <is>
          <t>jeminise.com+custom-purple-butterflies-text-blanket-machine-washable-d7b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IF(B69="I1",AVERAGEIF('QA_Images'!$A$2:$A$74,A69,'QA_Images'!$R$2:$R$74)/100,IF(D69="FULL",1,IF(D69="PARTIAL",0.5,IF(D69="FAIL",0,""))))</f>
        <v/>
      </c>
      <c r="F69" s="7">
        <f>IF(E69="",0,C69*E69)</f>
        <v/>
      </c>
      <c r="G69" s="7">
        <f>IF(B69="I1",20*AVERAGEIF('QA_Images'!$A$2:$A$74,A69,'QA_Images'!$S$2:$S$74)/100,IF(D69="NOT_CHECKED",0,C69))</f>
        <v/>
      </c>
      <c r="H69" s="3" t="inlineStr">
        <is>
          <t>Visible design facts are supported by direct gallery assets; static customizer configuration is present. Admin fulfillment mapping was not supplied.</t>
        </is>
      </c>
      <c r="I69" s="3" t="inlineStr">
        <is>
          <t>evidence_batch_010_097; source_snapshot; live_source_comparison; customizer_audit; serp_evidence</t>
        </is>
      </c>
      <c r="J69" s="3" t="inlineStr">
        <is>
          <t>ISSUE-0007</t>
        </is>
      </c>
    </row>
    <row r="70" ht="42" customHeight="1">
      <c r="A70" s="2" t="inlineStr">
        <is>
          <t>jeminise.com+custom-purple-butterflies-text-blanket-machine-washable-d7b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IF(B70="I1",AVERAGEIF('QA_Images'!$A$2:$A$74,A70,'QA_Images'!$R$2:$R$74)/100,IF(D70="FULL",1,IF(D70="PARTIAL",0.5,IF(D70="FAIL",0,""))))</f>
        <v/>
      </c>
      <c r="F70" s="5">
        <f>IF(E70="",0,C70*E70)</f>
        <v/>
      </c>
      <c r="G70" s="5">
        <f>IF(B70="I1",20*AVERAGEIF('QA_Images'!$A$2:$A$74,A70,'QA_Images'!$S$2:$S$74)/100,IF(D70="NOT_CHECKED",0,C70))</f>
        <v/>
      </c>
      <c r="H70" s="2" t="inlineStr">
        <is>
          <t>Product-specific long-tail is relevant, but demand support is only public SERP evidence.</t>
        </is>
      </c>
      <c r="I70" s="2" t="inlineStr">
        <is>
          <t>evidence_batch_010_097; source_snapshot; live_source_comparison; customizer_audit; serp_evidence</t>
        </is>
      </c>
      <c r="J70" s="2" t="inlineStr">
        <is>
          <t>ISSUE-0007</t>
        </is>
      </c>
    </row>
    <row r="71" ht="42" customHeight="1">
      <c r="A71" s="3" t="inlineStr">
        <is>
          <t>jeminise.com+custom-purple-butterflies-text-blanket-machine-washable-d7b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IF(B71="I1",AVERAGEIF('QA_Images'!$A$2:$A$74,A71,'QA_Images'!$R$2:$R$74)/100,IF(D71="FULL",1,IF(D71="PARTIAL",0.5,IF(D71="FAIL",0,""))))</f>
        <v/>
      </c>
      <c r="F71" s="7">
        <f>IF(E71="",0,C71*E71)</f>
        <v/>
      </c>
      <c r="G71" s="7">
        <f>IF(B71="I1",20*AVERAGEIF('QA_Images'!$A$2:$A$74,A71,'QA_Images'!$S$2:$S$74)/100,IF(D71="NOT_CHECKED",0,C71))</f>
        <v/>
      </c>
      <c r="H71" s="3" t="inlineStr">
        <is>
          <t>Primary queries distinguish motif/color and product type within the batch cluster.</t>
        </is>
      </c>
      <c r="I71" s="3" t="inlineStr">
        <is>
          <t>evidence_batch_010_097; source_snapshot; live_source_comparison; customizer_audit; serp_evidence</t>
        </is>
      </c>
      <c r="J71" s="3" t="inlineStr">
        <is>
          <t>ISSUE-0007</t>
        </is>
      </c>
    </row>
    <row r="72" ht="42" customHeight="1">
      <c r="A72" s="2" t="inlineStr">
        <is>
          <t>jeminise.com+custom-purple-butterflies-text-blanket-machine-washable-d7b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IF(B72="I1",AVERAGEIF('QA_Images'!$A$2:$A$74,A72,'QA_Images'!$R$2:$R$74)/100,IF(D72="FULL",1,IF(D72="PARTIAL",0.5,IF(D72="FAIL",0,""))))</f>
        <v/>
      </c>
      <c r="F72" s="5">
        <f>IF(E72="",0,C72*E72)</f>
        <v/>
      </c>
      <c r="G72" s="5">
        <f>IF(B72="I1",20*AVERAGEIF('QA_Images'!$A$2:$A$74,A72,'QA_Images'!$S$2:$S$74)/100,IF(D72="NOT_CHECKED",0,C72))</f>
        <v/>
      </c>
      <c r="H72" s="2" t="inlineStr">
        <is>
          <t>SERP_ONLY is honestly labelled; no volume, ranking or demand magnitude claim is used.</t>
        </is>
      </c>
      <c r="I72" s="2" t="inlineStr">
        <is>
          <t>evidence_batch_010_097; source_snapshot; live_source_comparison; customizer_audit; serp_evidence</t>
        </is>
      </c>
      <c r="J72" s="2" t="inlineStr">
        <is>
          <t>ISSUE-0007</t>
        </is>
      </c>
    </row>
    <row r="73" ht="42" customHeight="1">
      <c r="A73" s="3" t="inlineStr">
        <is>
          <t>jeminise.com+custom-purple-butterflies-text-blanket-machine-washable-d7b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IF(B73="I1",AVERAGEIF('QA_Images'!$A$2:$A$74,A73,'QA_Images'!$R$2:$R$74)/100,IF(D73="FULL",1,IF(D73="PARTIAL",0.5,IF(D73="FAIL",0,""))))</f>
        <v/>
      </c>
      <c r="F73" s="7">
        <f>IF(E73="",0,C73*E73)</f>
        <v/>
      </c>
      <c r="G73" s="7">
        <f>IF(B73="I1",20*AVERAGEIF('QA_Images'!$A$2:$A$74,A73,'QA_Images'!$S$2:$S$74)/100,IF(D73="NOT_CHECKED",0,C73))</f>
        <v/>
      </c>
      <c r="H73" s="3" t="inlineStr">
        <is>
          <t>SEO title is concise English and matches the visible design/product type.</t>
        </is>
      </c>
      <c r="I73" s="3" t="inlineStr">
        <is>
          <t>evidence_batch_010_097; source_snapshot; live_source_comparison; customizer_audit; serp_evidence</t>
        </is>
      </c>
      <c r="J73" s="3" t="inlineStr">
        <is>
          <t>ISSUE-0007</t>
        </is>
      </c>
    </row>
    <row r="74" ht="42" customHeight="1">
      <c r="A74" s="2" t="inlineStr">
        <is>
          <t>jeminise.com+custom-purple-butterflies-text-blanket-machine-washable-d7b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IF(B74="I1",AVERAGEIF('QA_Images'!$A$2:$A$74,A74,'QA_Images'!$R$2:$R$74)/100,IF(D74="FULL",1,IF(D74="PARTIAL",0.5,IF(D74="FAIL",0,""))))</f>
        <v/>
      </c>
      <c r="F74" s="5">
        <f>IF(E74="",0,C74*E74)</f>
        <v/>
      </c>
      <c r="G74" s="5">
        <f>IF(B74="I1",20*AVERAGEIF('QA_Images'!$A$2:$A$74,A74,'QA_Images'!$S$2:$S$74)/100,IF(D74="NOT_CHECKED",0,C74))</f>
        <v/>
      </c>
      <c r="H74" s="2" t="inlineStr">
        <is>
          <t>Proposed product title is a natural, product-specific H1 candidate.</t>
        </is>
      </c>
      <c r="I74" s="2" t="inlineStr">
        <is>
          <t>evidence_batch_010_097; source_snapshot; live_source_comparison; customizer_audit; serp_evidence</t>
        </is>
      </c>
      <c r="J74" s="2" t="inlineStr">
        <is>
          <t>ISSUE-0007</t>
        </is>
      </c>
    </row>
    <row r="75" ht="42" customHeight="1">
      <c r="A75" s="3" t="inlineStr">
        <is>
          <t>jeminise.com+custom-purple-butterflies-text-blanket-machine-washable-d7b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IF(B75="I1",AVERAGEIF('QA_Images'!$A$2:$A$74,A75,'QA_Images'!$R$2:$R$74)/100,IF(D75="FULL",1,IF(D75="PARTIAL",0.5,IF(D75="FAIL",0,""))))</f>
        <v/>
      </c>
      <c r="F75" s="7">
        <f>IF(E75="",0,C75*E75)</f>
        <v/>
      </c>
      <c r="G75" s="7">
        <f>IF(B75="I1",20*AVERAGEIF('QA_Images'!$A$2:$A$74,A75,'QA_Images'!$S$2:$S$74)/100,IF(D75="NOT_CHECKED",0,C75))</f>
        <v/>
      </c>
      <c r="H75" s="3" t="inlineStr">
        <is>
          <t>SET HTML is customer-facing and contains no draft, import or QA workflow language.</t>
        </is>
      </c>
      <c r="I75" s="3" t="inlineStr">
        <is>
          <t>evidence_batch_010_097; source_snapshot; live_source_comparison; customizer_audit; serp_evidence</t>
        </is>
      </c>
      <c r="J75" s="3" t="inlineStr">
        <is>
          <t>ISSUE-0007</t>
        </is>
      </c>
    </row>
    <row r="76" ht="42" customHeight="1">
      <c r="A76" s="2" t="inlineStr">
        <is>
          <t>jeminise.com+custom-purple-butterflies-text-blanket-machine-washable-d7b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IF(B76="I1",AVERAGEIF('QA_Images'!$A$2:$A$74,A76,'QA_Images'!$R$2:$R$74)/100,IF(D76="FULL",1,IF(D76="PARTIAL",0.5,IF(D76="FAIL",0,""))))</f>
        <v/>
      </c>
      <c r="F76" s="5">
        <f>IF(E76="",0,C76*E76)</f>
        <v/>
      </c>
      <c r="G76" s="5">
        <f>IF(B76="I1",20*AVERAGEIF('QA_Images'!$A$2:$A$74,A76,'QA_Images'!$S$2:$S$74)/100,IF(D76="NOT_CHECKED",0,C76))</f>
        <v/>
      </c>
      <c r="H76" s="2" t="inlineStr">
        <is>
          <t>HTML accurately states the motif and gallery-supported components, but repeats generic positioning language instead of adding buyer-use detail.</t>
        </is>
      </c>
      <c r="I76" s="2" t="inlineStr">
        <is>
          <t>evidence_batch_010_097; source_snapshot; live_source_comparison; customizer_audit; serp_evidence</t>
        </is>
      </c>
      <c r="J76" s="2" t="inlineStr">
        <is>
          <t>ISSUE-0007</t>
        </is>
      </c>
    </row>
    <row r="77" ht="42" customHeight="1">
      <c r="A77" s="3" t="inlineStr">
        <is>
          <t>jeminise.com+custom-purple-butterflies-text-blanket-machine-washable-d7b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IF(B77="I1",AVERAGEIF('QA_Images'!$A$2:$A$74,A77,'QA_Images'!$R$2:$R$74)/100,IF(D77="FULL",1,IF(D77="PARTIAL",0.5,IF(D77="FAIL",0,""))))</f>
        <v/>
      </c>
      <c r="F77" s="7">
        <f>IF(E77="",0,C77*E77)</f>
        <v/>
      </c>
      <c r="G77" s="7">
        <f>IF(B77="I1",20*AVERAGEIF('QA_Images'!$A$2:$A$74,A77,'QA_Images'!$S$2:$S$74)/100,IF(D77="NOT_CHECKED",0,C77))</f>
        <v/>
      </c>
      <c r="H77" s="3" t="inlineStr">
        <is>
          <t>Derived from all QA_Images rows for this product.</t>
        </is>
      </c>
      <c r="I77" s="3" t="inlineStr">
        <is>
          <t>evidence_batch_010_097; source_snapshot; live_source_comparison; customizer_audit; serp_evidence</t>
        </is>
      </c>
      <c r="J77" s="3" t="inlineStr">
        <is>
          <t>ISSUE-0007</t>
        </is>
      </c>
    </row>
    <row r="78" ht="42" customHeight="1">
      <c r="A78" s="2" t="inlineStr">
        <is>
          <t>jeminise.com+custom-purple-butterflies-text-blanket-machine-washable-d7b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5">
        <f>IF(B78="I1",AVERAGEIF('QA_Images'!$A$2:$A$74,A78,'QA_Images'!$R$2:$R$74)/100,IF(D78="FULL",1,IF(D78="PARTIAL",0.5,IF(D78="FAIL",0,""))))</f>
        <v/>
      </c>
      <c r="F78" s="5">
        <f>IF(E78="",0,C78*E78)</f>
        <v/>
      </c>
      <c r="G78" s="5">
        <f>IF(B78="I1",20*AVERAGEIF('QA_Images'!$A$2:$A$74,A78,'QA_Images'!$S$2:$S$74)/100,IF(D78="NOT_CHECKED",0,C78))</f>
        <v/>
      </c>
      <c r="H78" s="2" t="inlineStr">
        <is>
          <t>Evidence links and revision are traceable; the absent Shopify admin export remains separated as a limitation.</t>
        </is>
      </c>
      <c r="I78" s="2" t="inlineStr">
        <is>
          <t>evidence_batch_010_097; source_snapshot; live_source_comparison; customizer_audit; serp_evidence</t>
        </is>
      </c>
      <c r="J78" s="2" t="inlineStr">
        <is>
          <t>ISSUE-0007</t>
        </is>
      </c>
    </row>
    <row r="79" ht="42" customHeight="1">
      <c r="A79" s="3" t="inlineStr">
        <is>
          <t>jeminise.com+custom-purple-butterfly-christian-blanket-machine-washable-d15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IF(B79="I1",AVERAGEIF('QA_Images'!$A$2:$A$74,A79,'QA_Images'!$R$2:$R$74)/100,IF(D79="FULL",1,IF(D79="PARTIAL",0.5,IF(D79="FAIL",0,""))))</f>
        <v/>
      </c>
      <c r="F79" s="7">
        <f>IF(E79="",0,C79*E79)</f>
        <v/>
      </c>
      <c r="G79" s="7">
        <f>IF(B79="I1",20*AVERAGEIF('QA_Images'!$A$2:$A$74,A79,'QA_Images'!$S$2:$S$74)/100,IF(D79="NOT_CHECKED",0,C79))</f>
        <v/>
      </c>
      <c r="H79" s="3" t="inlineStr">
        <is>
          <t>Product key, handle, ID, URL and canonical match the frozen r3 workbook and retained live comparison.</t>
        </is>
      </c>
      <c r="I79" s="3" t="inlineStr">
        <is>
          <t>evidence_batch_010_098; source_snapshot; live_source_comparison; customizer_audit; serp_evidence</t>
        </is>
      </c>
      <c r="J79" s="3" t="inlineStr">
        <is>
          <t>ISSUE-0008</t>
        </is>
      </c>
    </row>
    <row r="80" ht="42" customHeight="1">
      <c r="A80" s="2" t="inlineStr">
        <is>
          <t>jeminise.com+custom-purple-butterfly-christian-blanket-machine-washable-d15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IF(B80="I1",AVERAGEIF('QA_Images'!$A$2:$A$74,A80,'QA_Images'!$R$2:$R$74)/100,IF(D80="FULL",1,IF(D80="PARTIAL",0.5,IF(D80="FAIL",0,""))))</f>
        <v/>
      </c>
      <c r="F80" s="5">
        <f>IF(E80="",0,C80*E80)</f>
        <v/>
      </c>
      <c r="G80" s="5">
        <f>IF(B80="I1",20*AVERAGEIF('QA_Images'!$A$2:$A$74,A80,'QA_Images'!$S$2:$S$74)/100,IF(D80="NOT_CHECKED",0,C80))</f>
        <v/>
      </c>
      <c r="H80" s="2" t="inlineStr">
        <is>
          <t>Visible design facts are supported by direct gallery assets; static customizer configuration is present. Admin fulfillment mapping was not supplied.</t>
        </is>
      </c>
      <c r="I80" s="2" t="inlineStr">
        <is>
          <t>evidence_batch_010_098; source_snapshot; live_source_comparison; customizer_audit; serp_evidence</t>
        </is>
      </c>
      <c r="J80" s="2" t="inlineStr">
        <is>
          <t>ISSUE-0008</t>
        </is>
      </c>
    </row>
    <row r="81" ht="42" customHeight="1">
      <c r="A81" s="3" t="inlineStr">
        <is>
          <t>jeminise.com+custom-purple-butterfly-christian-blanket-machine-washable-d15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IF(B81="I1",AVERAGEIF('QA_Images'!$A$2:$A$74,A81,'QA_Images'!$R$2:$R$74)/100,IF(D81="FULL",1,IF(D81="PARTIAL",0.5,IF(D81="FAIL",0,""))))</f>
        <v/>
      </c>
      <c r="F81" s="7">
        <f>IF(E81="",0,C81*E81)</f>
        <v/>
      </c>
      <c r="G81" s="7">
        <f>IF(B81="I1",20*AVERAGEIF('QA_Images'!$A$2:$A$74,A81,'QA_Images'!$S$2:$S$74)/100,IF(D81="NOT_CHECKED",0,C81))</f>
        <v/>
      </c>
      <c r="H81" s="3" t="inlineStr">
        <is>
          <t>Product-specific long-tail is relevant, but demand support is only public SERP evidence.</t>
        </is>
      </c>
      <c r="I81" s="3" t="inlineStr">
        <is>
          <t>evidence_batch_010_098; source_snapshot; live_source_comparison; customizer_audit; serp_evidence</t>
        </is>
      </c>
      <c r="J81" s="3" t="inlineStr">
        <is>
          <t>ISSUE-0008</t>
        </is>
      </c>
    </row>
    <row r="82" ht="42" customHeight="1">
      <c r="A82" s="2" t="inlineStr">
        <is>
          <t>jeminise.com+custom-purple-butterfly-christian-blanket-machine-washable-d15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IF(B82="I1",AVERAGEIF('QA_Images'!$A$2:$A$74,A82,'QA_Images'!$R$2:$R$74)/100,IF(D82="FULL",1,IF(D82="PARTIAL",0.5,IF(D82="FAIL",0,""))))</f>
        <v/>
      </c>
      <c r="F82" s="5">
        <f>IF(E82="",0,C82*E82)</f>
        <v/>
      </c>
      <c r="G82" s="5">
        <f>IF(B82="I1",20*AVERAGEIF('QA_Images'!$A$2:$A$74,A82,'QA_Images'!$S$2:$S$74)/100,IF(D82="NOT_CHECKED",0,C82))</f>
        <v/>
      </c>
      <c r="H82" s="2" t="inlineStr">
        <is>
          <t>Primary queries distinguish motif/color and product type within the batch cluster.</t>
        </is>
      </c>
      <c r="I82" s="2" t="inlineStr">
        <is>
          <t>evidence_batch_010_098; source_snapshot; live_source_comparison; customizer_audit; serp_evidence</t>
        </is>
      </c>
      <c r="J82" s="2" t="inlineStr">
        <is>
          <t>ISSUE-0008</t>
        </is>
      </c>
    </row>
    <row r="83" ht="42" customHeight="1">
      <c r="A83" s="3" t="inlineStr">
        <is>
          <t>jeminise.com+custom-purple-butterfly-christian-blanket-machine-washable-d15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IF(B83="I1",AVERAGEIF('QA_Images'!$A$2:$A$74,A83,'QA_Images'!$R$2:$R$74)/100,IF(D83="FULL",1,IF(D83="PARTIAL",0.5,IF(D83="FAIL",0,""))))</f>
        <v/>
      </c>
      <c r="F83" s="7">
        <f>IF(E83="",0,C83*E83)</f>
        <v/>
      </c>
      <c r="G83" s="7">
        <f>IF(B83="I1",20*AVERAGEIF('QA_Images'!$A$2:$A$74,A83,'QA_Images'!$S$2:$S$74)/100,IF(D83="NOT_CHECKED",0,C83))</f>
        <v/>
      </c>
      <c r="H83" s="3" t="inlineStr">
        <is>
          <t>SERP_ONLY is honestly labelled; no volume, ranking or demand magnitude claim is used.</t>
        </is>
      </c>
      <c r="I83" s="3" t="inlineStr">
        <is>
          <t>evidence_batch_010_098; source_snapshot; live_source_comparison; customizer_audit; serp_evidence</t>
        </is>
      </c>
      <c r="J83" s="3" t="inlineStr">
        <is>
          <t>ISSUE-0008</t>
        </is>
      </c>
    </row>
    <row r="84" ht="42" customHeight="1">
      <c r="A84" s="2" t="inlineStr">
        <is>
          <t>jeminise.com+custom-purple-butterfly-christian-blanket-machine-washable-d15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IF(B84="I1",AVERAGEIF('QA_Images'!$A$2:$A$74,A84,'QA_Images'!$R$2:$R$74)/100,IF(D84="FULL",1,IF(D84="PARTIAL",0.5,IF(D84="FAIL",0,""))))</f>
        <v/>
      </c>
      <c r="F84" s="5">
        <f>IF(E84="",0,C84*E84)</f>
        <v/>
      </c>
      <c r="G84" s="5">
        <f>IF(B84="I1",20*AVERAGEIF('QA_Images'!$A$2:$A$74,A84,'QA_Images'!$S$2:$S$74)/100,IF(D84="NOT_CHECKED",0,C84))</f>
        <v/>
      </c>
      <c r="H84" s="2" t="inlineStr">
        <is>
          <t>SEO title is concise English and matches the visible design/product type.</t>
        </is>
      </c>
      <c r="I84" s="2" t="inlineStr">
        <is>
          <t>evidence_batch_010_098; source_snapshot; live_source_comparison; customizer_audit; serp_evidence</t>
        </is>
      </c>
      <c r="J84" s="2" t="inlineStr">
        <is>
          <t>ISSUE-0008</t>
        </is>
      </c>
    </row>
    <row r="85" ht="42" customHeight="1">
      <c r="A85" s="3" t="inlineStr">
        <is>
          <t>jeminise.com+custom-purple-butterfly-christian-blanket-machine-washable-d15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IF(B85="I1",AVERAGEIF('QA_Images'!$A$2:$A$74,A85,'QA_Images'!$R$2:$R$74)/100,IF(D85="FULL",1,IF(D85="PARTIAL",0.5,IF(D85="FAIL",0,""))))</f>
        <v/>
      </c>
      <c r="F85" s="7">
        <f>IF(E85="",0,C85*E85)</f>
        <v/>
      </c>
      <c r="G85" s="7">
        <f>IF(B85="I1",20*AVERAGEIF('QA_Images'!$A$2:$A$74,A85,'QA_Images'!$S$2:$S$74)/100,IF(D85="NOT_CHECKED",0,C85))</f>
        <v/>
      </c>
      <c r="H85" s="3" t="inlineStr">
        <is>
          <t>Proposed product title is a natural, product-specific H1 candidate.</t>
        </is>
      </c>
      <c r="I85" s="3" t="inlineStr">
        <is>
          <t>evidence_batch_010_098; source_snapshot; live_source_comparison; customizer_audit; serp_evidence</t>
        </is>
      </c>
      <c r="J85" s="3" t="inlineStr">
        <is>
          <t>ISSUE-0008</t>
        </is>
      </c>
    </row>
    <row r="86" ht="42" customHeight="1">
      <c r="A86" s="2" t="inlineStr">
        <is>
          <t>jeminise.com+custom-purple-butterfly-christian-blanket-machine-washable-d15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IF(B86="I1",AVERAGEIF('QA_Images'!$A$2:$A$74,A86,'QA_Images'!$R$2:$R$74)/100,IF(D86="FULL",1,IF(D86="PARTIAL",0.5,IF(D86="FAIL",0,""))))</f>
        <v/>
      </c>
      <c r="F86" s="5">
        <f>IF(E86="",0,C86*E86)</f>
        <v/>
      </c>
      <c r="G86" s="5">
        <f>IF(B86="I1",20*AVERAGEIF('QA_Images'!$A$2:$A$74,A86,'QA_Images'!$S$2:$S$74)/100,IF(D86="NOT_CHECKED",0,C86))</f>
        <v/>
      </c>
      <c r="H86" s="2" t="inlineStr">
        <is>
          <t>SET HTML is customer-facing and contains no draft, import or QA workflow language.</t>
        </is>
      </c>
      <c r="I86" s="2" t="inlineStr">
        <is>
          <t>evidence_batch_010_098; source_snapshot; live_source_comparison; customizer_audit; serp_evidence</t>
        </is>
      </c>
      <c r="J86" s="2" t="inlineStr">
        <is>
          <t>ISSUE-0008</t>
        </is>
      </c>
    </row>
    <row r="87" ht="42" customHeight="1">
      <c r="A87" s="3" t="inlineStr">
        <is>
          <t>jeminise.com+custom-purple-butterfly-christian-blanket-machine-washable-d15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IF(B87="I1",AVERAGEIF('QA_Images'!$A$2:$A$74,A87,'QA_Images'!$R$2:$R$74)/100,IF(D87="FULL",1,IF(D87="PARTIAL",0.5,IF(D87="FAIL",0,""))))</f>
        <v/>
      </c>
      <c r="F87" s="7">
        <f>IF(E87="",0,C87*E87)</f>
        <v/>
      </c>
      <c r="G87" s="7">
        <f>IF(B87="I1",20*AVERAGEIF('QA_Images'!$A$2:$A$74,A87,'QA_Images'!$S$2:$S$74)/100,IF(D87="NOT_CHECKED",0,C87))</f>
        <v/>
      </c>
      <c r="H87" s="3" t="inlineStr">
        <is>
          <t>HTML accurately states the motif and gallery-supported components, but repeats generic positioning language instead of adding buyer-use detail.</t>
        </is>
      </c>
      <c r="I87" s="3" t="inlineStr">
        <is>
          <t>evidence_batch_010_098; source_snapshot; live_source_comparison; customizer_audit; serp_evidence</t>
        </is>
      </c>
      <c r="J87" s="3" t="inlineStr">
        <is>
          <t>ISSUE-0008</t>
        </is>
      </c>
    </row>
    <row r="88" ht="42" customHeight="1">
      <c r="A88" s="2" t="inlineStr">
        <is>
          <t>jeminise.com+custom-purple-butterfly-christian-blanket-machine-washable-d15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IF(B88="I1",AVERAGEIF('QA_Images'!$A$2:$A$74,A88,'QA_Images'!$R$2:$R$74)/100,IF(D88="FULL",1,IF(D88="PARTIAL",0.5,IF(D88="FAIL",0,""))))</f>
        <v/>
      </c>
      <c r="F88" s="5">
        <f>IF(E88="",0,C88*E88)</f>
        <v/>
      </c>
      <c r="G88" s="5">
        <f>IF(B88="I1",20*AVERAGEIF('QA_Images'!$A$2:$A$74,A88,'QA_Images'!$S$2:$S$74)/100,IF(D88="NOT_CHECKED",0,C88))</f>
        <v/>
      </c>
      <c r="H88" s="2" t="inlineStr">
        <is>
          <t>Derived from all QA_Images rows for this product.</t>
        </is>
      </c>
      <c r="I88" s="2" t="inlineStr">
        <is>
          <t>evidence_batch_010_098; source_snapshot; live_source_comparison; customizer_audit; serp_evidence</t>
        </is>
      </c>
      <c r="J88" s="2" t="inlineStr">
        <is>
          <t>ISSUE-0008</t>
        </is>
      </c>
    </row>
    <row r="89" ht="42" customHeight="1">
      <c r="A89" s="3" t="inlineStr">
        <is>
          <t>jeminise.com+custom-purple-butterfly-christian-blanket-machine-washable-d15</t>
        </is>
      </c>
      <c r="B89" s="3" t="inlineStr">
        <is>
          <t>E1</t>
        </is>
      </c>
      <c r="C89" s="3" t="n">
        <v>5</v>
      </c>
      <c r="D89" s="3" t="inlineStr">
        <is>
          <t>PARTIAL</t>
        </is>
      </c>
      <c r="E89" s="7">
        <f>IF(B89="I1",AVERAGEIF('QA_Images'!$A$2:$A$74,A89,'QA_Images'!$R$2:$R$74)/100,IF(D89="FULL",1,IF(D89="PARTIAL",0.5,IF(D89="FAIL",0,""))))</f>
        <v/>
      </c>
      <c r="F89" s="7">
        <f>IF(E89="",0,C89*E89)</f>
        <v/>
      </c>
      <c r="G89" s="7">
        <f>IF(B89="I1",20*AVERAGEIF('QA_Images'!$A$2:$A$74,A89,'QA_Images'!$S$2:$S$74)/100,IF(D89="NOT_CHECKED",0,C89))</f>
        <v/>
      </c>
      <c r="H89" s="3" t="inlineStr">
        <is>
          <t>Evidence links and revision are traceable; the absent Shopify admin export remains separated as a limitation.</t>
        </is>
      </c>
      <c r="I89" s="3" t="inlineStr">
        <is>
          <t>evidence_batch_010_098; source_snapshot; live_source_comparison; customizer_audit; serp_evidence</t>
        </is>
      </c>
      <c r="J89" s="3" t="inlineStr">
        <is>
          <t>ISSUE-0008</t>
        </is>
      </c>
    </row>
    <row r="90" ht="42" customHeight="1">
      <c r="A90" s="2" t="inlineStr">
        <is>
          <t>jeminise.com+custom-purple-floral-christian-cross-blanket-machine-washable-d2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IF(B90="I1",AVERAGEIF('QA_Images'!$A$2:$A$74,A90,'QA_Images'!$R$2:$R$74)/100,IF(D90="FULL",1,IF(D90="PARTIAL",0.5,IF(D90="FAIL",0,""))))</f>
        <v/>
      </c>
      <c r="F90" s="5">
        <f>IF(E90="",0,C90*E90)</f>
        <v/>
      </c>
      <c r="G90" s="5">
        <f>IF(B90="I1",20*AVERAGEIF('QA_Images'!$A$2:$A$74,A90,'QA_Images'!$S$2:$S$74)/100,IF(D90="NOT_CHECKED",0,C90))</f>
        <v/>
      </c>
      <c r="H90" s="2" t="inlineStr">
        <is>
          <t>Product key, handle, ID, URL and canonical match the frozen r3 workbook and retained live comparison.</t>
        </is>
      </c>
      <c r="I90" s="2" t="inlineStr">
        <is>
          <t>evidence_batch_010_099; source_snapshot; live_source_comparison; customizer_audit; serp_evidence</t>
        </is>
      </c>
      <c r="J90" s="2" t="inlineStr">
        <is>
          <t>ISSUE-0009</t>
        </is>
      </c>
    </row>
    <row r="91" ht="42" customHeight="1">
      <c r="A91" s="3" t="inlineStr">
        <is>
          <t>jeminise.com+custom-purple-floral-christian-cross-blanket-machine-washable-d2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IF(B91="I1",AVERAGEIF('QA_Images'!$A$2:$A$74,A91,'QA_Images'!$R$2:$R$74)/100,IF(D91="FULL",1,IF(D91="PARTIAL",0.5,IF(D91="FAIL",0,""))))</f>
        <v/>
      </c>
      <c r="F91" s="7">
        <f>IF(E91="",0,C91*E91)</f>
        <v/>
      </c>
      <c r="G91" s="7">
        <f>IF(B91="I1",20*AVERAGEIF('QA_Images'!$A$2:$A$74,A91,'QA_Images'!$S$2:$S$74)/100,IF(D91="NOT_CHECKED",0,C91))</f>
        <v/>
      </c>
      <c r="H91" s="3" t="inlineStr">
        <is>
          <t>Visible design facts are supported by direct gallery assets; static customizer configuration is present. Admin fulfillment mapping was not supplied.</t>
        </is>
      </c>
      <c r="I91" s="3" t="inlineStr">
        <is>
          <t>evidence_batch_010_099; source_snapshot; live_source_comparison; customizer_audit; serp_evidence</t>
        </is>
      </c>
      <c r="J91" s="3" t="inlineStr">
        <is>
          <t>ISSUE-0009</t>
        </is>
      </c>
    </row>
    <row r="92" ht="42" customHeight="1">
      <c r="A92" s="2" t="inlineStr">
        <is>
          <t>jeminise.com+custom-purple-floral-christian-cross-blanket-machine-washable-d2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IF(B92="I1",AVERAGEIF('QA_Images'!$A$2:$A$74,A92,'QA_Images'!$R$2:$R$74)/100,IF(D92="FULL",1,IF(D92="PARTIAL",0.5,IF(D92="FAIL",0,""))))</f>
        <v/>
      </c>
      <c r="F92" s="5">
        <f>IF(E92="",0,C92*E92)</f>
        <v/>
      </c>
      <c r="G92" s="5">
        <f>IF(B92="I1",20*AVERAGEIF('QA_Images'!$A$2:$A$74,A92,'QA_Images'!$S$2:$S$74)/100,IF(D92="NOT_CHECKED",0,C92))</f>
        <v/>
      </c>
      <c r="H92" s="2" t="inlineStr">
        <is>
          <t>Product-specific long-tail is relevant, but demand support is only public SERP evidence.</t>
        </is>
      </c>
      <c r="I92" s="2" t="inlineStr">
        <is>
          <t>evidence_batch_010_099; source_snapshot; live_source_comparison; customizer_audit; serp_evidence</t>
        </is>
      </c>
      <c r="J92" s="2" t="inlineStr">
        <is>
          <t>ISSUE-0009</t>
        </is>
      </c>
    </row>
    <row r="93" ht="42" customHeight="1">
      <c r="A93" s="3" t="inlineStr">
        <is>
          <t>jeminise.com+custom-purple-floral-christian-cross-blanket-machine-washable-d2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IF(B93="I1",AVERAGEIF('QA_Images'!$A$2:$A$74,A93,'QA_Images'!$R$2:$R$74)/100,IF(D93="FULL",1,IF(D93="PARTIAL",0.5,IF(D93="FAIL",0,""))))</f>
        <v/>
      </c>
      <c r="F93" s="7">
        <f>IF(E93="",0,C93*E93)</f>
        <v/>
      </c>
      <c r="G93" s="7">
        <f>IF(B93="I1",20*AVERAGEIF('QA_Images'!$A$2:$A$74,A93,'QA_Images'!$S$2:$S$74)/100,IF(D93="NOT_CHECKED",0,C93))</f>
        <v/>
      </c>
      <c r="H93" s="3" t="inlineStr">
        <is>
          <t>Primary queries distinguish motif/color and product type within the batch cluster.</t>
        </is>
      </c>
      <c r="I93" s="3" t="inlineStr">
        <is>
          <t>evidence_batch_010_099; source_snapshot; live_source_comparison; customizer_audit; serp_evidence</t>
        </is>
      </c>
      <c r="J93" s="3" t="inlineStr">
        <is>
          <t>ISSUE-0009</t>
        </is>
      </c>
    </row>
    <row r="94" ht="42" customHeight="1">
      <c r="A94" s="2" t="inlineStr">
        <is>
          <t>jeminise.com+custom-purple-floral-christian-cross-blanket-machine-washable-d2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IF(B94="I1",AVERAGEIF('QA_Images'!$A$2:$A$74,A94,'QA_Images'!$R$2:$R$74)/100,IF(D94="FULL",1,IF(D94="PARTIAL",0.5,IF(D94="FAIL",0,""))))</f>
        <v/>
      </c>
      <c r="F94" s="5">
        <f>IF(E94="",0,C94*E94)</f>
        <v/>
      </c>
      <c r="G94" s="5">
        <f>IF(B94="I1",20*AVERAGEIF('QA_Images'!$A$2:$A$74,A94,'QA_Images'!$S$2:$S$74)/100,IF(D94="NOT_CHECKED",0,C94))</f>
        <v/>
      </c>
      <c r="H94" s="2" t="inlineStr">
        <is>
          <t>SERP_ONLY is honestly labelled; no volume, ranking or demand magnitude claim is used.</t>
        </is>
      </c>
      <c r="I94" s="2" t="inlineStr">
        <is>
          <t>evidence_batch_010_099; source_snapshot; live_source_comparison; customizer_audit; serp_evidence</t>
        </is>
      </c>
      <c r="J94" s="2" t="inlineStr">
        <is>
          <t>ISSUE-0009</t>
        </is>
      </c>
    </row>
    <row r="95" ht="42" customHeight="1">
      <c r="A95" s="3" t="inlineStr">
        <is>
          <t>jeminise.com+custom-purple-floral-christian-cross-blanket-machine-washable-d2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IF(B95="I1",AVERAGEIF('QA_Images'!$A$2:$A$74,A95,'QA_Images'!$R$2:$R$74)/100,IF(D95="FULL",1,IF(D95="PARTIAL",0.5,IF(D95="FAIL",0,""))))</f>
        <v/>
      </c>
      <c r="F95" s="7">
        <f>IF(E95="",0,C95*E95)</f>
        <v/>
      </c>
      <c r="G95" s="7">
        <f>IF(B95="I1",20*AVERAGEIF('QA_Images'!$A$2:$A$74,A95,'QA_Images'!$S$2:$S$74)/100,IF(D95="NOT_CHECKED",0,C95))</f>
        <v/>
      </c>
      <c r="H95" s="3" t="inlineStr">
        <is>
          <t>SEO title is concise English and matches the visible design/product type.</t>
        </is>
      </c>
      <c r="I95" s="3" t="inlineStr">
        <is>
          <t>evidence_batch_010_099; source_snapshot; live_source_comparison; customizer_audit; serp_evidence</t>
        </is>
      </c>
      <c r="J95" s="3" t="inlineStr">
        <is>
          <t>ISSUE-0009</t>
        </is>
      </c>
    </row>
    <row r="96" ht="42" customHeight="1">
      <c r="A96" s="2" t="inlineStr">
        <is>
          <t>jeminise.com+custom-purple-floral-christian-cross-blanket-machine-washable-d2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IF(B96="I1",AVERAGEIF('QA_Images'!$A$2:$A$74,A96,'QA_Images'!$R$2:$R$74)/100,IF(D96="FULL",1,IF(D96="PARTIAL",0.5,IF(D96="FAIL",0,""))))</f>
        <v/>
      </c>
      <c r="F96" s="5">
        <f>IF(E96="",0,C96*E96)</f>
        <v/>
      </c>
      <c r="G96" s="5">
        <f>IF(B96="I1",20*AVERAGEIF('QA_Images'!$A$2:$A$74,A96,'QA_Images'!$S$2:$S$74)/100,IF(D96="NOT_CHECKED",0,C96))</f>
        <v/>
      </c>
      <c r="H96" s="2" t="inlineStr">
        <is>
          <t>Proposed product title is a natural, product-specific H1 candidate.</t>
        </is>
      </c>
      <c r="I96" s="2" t="inlineStr">
        <is>
          <t>evidence_batch_010_099; source_snapshot; live_source_comparison; customizer_audit; serp_evidence</t>
        </is>
      </c>
      <c r="J96" s="2" t="inlineStr">
        <is>
          <t>ISSUE-0009</t>
        </is>
      </c>
    </row>
    <row r="97" ht="42" customHeight="1">
      <c r="A97" s="3" t="inlineStr">
        <is>
          <t>jeminise.com+custom-purple-floral-christian-cross-blanket-machine-washable-d2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IF(B97="I1",AVERAGEIF('QA_Images'!$A$2:$A$74,A97,'QA_Images'!$R$2:$R$74)/100,IF(D97="FULL",1,IF(D97="PARTIAL",0.5,IF(D97="FAIL",0,""))))</f>
        <v/>
      </c>
      <c r="F97" s="7">
        <f>IF(E97="",0,C97*E97)</f>
        <v/>
      </c>
      <c r="G97" s="7">
        <f>IF(B97="I1",20*AVERAGEIF('QA_Images'!$A$2:$A$74,A97,'QA_Images'!$S$2:$S$74)/100,IF(D97="NOT_CHECKED",0,C97))</f>
        <v/>
      </c>
      <c r="H97" s="3" t="inlineStr">
        <is>
          <t>SET HTML is customer-facing and contains no draft, import or QA workflow language.</t>
        </is>
      </c>
      <c r="I97" s="3" t="inlineStr">
        <is>
          <t>evidence_batch_010_099; source_snapshot; live_source_comparison; customizer_audit; serp_evidence</t>
        </is>
      </c>
      <c r="J97" s="3" t="inlineStr">
        <is>
          <t>ISSUE-0009</t>
        </is>
      </c>
    </row>
    <row r="98" ht="42" customHeight="1">
      <c r="A98" s="2" t="inlineStr">
        <is>
          <t>jeminise.com+custom-purple-floral-christian-cross-blanket-machine-washable-d2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IF(B98="I1",AVERAGEIF('QA_Images'!$A$2:$A$74,A98,'QA_Images'!$R$2:$R$74)/100,IF(D98="FULL",1,IF(D98="PARTIAL",0.5,IF(D98="FAIL",0,""))))</f>
        <v/>
      </c>
      <c r="F98" s="5">
        <f>IF(E98="",0,C98*E98)</f>
        <v/>
      </c>
      <c r="G98" s="5">
        <f>IF(B98="I1",20*AVERAGEIF('QA_Images'!$A$2:$A$74,A98,'QA_Images'!$S$2:$S$74)/100,IF(D98="NOT_CHECKED",0,C98))</f>
        <v/>
      </c>
      <c r="H98" s="2" t="inlineStr">
        <is>
          <t>HTML accurately states the motif and gallery-supported components, but repeats generic positioning language instead of adding buyer-use detail.</t>
        </is>
      </c>
      <c r="I98" s="2" t="inlineStr">
        <is>
          <t>evidence_batch_010_099; source_snapshot; live_source_comparison; customizer_audit; serp_evidence</t>
        </is>
      </c>
      <c r="J98" s="2" t="inlineStr">
        <is>
          <t>ISSUE-0009</t>
        </is>
      </c>
    </row>
    <row r="99" ht="42" customHeight="1">
      <c r="A99" s="3" t="inlineStr">
        <is>
          <t>jeminise.com+custom-purple-floral-christian-cross-blanket-machine-washable-d2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IF(B99="I1",AVERAGEIF('QA_Images'!$A$2:$A$74,A99,'QA_Images'!$R$2:$R$74)/100,IF(D99="FULL",1,IF(D99="PARTIAL",0.5,IF(D99="FAIL",0,""))))</f>
        <v/>
      </c>
      <c r="F99" s="7">
        <f>IF(E99="",0,C99*E99)</f>
        <v/>
      </c>
      <c r="G99" s="7">
        <f>IF(B99="I1",20*AVERAGEIF('QA_Images'!$A$2:$A$74,A99,'QA_Images'!$S$2:$S$74)/100,IF(D99="NOT_CHECKED",0,C99))</f>
        <v/>
      </c>
      <c r="H99" s="3" t="inlineStr">
        <is>
          <t>Derived from all QA_Images rows for this product.</t>
        </is>
      </c>
      <c r="I99" s="3" t="inlineStr">
        <is>
          <t>evidence_batch_010_099; source_snapshot; live_source_comparison; customizer_audit; serp_evidence</t>
        </is>
      </c>
      <c r="J99" s="3" t="inlineStr">
        <is>
          <t>ISSUE-0009</t>
        </is>
      </c>
    </row>
    <row r="100" ht="42" customHeight="1">
      <c r="A100" s="2" t="inlineStr">
        <is>
          <t>jeminise.com+custom-purple-floral-christian-cross-blanket-machine-washable-d2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5">
        <f>IF(B100="I1",AVERAGEIF('QA_Images'!$A$2:$A$74,A100,'QA_Images'!$R$2:$R$74)/100,IF(D100="FULL",1,IF(D100="PARTIAL",0.5,IF(D100="FAIL",0,""))))</f>
        <v/>
      </c>
      <c r="F100" s="5">
        <f>IF(E100="",0,C100*E100)</f>
        <v/>
      </c>
      <c r="G100" s="5">
        <f>IF(B100="I1",20*AVERAGEIF('QA_Images'!$A$2:$A$74,A100,'QA_Images'!$S$2:$S$74)/100,IF(D100="NOT_CHECKED",0,C100))</f>
        <v/>
      </c>
      <c r="H100" s="2" t="inlineStr">
        <is>
          <t>Evidence links and revision are traceable; the absent Shopify admin export remains separated as a limitation.</t>
        </is>
      </c>
      <c r="I100" s="2" t="inlineStr">
        <is>
          <t>evidence_batch_010_099; source_snapshot; live_source_comparison; customizer_audit; serp_evidence</t>
        </is>
      </c>
      <c r="J100" s="2" t="inlineStr">
        <is>
          <t>ISSUE-0009</t>
        </is>
      </c>
    </row>
    <row r="101" ht="42" customHeight="1">
      <c r="A101" s="3" t="inlineStr">
        <is>
          <t>jeminise.com+custom-purple-floral-cross-with-butterflies-blanket-machi-design-14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IF(B101="I1",AVERAGEIF('QA_Images'!$A$2:$A$74,A101,'QA_Images'!$R$2:$R$74)/100,IF(D101="FULL",1,IF(D101="PARTIAL",0.5,IF(D101="FAIL",0,""))))</f>
        <v/>
      </c>
      <c r="F101" s="7">
        <f>IF(E101="",0,C101*E101)</f>
        <v/>
      </c>
      <c r="G101" s="7">
        <f>IF(B101="I1",20*AVERAGEIF('QA_Images'!$A$2:$A$74,A101,'QA_Images'!$S$2:$S$74)/100,IF(D101="NOT_CHECKED",0,C101))</f>
        <v/>
      </c>
      <c r="H101" s="3" t="inlineStr">
        <is>
          <t>Product key, handle, ID, URL and canonical match the frozen r3 workbook and retained live comparison.</t>
        </is>
      </c>
      <c r="I101" s="3" t="inlineStr">
        <is>
          <t>evidence_batch_010_100; source_snapshot; live_source_comparison; customizer_audit; serp_evidence</t>
        </is>
      </c>
      <c r="J101" s="3" t="inlineStr">
        <is>
          <t>ISSUE-0010</t>
        </is>
      </c>
    </row>
    <row r="102" ht="42" customHeight="1">
      <c r="A102" s="2" t="inlineStr">
        <is>
          <t>jeminise.com+custom-purple-floral-cross-with-butterflies-blanket-machi-design-14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IF(B102="I1",AVERAGEIF('QA_Images'!$A$2:$A$74,A102,'QA_Images'!$R$2:$R$74)/100,IF(D102="FULL",1,IF(D102="PARTIAL",0.5,IF(D102="FAIL",0,""))))</f>
        <v/>
      </c>
      <c r="F102" s="5">
        <f>IF(E102="",0,C102*E102)</f>
        <v/>
      </c>
      <c r="G102" s="5">
        <f>IF(B102="I1",20*AVERAGEIF('QA_Images'!$A$2:$A$74,A102,'QA_Images'!$S$2:$S$74)/100,IF(D102="NOT_CHECKED",0,C102))</f>
        <v/>
      </c>
      <c r="H102" s="2" t="inlineStr">
        <is>
          <t>Visible design facts are supported by direct gallery assets; static customizer configuration is present. Admin fulfillment mapping was not supplied.</t>
        </is>
      </c>
      <c r="I102" s="2" t="inlineStr">
        <is>
          <t>evidence_batch_010_100; source_snapshot; live_source_comparison; customizer_audit; serp_evidence</t>
        </is>
      </c>
      <c r="J102" s="2" t="inlineStr">
        <is>
          <t>ISSUE-0010</t>
        </is>
      </c>
    </row>
    <row r="103" ht="42" customHeight="1">
      <c r="A103" s="3" t="inlineStr">
        <is>
          <t>jeminise.com+custom-purple-floral-cross-with-butterflies-blanket-machi-design-14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IF(B103="I1",AVERAGEIF('QA_Images'!$A$2:$A$74,A103,'QA_Images'!$R$2:$R$74)/100,IF(D103="FULL",1,IF(D103="PARTIAL",0.5,IF(D103="FAIL",0,""))))</f>
        <v/>
      </c>
      <c r="F103" s="7">
        <f>IF(E103="",0,C103*E103)</f>
        <v/>
      </c>
      <c r="G103" s="7">
        <f>IF(B103="I1",20*AVERAGEIF('QA_Images'!$A$2:$A$74,A103,'QA_Images'!$S$2:$S$74)/100,IF(D103="NOT_CHECKED",0,C103))</f>
        <v/>
      </c>
      <c r="H103" s="3" t="inlineStr">
        <is>
          <t>Product-specific long-tail is relevant, but demand support is only public SERP evidence.</t>
        </is>
      </c>
      <c r="I103" s="3" t="inlineStr">
        <is>
          <t>evidence_batch_010_100; source_snapshot; live_source_comparison; customizer_audit; serp_evidence</t>
        </is>
      </c>
      <c r="J103" s="3" t="inlineStr">
        <is>
          <t>ISSUE-0010</t>
        </is>
      </c>
    </row>
    <row r="104" ht="42" customHeight="1">
      <c r="A104" s="2" t="inlineStr">
        <is>
          <t>jeminise.com+custom-purple-floral-cross-with-butterflies-blanket-machi-design-14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IF(B104="I1",AVERAGEIF('QA_Images'!$A$2:$A$74,A104,'QA_Images'!$R$2:$R$74)/100,IF(D104="FULL",1,IF(D104="PARTIAL",0.5,IF(D104="FAIL",0,""))))</f>
        <v/>
      </c>
      <c r="F104" s="5">
        <f>IF(E104="",0,C104*E104)</f>
        <v/>
      </c>
      <c r="G104" s="5">
        <f>IF(B104="I1",20*AVERAGEIF('QA_Images'!$A$2:$A$74,A104,'QA_Images'!$S$2:$S$74)/100,IF(D104="NOT_CHECKED",0,C104))</f>
        <v/>
      </c>
      <c r="H104" s="2" t="inlineStr">
        <is>
          <t>Primary queries distinguish motif/color and product type within the batch cluster.</t>
        </is>
      </c>
      <c r="I104" s="2" t="inlineStr">
        <is>
          <t>evidence_batch_010_100; source_snapshot; live_source_comparison; customizer_audit; serp_evidence</t>
        </is>
      </c>
      <c r="J104" s="2" t="inlineStr">
        <is>
          <t>ISSUE-0010</t>
        </is>
      </c>
    </row>
    <row r="105" ht="42" customHeight="1">
      <c r="A105" s="3" t="inlineStr">
        <is>
          <t>jeminise.com+custom-purple-floral-cross-with-butterflies-blanket-machi-design-14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IF(B105="I1",AVERAGEIF('QA_Images'!$A$2:$A$74,A105,'QA_Images'!$R$2:$R$74)/100,IF(D105="FULL",1,IF(D105="PARTIAL",0.5,IF(D105="FAIL",0,""))))</f>
        <v/>
      </c>
      <c r="F105" s="7">
        <f>IF(E105="",0,C105*E105)</f>
        <v/>
      </c>
      <c r="G105" s="7">
        <f>IF(B105="I1",20*AVERAGEIF('QA_Images'!$A$2:$A$74,A105,'QA_Images'!$S$2:$S$74)/100,IF(D105="NOT_CHECKED",0,C105))</f>
        <v/>
      </c>
      <c r="H105" s="3" t="inlineStr">
        <is>
          <t>SERP_ONLY is honestly labelled; no volume, ranking or demand magnitude claim is used.</t>
        </is>
      </c>
      <c r="I105" s="3" t="inlineStr">
        <is>
          <t>evidence_batch_010_100; source_snapshot; live_source_comparison; customizer_audit; serp_evidence</t>
        </is>
      </c>
      <c r="J105" s="3" t="inlineStr">
        <is>
          <t>ISSUE-0010</t>
        </is>
      </c>
    </row>
    <row r="106" ht="42" customHeight="1">
      <c r="A106" s="2" t="inlineStr">
        <is>
          <t>jeminise.com+custom-purple-floral-cross-with-butterflies-blanket-machi-design-14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IF(B106="I1",AVERAGEIF('QA_Images'!$A$2:$A$74,A106,'QA_Images'!$R$2:$R$74)/100,IF(D106="FULL",1,IF(D106="PARTIAL",0.5,IF(D106="FAIL",0,""))))</f>
        <v/>
      </c>
      <c r="F106" s="5">
        <f>IF(E106="",0,C106*E106)</f>
        <v/>
      </c>
      <c r="G106" s="5">
        <f>IF(B106="I1",20*AVERAGEIF('QA_Images'!$A$2:$A$74,A106,'QA_Images'!$S$2:$S$74)/100,IF(D106="NOT_CHECKED",0,C106))</f>
        <v/>
      </c>
      <c r="H106" s="2" t="inlineStr">
        <is>
          <t>SEO title is concise English and matches the visible design/product type.</t>
        </is>
      </c>
      <c r="I106" s="2" t="inlineStr">
        <is>
          <t>evidence_batch_010_100; source_snapshot; live_source_comparison; customizer_audit; serp_evidence</t>
        </is>
      </c>
      <c r="J106" s="2" t="inlineStr">
        <is>
          <t>ISSUE-0010</t>
        </is>
      </c>
    </row>
    <row r="107" ht="42" customHeight="1">
      <c r="A107" s="3" t="inlineStr">
        <is>
          <t>jeminise.com+custom-purple-floral-cross-with-butterflies-blanket-machi-design-14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IF(B107="I1",AVERAGEIF('QA_Images'!$A$2:$A$74,A107,'QA_Images'!$R$2:$R$74)/100,IF(D107="FULL",1,IF(D107="PARTIAL",0.5,IF(D107="FAIL",0,""))))</f>
        <v/>
      </c>
      <c r="F107" s="7">
        <f>IF(E107="",0,C107*E107)</f>
        <v/>
      </c>
      <c r="G107" s="7">
        <f>IF(B107="I1",20*AVERAGEIF('QA_Images'!$A$2:$A$74,A107,'QA_Images'!$S$2:$S$74)/100,IF(D107="NOT_CHECKED",0,C107))</f>
        <v/>
      </c>
      <c r="H107" s="3" t="inlineStr">
        <is>
          <t>Proposed product title is a natural, product-specific H1 candidate.</t>
        </is>
      </c>
      <c r="I107" s="3" t="inlineStr">
        <is>
          <t>evidence_batch_010_100; source_snapshot; live_source_comparison; customizer_audit; serp_evidence</t>
        </is>
      </c>
      <c r="J107" s="3" t="inlineStr">
        <is>
          <t>ISSUE-0010</t>
        </is>
      </c>
    </row>
    <row r="108" ht="42" customHeight="1">
      <c r="A108" s="2" t="inlineStr">
        <is>
          <t>jeminise.com+custom-purple-floral-cross-with-butterflies-blanket-machi-design-14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IF(B108="I1",AVERAGEIF('QA_Images'!$A$2:$A$74,A108,'QA_Images'!$R$2:$R$74)/100,IF(D108="FULL",1,IF(D108="PARTIAL",0.5,IF(D108="FAIL",0,""))))</f>
        <v/>
      </c>
      <c r="F108" s="5">
        <f>IF(E108="",0,C108*E108)</f>
        <v/>
      </c>
      <c r="G108" s="5">
        <f>IF(B108="I1",20*AVERAGEIF('QA_Images'!$A$2:$A$74,A108,'QA_Images'!$S$2:$S$74)/100,IF(D108="NOT_CHECKED",0,C108))</f>
        <v/>
      </c>
      <c r="H108" s="2" t="inlineStr">
        <is>
          <t>SET HTML is customer-facing and contains no draft, import or QA workflow language.</t>
        </is>
      </c>
      <c r="I108" s="2" t="inlineStr">
        <is>
          <t>evidence_batch_010_100; source_snapshot; live_source_comparison; customizer_audit; serp_evidence</t>
        </is>
      </c>
      <c r="J108" s="2" t="inlineStr">
        <is>
          <t>ISSUE-0010</t>
        </is>
      </c>
    </row>
    <row r="109" ht="42" customHeight="1">
      <c r="A109" s="3" t="inlineStr">
        <is>
          <t>jeminise.com+custom-purple-floral-cross-with-butterflies-blanket-machi-design-14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IF(B109="I1",AVERAGEIF('QA_Images'!$A$2:$A$74,A109,'QA_Images'!$R$2:$R$74)/100,IF(D109="FULL",1,IF(D109="PARTIAL",0.5,IF(D109="FAIL",0,""))))</f>
        <v/>
      </c>
      <c r="F109" s="7">
        <f>IF(E109="",0,C109*E109)</f>
        <v/>
      </c>
      <c r="G109" s="7">
        <f>IF(B109="I1",20*AVERAGEIF('QA_Images'!$A$2:$A$74,A109,'QA_Images'!$S$2:$S$74)/100,IF(D109="NOT_CHECKED",0,C109))</f>
        <v/>
      </c>
      <c r="H109" s="3" t="inlineStr">
        <is>
          <t>HTML accurately states the motif and gallery-supported components, but repeats generic positioning language instead of adding buyer-use detail.</t>
        </is>
      </c>
      <c r="I109" s="3" t="inlineStr">
        <is>
          <t>evidence_batch_010_100; source_snapshot; live_source_comparison; customizer_audit; serp_evidence</t>
        </is>
      </c>
      <c r="J109" s="3" t="inlineStr">
        <is>
          <t>ISSUE-0010</t>
        </is>
      </c>
    </row>
    <row r="110" ht="42" customHeight="1">
      <c r="A110" s="2" t="inlineStr">
        <is>
          <t>jeminise.com+custom-purple-floral-cross-with-butterflies-blanket-machi-design-14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IF(B110="I1",AVERAGEIF('QA_Images'!$A$2:$A$74,A110,'QA_Images'!$R$2:$R$74)/100,IF(D110="FULL",1,IF(D110="PARTIAL",0.5,IF(D110="FAIL",0,""))))</f>
        <v/>
      </c>
      <c r="F110" s="5">
        <f>IF(E110="",0,C110*E110)</f>
        <v/>
      </c>
      <c r="G110" s="5">
        <f>IF(B110="I1",20*AVERAGEIF('QA_Images'!$A$2:$A$74,A110,'QA_Images'!$S$2:$S$74)/100,IF(D110="NOT_CHECKED",0,C110))</f>
        <v/>
      </c>
      <c r="H110" s="2" t="inlineStr">
        <is>
          <t>Derived from all QA_Images rows for this product.</t>
        </is>
      </c>
      <c r="I110" s="2" t="inlineStr">
        <is>
          <t>evidence_batch_010_100; source_snapshot; live_source_comparison; customizer_audit; serp_evidence</t>
        </is>
      </c>
      <c r="J110" s="2" t="inlineStr">
        <is>
          <t>ISSUE-0010</t>
        </is>
      </c>
    </row>
    <row r="111" ht="42" customHeight="1">
      <c r="A111" s="3" t="inlineStr">
        <is>
          <t>jeminise.com+custom-purple-floral-cross-with-butterflies-blanket-machi-design-14</t>
        </is>
      </c>
      <c r="B111" s="3" t="inlineStr">
        <is>
          <t>E1</t>
        </is>
      </c>
      <c r="C111" s="3" t="n">
        <v>5</v>
      </c>
      <c r="D111" s="3" t="inlineStr">
        <is>
          <t>PARTIAL</t>
        </is>
      </c>
      <c r="E111" s="7">
        <f>IF(B111="I1",AVERAGEIF('QA_Images'!$A$2:$A$74,A111,'QA_Images'!$R$2:$R$74)/100,IF(D111="FULL",1,IF(D111="PARTIAL",0.5,IF(D111="FAIL",0,""))))</f>
        <v/>
      </c>
      <c r="F111" s="7">
        <f>IF(E111="",0,C111*E111)</f>
        <v/>
      </c>
      <c r="G111" s="7">
        <f>IF(B111="I1",20*AVERAGEIF('QA_Images'!$A$2:$A$74,A111,'QA_Images'!$S$2:$S$74)/100,IF(D111="NOT_CHECKED",0,C111))</f>
        <v/>
      </c>
      <c r="H111" s="3" t="inlineStr">
        <is>
          <t>Evidence links and revision are traceable; the absent Shopify admin export remains separated as a limitation.</t>
        </is>
      </c>
      <c r="I111" s="3" t="inlineStr">
        <is>
          <t>evidence_batch_010_100; source_snapshot; live_source_comparison; customizer_audit; serp_evidence</t>
        </is>
      </c>
      <c r="J111" s="3" t="inlineStr">
        <is>
          <t>ISSUE-0010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jeminise.com+custom-native-american-inspired-wolf-head-inside-circular-frame-comforter-d351b4bfe1-d351b4bfe1</t>
        </is>
      </c>
      <c r="B2" s="2" t="inlineStr">
        <is>
          <t>img_0d60842b1f857887</t>
        </is>
      </c>
      <c r="C2" s="4" t="inlineStr">
        <is>
          <t>https://cdn.shopify.com/s/files/1/0792/5098/1063/files/8db123d2a281d8d7b1e7601cf1c6b3ae13e69bdec5076345ef0a6c9cf3ffbbf8.jpg?v=1785181534</t>
        </is>
      </c>
      <c r="D2" s="4" t="inlineStr">
        <is>
          <t>https://cdn.shopify.com/s/files/1/0792/5098/1063/files/8db123d2a281d8d7b1e7601cf1c6b3ae13e69bdec5076345ef0a6c9cf3ffbbf8.jpg?v=1785181534</t>
        </is>
      </c>
      <c r="E2" s="2" t="inlineStr">
        <is>
          <t>47560113029319</t>
        </is>
      </c>
      <c r="F2" s="2" t="inlineStr"/>
      <c r="G2" s="2" t="inlineStr">
        <is>
          <t>GALLERY</t>
        </is>
      </c>
      <c r="H2" s="2" t="inlineStr">
        <is>
          <t>DIRECT_DOWNLOADED_GALLERY_ASSET_REVIEW</t>
        </is>
      </c>
      <c r="I2" s="2" t="inlineStr">
        <is>
          <t>2026-09-08T09:23:07+07:00</t>
        </is>
      </c>
      <c r="J2" s="2" t="inlineStr">
        <is>
          <t>Bedroom mockup of turquoise wolf quilt set with matching wolf shams and circular boho feather artwork.</t>
        </is>
      </c>
      <c r="K2" s="2" t="inlineStr">
        <is>
          <t>Bedroom mockup of turquoise wolf quilt set with matching wolf shams and circular boho feather artwork.</t>
        </is>
      </c>
      <c r="L2" s="2" t="inlineStr">
        <is>
          <t>SET</t>
        </is>
      </c>
      <c r="M2" s="2" t="inlineStr">
        <is>
          <t>Turquoise wolf quilt set with matching shams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/>
      <c r="X2" s="2" t="inlineStr">
        <is>
          <t>D:\Shopify_Workspace\jeminise_seo\seo_runs\jeminise.com\20260906_234129\qa\20260908_010000\images\091_01.jpg; seo_runs\jeminise.com\20260906_234129\evidence\images\91_custom-native-american-inspired-wolf-head-inside-circular-frame-comforter-d351b4bfe1-d351b4bfe1\image_01_47560113029319.jpg; seo_runs\jeminise.com\20260906_234129\evidence\contact_sheets\91_custom-native-american-inspired-wolf-head-inside-circular-frame-comforter-d351b4bfe1-d351b4bfe1.jpg</t>
        </is>
      </c>
    </row>
    <row r="3" ht="66" customHeight="1">
      <c r="A3" s="3" t="inlineStr">
        <is>
          <t>jeminise.com+custom-native-american-inspired-wolf-head-inside-circular-frame-comforter-d351b4bfe1-d351b4bfe1</t>
        </is>
      </c>
      <c r="B3" s="3" t="inlineStr">
        <is>
          <t>img_e65857430bf16db0</t>
        </is>
      </c>
      <c r="C3" s="4" t="inlineStr">
        <is>
          <t>https://cdn.shopify.com/s/files/1/0792/5098/1063/files/c27a2d398c2e1aa051b181395529e9a599c8696153ffecec91e3703884a1ef6c.jpg?v=1785181533</t>
        </is>
      </c>
      <c r="D3" s="4" t="inlineStr">
        <is>
          <t>https://cdn.shopify.com/s/files/1/0792/5098/1063/files/c27a2d398c2e1aa051b181395529e9a599c8696153ffecec91e3703884a1ef6c.jpg?v=1785181533</t>
        </is>
      </c>
      <c r="E3" s="3" t="inlineStr">
        <is>
          <t>47560113062087</t>
        </is>
      </c>
      <c r="F3" s="3" t="inlineStr"/>
      <c r="G3" s="3" t="inlineStr">
        <is>
          <t>GALLERY</t>
        </is>
      </c>
      <c r="H3" s="3" t="inlineStr">
        <is>
          <t>DIRECT_DOWNLOADED_GALLERY_ASSET_REVIEW</t>
        </is>
      </c>
      <c r="I3" s="3" t="inlineStr">
        <is>
          <t>2026-09-08T09:23:07+07:00</t>
        </is>
      </c>
      <c r="J3" s="3" t="inlineStr">
        <is>
          <t>Close-up of wolf face artwork with turquoise eyes, line shading and ornamental forehead detail.</t>
        </is>
      </c>
      <c r="K3" s="3" t="inlineStr">
        <is>
          <t>Close-up of wolf face artwork with turquoise eyes, line shading and ornamental forehead detail.</t>
        </is>
      </c>
      <c r="L3" s="3" t="inlineStr">
        <is>
          <t>SET</t>
        </is>
      </c>
      <c r="M3" s="3" t="inlineStr">
        <is>
          <t>Close-up of turquoise wolf face artwork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/>
      <c r="X3" s="3" t="inlineStr">
        <is>
          <t>D:\Shopify_Workspace\jeminise_seo\seo_runs\jeminise.com\20260906_234129\qa\20260908_010000\images\091_02.jpg; seo_runs\jeminise.com\20260906_234129\evidence\images\91_custom-native-american-inspired-wolf-head-inside-circular-frame-comforter-d351b4bfe1-d351b4bfe1\image_02_47560113062087.jpg; seo_runs\jeminise.com\20260906_234129\evidence\contact_sheets\91_custom-native-american-inspired-wolf-head-inside-circular-frame-comforter-d351b4bfe1-d351b4bfe1.jpg</t>
        </is>
      </c>
    </row>
    <row r="4" ht="66" customHeight="1">
      <c r="A4" s="2" t="inlineStr">
        <is>
          <t>jeminise.com+custom-native-american-inspired-wolf-head-inside-circular-frame-comforter-d351b4bfe1-d351b4bfe1</t>
        </is>
      </c>
      <c r="B4" s="2" t="inlineStr">
        <is>
          <t>img_b4519059d0704df5</t>
        </is>
      </c>
      <c r="C4" s="4" t="inlineStr">
        <is>
          <t>https://cdn.shopify.com/s/files/1/0792/5098/1063/files/69ad70a2dec3bc59d662ae6c1817f1a32b7fe5bc4c0456d3a1419927bbd23e1b.jpg?v=1785181533</t>
        </is>
      </c>
      <c r="D4" s="4" t="inlineStr">
        <is>
          <t>https://cdn.shopify.com/s/files/1/0792/5098/1063/files/69ad70a2dec3bc59d662ae6c1817f1a32b7fe5bc4c0456d3a1419927bbd23e1b.jpg?v=1785181533</t>
        </is>
      </c>
      <c r="E4" s="2" t="inlineStr">
        <is>
          <t>47560113094855</t>
        </is>
      </c>
      <c r="F4" s="2" t="inlineStr"/>
      <c r="G4" s="2" t="inlineStr">
        <is>
          <t>GALLERY</t>
        </is>
      </c>
      <c r="H4" s="2" t="inlineStr">
        <is>
          <t>DIRECT_DOWNLOADED_GALLERY_ASSET_REVIEW</t>
        </is>
      </c>
      <c r="I4" s="2" t="inlineStr">
        <is>
          <t>2026-09-08T09:23:07+07:00</t>
        </is>
      </c>
      <c r="J4" s="2" t="inlineStr">
        <is>
          <t>Single sham mockup showing the centered wolf head and turquoise circular border.</t>
        </is>
      </c>
      <c r="K4" s="2" t="inlineStr">
        <is>
          <t>Single sham mockup showing the centered wolf head and turquoise circular border.</t>
        </is>
      </c>
      <c r="L4" s="2" t="inlineStr">
        <is>
          <t>SET</t>
        </is>
      </c>
      <c r="M4" s="2" t="inlineStr">
        <is>
          <t>Wolf sham with turquoise circular artwork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/>
      <c r="X4" s="2" t="inlineStr">
        <is>
          <t>D:\Shopify_Workspace\jeminise_seo\seo_runs\jeminise.com\20260906_234129\qa\20260908_010000\images\091_03.jpg; seo_runs\jeminise.com\20260906_234129\evidence\images\91_custom-native-american-inspired-wolf-head-inside-circular-frame-comforter-d351b4bfe1-d351b4bfe1\image_03_47560113094855.jpg; seo_runs\jeminise.com\20260906_234129\evidence\contact_sheets\91_custom-native-american-inspired-wolf-head-inside-circular-frame-comforter-d351b4bfe1-d351b4bfe1.jpg</t>
        </is>
      </c>
    </row>
    <row r="5" ht="66" customHeight="1">
      <c r="A5" s="3" t="inlineStr">
        <is>
          <t>jeminise.com+custom-native-american-inspired-wolf-head-inside-circular-frame-comforter-d351b4bfe1-d351b4bfe1</t>
        </is>
      </c>
      <c r="B5" s="3" t="inlineStr">
        <is>
          <t>img_e6de69e3a586315e</t>
        </is>
      </c>
      <c r="C5" s="4" t="inlineStr">
        <is>
          <t>https://cdn.shopify.com/s/files/1/0792/5098/1063/files/0eb64820a0ab1dec4b852407512deca48c67bd46d1cbea26ed900d59cf9c44f6.jpg?v=1785181533</t>
        </is>
      </c>
      <c r="D5" s="4" t="inlineStr">
        <is>
          <t>https://cdn.shopify.com/s/files/1/0792/5098/1063/files/0eb64820a0ab1dec4b852407512deca48c67bd46d1cbea26ed900d59cf9c44f6.jpg?v=1785181533</t>
        </is>
      </c>
      <c r="E5" s="3" t="inlineStr">
        <is>
          <t>47560113127623</t>
        </is>
      </c>
      <c r="F5" s="3" t="inlineStr"/>
      <c r="G5" s="3" t="inlineStr">
        <is>
          <t>GALLERY</t>
        </is>
      </c>
      <c r="H5" s="3" t="inlineStr">
        <is>
          <t>DIRECT_DOWNLOADED_GALLERY_ASSET_REVIEW</t>
        </is>
      </c>
      <c r="I5" s="3" t="inlineStr">
        <is>
          <t>2026-09-08T09:23:07+07:00</t>
        </is>
      </c>
      <c r="J5" s="3" t="inlineStr">
        <is>
          <t>Bedroom lifestyle mockup of the wolf quilt on a bed with matching shams.</t>
        </is>
      </c>
      <c r="K5" s="3" t="inlineStr">
        <is>
          <t>Bedroom lifestyle mockup of the wolf quilt on a bed with matching shams.</t>
        </is>
      </c>
      <c r="L5" s="3" t="inlineStr">
        <is>
          <t>SET</t>
        </is>
      </c>
      <c r="M5" s="3" t="inlineStr">
        <is>
          <t>Wolf quilt bedding set in bedroom mockup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/>
      <c r="X5" s="3" t="inlineStr">
        <is>
          <t>D:\Shopify_Workspace\jeminise_seo\seo_runs\jeminise.com\20260906_234129\qa\20260908_010000\images\091_04.jpg; seo_runs\jeminise.com\20260906_234129\evidence\images\91_custom-native-american-inspired-wolf-head-inside-circular-frame-comforter-d351b4bfe1-d351b4bfe1\image_04_47560113127623.jpg; seo_runs\jeminise.com\20260906_234129\evidence\contact_sheets\91_custom-native-american-inspired-wolf-head-inside-circular-frame-comforter-d351b4bfe1-d351b4bfe1.jpg</t>
        </is>
      </c>
    </row>
    <row r="6" ht="66" customHeight="1">
      <c r="A6" s="2" t="inlineStr">
        <is>
          <t>jeminise.com+custom-native-american-inspired-wolf-head-inside-circular-frame-comforter-d351b4bfe1-d351b4bfe1</t>
        </is>
      </c>
      <c r="B6" s="2" t="inlineStr">
        <is>
          <t>img_79da0d8708f6fb0f</t>
        </is>
      </c>
      <c r="C6" s="4" t="inlineStr">
        <is>
          <t>https://cdn.shopify.com/s/files/1/0792/5098/1063/files/c13d84b220c25b7126dda603be0f2749e36e6bcbef1150c54dfba8143250cd9d.jpg?v=1785181534</t>
        </is>
      </c>
      <c r="D6" s="4" t="inlineStr">
        <is>
          <t>https://cdn.shopify.com/s/files/1/0792/5098/1063/files/c13d84b220c25b7126dda603be0f2749e36e6bcbef1150c54dfba8143250cd9d.jpg?v=1785181534</t>
        </is>
      </c>
      <c r="E6" s="2" t="inlineStr">
        <is>
          <t>47560113160391</t>
        </is>
      </c>
      <c r="F6" s="2" t="inlineStr"/>
      <c r="G6" s="2" t="inlineStr">
        <is>
          <t>GALLERY</t>
        </is>
      </c>
      <c r="H6" s="2" t="inlineStr">
        <is>
          <t>DIRECT_DOWNLOADED_GALLERY_ASSET_REVIEW</t>
        </is>
      </c>
      <c r="I6" s="2" t="inlineStr">
        <is>
          <t>2026-09-08T09:23:07+07:00</t>
        </is>
      </c>
      <c r="J6" s="2" t="inlineStr">
        <is>
          <t>Size panel listing one premium quilt and optional two standard shams.</t>
        </is>
      </c>
      <c r="K6" s="2" t="inlineStr">
        <is>
          <t>Size panel listing one premium quilt and optional two standard shams.</t>
        </is>
      </c>
      <c r="L6" s="2" t="inlineStr">
        <is>
          <t>SET</t>
        </is>
      </c>
      <c r="M6" s="2" t="inlineStr">
        <is>
          <t>Wolf quilt set size and optional sham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/>
      <c r="X6" s="2" t="inlineStr">
        <is>
          <t>D:\Shopify_Workspace\jeminise_seo\seo_runs\jeminise.com\20260906_234129\qa\20260908_010000\images\091_05.jpg; seo_runs\jeminise.com\20260906_234129\evidence\images\91_custom-native-american-inspired-wolf-head-inside-circular-frame-comforter-d351b4bfe1-d351b4bfe1\image_05_47560113160391.jpg; seo_runs\jeminise.com\20260906_234129\evidence\contact_sheets\91_custom-native-american-inspired-wolf-head-inside-circular-frame-comforter-d351b4bfe1-d351b4bfe1.jpg</t>
        </is>
      </c>
    </row>
    <row r="7" ht="66" customHeight="1">
      <c r="A7" s="3" t="inlineStr">
        <is>
          <t>jeminise.com+custom-neon-green-soccer-player-artwork-comforter-set-boys-room-decor</t>
        </is>
      </c>
      <c r="B7" s="3" t="inlineStr">
        <is>
          <t>img_19e16ab2f138fa4d</t>
        </is>
      </c>
      <c r="C7" s="4" t="inlineStr">
        <is>
          <t>https://cdn.shopify.com/s/files/1/0792/5098/1063/files/6b80b75d568cdee15c272e946d98348d480efd2a5cea1cacdb69246b74474091.jpg?v=1786611026</t>
        </is>
      </c>
      <c r="D7" s="4" t="inlineStr">
        <is>
          <t>https://cdn.shopify.com/s/files/1/0792/5098/1063/files/6b80b75d568cdee15c272e946d98348d480efd2a5cea1cacdb69246b74474091.jpg?v=1786611026</t>
        </is>
      </c>
      <c r="E7" s="3" t="inlineStr">
        <is>
          <t>47833436618951</t>
        </is>
      </c>
      <c r="F7" s="3" t="inlineStr"/>
      <c r="G7" s="3" t="inlineStr">
        <is>
          <t>GALLERY</t>
        </is>
      </c>
      <c r="H7" s="3" t="inlineStr">
        <is>
          <t>DIRECT_DOWNLOADED_GALLERY_ASSET_REVIEW</t>
        </is>
      </c>
      <c r="I7" s="3" t="inlineStr">
        <is>
          <t>2026-09-08T09:23:07+07:00</t>
        </is>
      </c>
      <c r="J7" s="3" t="inlineStr">
        <is>
          <t>Bed mockup of black comforter set with neon green soccer player, JACKSON text and 07 number.</t>
        </is>
      </c>
      <c r="K7" s="3" t="inlineStr">
        <is>
          <t>Bed mockup of black comforter set with neon green soccer player, JACKSON text and 07 number.</t>
        </is>
      </c>
      <c r="L7" s="3" t="inlineStr">
        <is>
          <t>SET</t>
        </is>
      </c>
      <c r="M7" s="3" t="inlineStr">
        <is>
          <t>Neon green soccer comforter with JACKSON 07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/>
      <c r="X7" s="3" t="inlineStr">
        <is>
          <t>D:\Shopify_Workspace\jeminise_seo\seo_runs\jeminise.com\20260906_234129\qa\20260908_010000\images\092_01.jpg; seo_runs\jeminise.com\20260906_234129\evidence\images\92_custom-neon-green-soccer-player-artwork-comforter-set-boys-room-decor\image_01_47833436618951.jpg; seo_runs\jeminise.com\20260906_234129\evidence\contact_sheets\92_custom-neon-green-soccer-player-artwork-comforter-set-boys-room-decor.jpg</t>
        </is>
      </c>
    </row>
    <row r="8" ht="66" customHeight="1">
      <c r="A8" s="2" t="inlineStr">
        <is>
          <t>jeminise.com+custom-neon-green-soccer-player-artwork-comforter-set-boys-room-decor</t>
        </is>
      </c>
      <c r="B8" s="2" t="inlineStr">
        <is>
          <t>img_79fe77fa13c592e6</t>
        </is>
      </c>
      <c r="C8" s="4" t="inlineStr">
        <is>
          <t>https://cdn.shopify.com/s/files/1/0792/5098/1063/files/2befb3162c5bae5e3dc16a2617a19876e1bad1732d46a3a0071872644aaa19c7.jpg?v=1786611026</t>
        </is>
      </c>
      <c r="D8" s="4" t="inlineStr">
        <is>
          <t>https://cdn.shopify.com/s/files/1/0792/5098/1063/files/2befb3162c5bae5e3dc16a2617a19876e1bad1732d46a3a0071872644aaa19c7.jpg?v=1786611026</t>
        </is>
      </c>
      <c r="E8" s="2" t="inlineStr">
        <is>
          <t>47833436651719</t>
        </is>
      </c>
      <c r="F8" s="2" t="inlineStr"/>
      <c r="G8" s="2" t="inlineStr">
        <is>
          <t>GALLERY</t>
        </is>
      </c>
      <c r="H8" s="2" t="inlineStr">
        <is>
          <t>DIRECT_DOWNLOADED_GALLERY_ASSET_REVIEW</t>
        </is>
      </c>
      <c r="I8" s="2" t="inlineStr">
        <is>
          <t>2026-09-08T09:23:07+07:00</t>
        </is>
      </c>
      <c r="J8" s="2" t="inlineStr">
        <is>
          <t>Feature panel showing neon soccer bedding details, microfiber label and 3D printed pattern callouts.</t>
        </is>
      </c>
      <c r="K8" s="2" t="inlineStr">
        <is>
          <t>Feature panel showing neon soccer bedding details, microfiber label and 3D printed pattern callouts.</t>
        </is>
      </c>
      <c r="L8" s="2" t="inlineStr">
        <is>
          <t>SET</t>
        </is>
      </c>
      <c r="M8" s="2" t="inlineStr">
        <is>
          <t>Neon soccer comforter microfiber feature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/>
      <c r="X8" s="2" t="inlineStr">
        <is>
          <t>D:\Shopify_Workspace\jeminise_seo\seo_runs\jeminise.com\20260906_234129\qa\20260908_010000\images\092_02.jpg; seo_runs\jeminise.com\20260906_234129\evidence\images\92_custom-neon-green-soccer-player-artwork-comforter-set-boys-room-decor\image_02_47833436651719.jpg; seo_runs\jeminise.com\20260906_234129\evidence\contact_sheets\92_custom-neon-green-soccer-player-artwork-comforter-set-boys-room-decor.jpg</t>
        </is>
      </c>
    </row>
    <row r="9" ht="66" customHeight="1">
      <c r="A9" s="3" t="inlineStr">
        <is>
          <t>jeminise.com+custom-neon-green-soccer-player-artwork-comforter-set-boys-room-decor</t>
        </is>
      </c>
      <c r="B9" s="3" t="inlineStr">
        <is>
          <t>img_735b141b508eaaed</t>
        </is>
      </c>
      <c r="C9" s="4" t="inlineStr">
        <is>
          <t>https://cdn.shopify.com/s/files/1/0792/5098/1063/files/0232459e1096cb7ad4227f2471e7d15ee79d1a53fbe22b7f14cb026581f911de.jpg?v=1786611026</t>
        </is>
      </c>
      <c r="D9" s="4" t="inlineStr">
        <is>
          <t>https://cdn.shopify.com/s/files/1/0792/5098/1063/files/0232459e1096cb7ad4227f2471e7d15ee79d1a53fbe22b7f14cb026581f911de.jpg?v=1786611026</t>
        </is>
      </c>
      <c r="E9" s="3" t="inlineStr">
        <is>
          <t>47833436684487</t>
        </is>
      </c>
      <c r="F9" s="3" t="inlineStr"/>
      <c r="G9" s="3" t="inlineStr">
        <is>
          <t>GALLERY</t>
        </is>
      </c>
      <c r="H9" s="3" t="inlineStr">
        <is>
          <t>DIRECT_DOWNLOADED_GALLERY_ASSET_REVIEW</t>
        </is>
      </c>
      <c r="I9" s="3" t="inlineStr">
        <is>
          <t>2026-09-08T09:23:07+07:00</t>
        </is>
      </c>
      <c r="J9" s="3" t="inlineStr">
        <is>
          <t>Comparison panel for duvet cover set and comforter set bedding types.</t>
        </is>
      </c>
      <c r="K9" s="3" t="inlineStr">
        <is>
          <t>Comparison panel for duvet cover set and comforter set bedding types.</t>
        </is>
      </c>
      <c r="L9" s="3" t="inlineStr">
        <is>
          <t>SET</t>
        </is>
      </c>
      <c r="M9" s="3" t="inlineStr">
        <is>
          <t>Duvet cover and comforter set comparison panel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/>
      <c r="X9" s="3" t="inlineStr">
        <is>
          <t>D:\Shopify_Workspace\jeminise_seo\seo_runs\jeminise.com\20260906_234129\qa\20260908_010000\images\092_03.jpg; seo_runs\jeminise.com\20260906_234129\evidence\images\92_custom-neon-green-soccer-player-artwork-comforter-set-boys-room-decor\image_03_47833436684487.jpg; seo_runs\jeminise.com\20260906_234129\evidence\contact_sheets\92_custom-neon-green-soccer-player-artwork-comforter-set-boys-room-decor.jpg</t>
        </is>
      </c>
    </row>
    <row r="10" ht="66" customHeight="1">
      <c r="A10" s="2" t="inlineStr">
        <is>
          <t>jeminise.com+custom-neon-green-soccer-player-artwork-comforter-set-boys-room-decor</t>
        </is>
      </c>
      <c r="B10" s="2" t="inlineStr">
        <is>
          <t>img_4753a11d96ba97b0</t>
        </is>
      </c>
      <c r="C10" s="4" t="inlineStr">
        <is>
          <t>https://cdn.shopify.com/s/files/1/0792/5098/1063/files/e2f6c4ddb7968db8e510d947c4cb858b220d2c492e6c23261ccc64e8f76911dd.jpg?v=1786611026</t>
        </is>
      </c>
      <c r="D10" s="4" t="inlineStr">
        <is>
          <t>https://cdn.shopify.com/s/files/1/0792/5098/1063/files/e2f6c4ddb7968db8e510d947c4cb858b220d2c492e6c23261ccc64e8f76911dd.jpg?v=1786611026</t>
        </is>
      </c>
      <c r="E10" s="2" t="inlineStr">
        <is>
          <t>47833436717255</t>
        </is>
      </c>
      <c r="F10" s="2" t="inlineStr"/>
      <c r="G10" s="2" t="inlineStr">
        <is>
          <t>GALLERY</t>
        </is>
      </c>
      <c r="H10" s="2" t="inlineStr">
        <is>
          <t>DIRECT_DOWNLOADED_GALLERY_ASSET_REVIEW</t>
        </is>
      </c>
      <c r="I10" s="2" t="inlineStr">
        <is>
          <t>2026-09-08T09:23:07+07:00</t>
        </is>
      </c>
      <c r="J10" s="2" t="inlineStr">
        <is>
          <t>Close-up corner showing neon soccer artwork folded back over white microfiber filling.</t>
        </is>
      </c>
      <c r="K10" s="2" t="inlineStr">
        <is>
          <t>Close-up corner showing neon soccer artwork folded back over white microfiber filling.</t>
        </is>
      </c>
      <c r="L10" s="2" t="inlineStr">
        <is>
          <t>SET</t>
        </is>
      </c>
      <c r="M10" s="2" t="inlineStr">
        <is>
          <t>Neon soccer bedding corner with microfiber filling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/>
      <c r="X10" s="2" t="inlineStr">
        <is>
          <t>D:\Shopify_Workspace\jeminise_seo\seo_runs\jeminise.com\20260906_234129\qa\20260908_010000\images\092_04.jpg; seo_runs\jeminise.com\20260906_234129\evidence\images\92_custom-neon-green-soccer-player-artwork-comforter-set-boys-room-decor\image_04_47833436717255.jpg; seo_runs\jeminise.com\20260906_234129\evidence\contact_sheets\92_custom-neon-green-soccer-player-artwork-comforter-set-boys-room-decor.jpg</t>
        </is>
      </c>
    </row>
    <row r="11" ht="66" customHeight="1">
      <c r="A11" s="3" t="inlineStr">
        <is>
          <t>jeminise.com+custom-neon-green-soccer-player-artwork-comforter-set-boys-room-decor</t>
        </is>
      </c>
      <c r="B11" s="3" t="inlineStr">
        <is>
          <t>img_c60f0efc7938ada5</t>
        </is>
      </c>
      <c r="C11" s="4" t="inlineStr">
        <is>
          <t>https://cdn.shopify.com/s/files/1/0792/5098/1063/files/3922620c2eba325e6caab3493d1452f28c86e34d2295169238a4a01b9be0fc21.jpg?v=1786611026</t>
        </is>
      </c>
      <c r="D11" s="4" t="inlineStr">
        <is>
          <t>https://cdn.shopify.com/s/files/1/0792/5098/1063/files/3922620c2eba325e6caab3493d1452f28c86e34d2295169238a4a01b9be0fc21.jpg?v=1786611026</t>
        </is>
      </c>
      <c r="E11" s="3" t="inlineStr">
        <is>
          <t>47833436750023</t>
        </is>
      </c>
      <c r="F11" s="3" t="inlineStr"/>
      <c r="G11" s="3" t="inlineStr">
        <is>
          <t>GALLERY</t>
        </is>
      </c>
      <c r="H11" s="3" t="inlineStr">
        <is>
          <t>DIRECT_DOWNLOADED_GALLERY_ASSET_REVIEW</t>
        </is>
      </c>
      <c r="I11" s="3" t="inlineStr">
        <is>
          <t>2026-09-08T09:23:07+07:00</t>
        </is>
      </c>
      <c r="J11" s="3" t="inlineStr">
        <is>
          <t>Bedroom mockup of neon soccer comforter with JACKSON lettering and matching 07 shams.</t>
        </is>
      </c>
      <c r="K11" s="3" t="inlineStr">
        <is>
          <t>Bedroom mockup of neon soccer comforter with JACKSON lettering and matching 07 shams.</t>
        </is>
      </c>
      <c r="L11" s="3" t="inlineStr">
        <is>
          <t>SET</t>
        </is>
      </c>
      <c r="M11" s="3" t="inlineStr">
        <is>
          <t>Neon soccer bedding set with matching shams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/>
      <c r="X11" s="3" t="inlineStr">
        <is>
          <t>D:\Shopify_Workspace\jeminise_seo\seo_runs\jeminise.com\20260906_234129\qa\20260908_010000\images\092_05.jpg; seo_runs\jeminise.com\20260906_234129\evidence\images\92_custom-neon-green-soccer-player-artwork-comforter-set-boys-room-decor\image_05_47833436750023.jpg; seo_runs\jeminise.com\20260906_234129\evidence\contact_sheets\92_custom-neon-green-soccer-player-artwork-comforter-set-boys-room-decor.jpg</t>
        </is>
      </c>
    </row>
    <row r="12" ht="66" customHeight="1">
      <c r="A12" s="2" t="inlineStr">
        <is>
          <t>jeminise.com+custom-neon-green-soccer-player-artwork-comforter-set-boys-room-decor</t>
        </is>
      </c>
      <c r="B12" s="2" t="inlineStr">
        <is>
          <t>img_f57ea0720d1ffcd9</t>
        </is>
      </c>
      <c r="C12" s="4" t="inlineStr">
        <is>
          <t>https://cdn.shopify.com/s/files/1/0792/5098/1063/files/1b992ece6d228aa4e2bf52484faac70e017778471a3ed951eae5f283d8da0d56.jpg?v=1786611026</t>
        </is>
      </c>
      <c r="D12" s="4" t="inlineStr">
        <is>
          <t>https://cdn.shopify.com/s/files/1/0792/5098/1063/files/1b992ece6d228aa4e2bf52484faac70e017778471a3ed951eae5f283d8da0d56.jpg?v=1786611026</t>
        </is>
      </c>
      <c r="E12" s="2" t="inlineStr">
        <is>
          <t>47833436782791</t>
        </is>
      </c>
      <c r="F12" s="2" t="inlineStr"/>
      <c r="G12" s="2" t="inlineStr">
        <is>
          <t>GALLERY</t>
        </is>
      </c>
      <c r="H12" s="2" t="inlineStr">
        <is>
          <t>DIRECT_DOWNLOADED_GALLERY_ASSET_REVIEW</t>
        </is>
      </c>
      <c r="I12" s="2" t="inlineStr">
        <is>
          <t>2026-09-08T09:23:07+07:00</t>
        </is>
      </c>
      <c r="J12" s="2" t="inlineStr">
        <is>
          <t>Low-angle bed mockup with neon soccer design and icons for soft, lightweight, durable and breathable.</t>
        </is>
      </c>
      <c r="K12" s="2" t="inlineStr">
        <is>
          <t>Low-angle bed mockup with neon soccer design and icons for soft, lightweight, durable and breathable.</t>
        </is>
      </c>
      <c r="L12" s="2" t="inlineStr">
        <is>
          <t>SET</t>
        </is>
      </c>
      <c r="M12" s="2" t="inlineStr">
        <is>
          <t>Neon soccer comforter with bedding feature icons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/>
      <c r="X12" s="2" t="inlineStr">
        <is>
          <t>D:\Shopify_Workspace\jeminise_seo\seo_runs\jeminise.com\20260906_234129\qa\20260908_010000\images\092_06.jpg; seo_runs\jeminise.com\20260906_234129\evidence\images\92_custom-neon-green-soccer-player-artwork-comforter-set-boys-room-decor\image_06_47833436782791.jpg; seo_runs\jeminise.com\20260906_234129\evidence\contact_sheets\92_custom-neon-green-soccer-player-artwork-comforter-set-boys-room-decor.jpg</t>
        </is>
      </c>
    </row>
    <row r="13" ht="66" customHeight="1">
      <c r="A13" s="3" t="inlineStr">
        <is>
          <t>jeminise.com+custom-neon-green-soccer-player-artwork-comforter-set-boys-room-decor</t>
        </is>
      </c>
      <c r="B13" s="3" t="inlineStr">
        <is>
          <t>img_a34e510f56e03934</t>
        </is>
      </c>
      <c r="C13" s="4" t="inlineStr">
        <is>
          <t>https://cdn.shopify.com/s/files/1/0792/5098/1063/files/9b36690b06b0d6afe47cba01d783821f5b729cf46d6530e6bf0ebeb68938d739.jpg?v=1786611026</t>
        </is>
      </c>
      <c r="D13" s="4" t="inlineStr">
        <is>
          <t>https://cdn.shopify.com/s/files/1/0792/5098/1063/files/9b36690b06b0d6afe47cba01d783821f5b729cf46d6530e6bf0ebeb68938d739.jpg?v=1786611026</t>
        </is>
      </c>
      <c r="E13" s="3" t="inlineStr">
        <is>
          <t>47833436815559</t>
        </is>
      </c>
      <c r="F13" s="3" t="inlineStr"/>
      <c r="G13" s="3" t="inlineStr">
        <is>
          <t>GALLERY</t>
        </is>
      </c>
      <c r="H13" s="3" t="inlineStr">
        <is>
          <t>DIRECT_DOWNLOADED_GALLERY_ASSET_REVIEW</t>
        </is>
      </c>
      <c r="I13" s="3" t="inlineStr">
        <is>
          <t>2026-09-08T09:23:07+07:00</t>
        </is>
      </c>
      <c r="J13" s="3" t="inlineStr">
        <is>
          <t>Stress-free easy-care panel listing wrinkle-free, stain-proof, anti-pilling and wash durability.</t>
        </is>
      </c>
      <c r="K13" s="3" t="inlineStr">
        <is>
          <t>Stress-free easy-care panel listing wrinkle-free, stain-proof, anti-pilling and wash durability.</t>
        </is>
      </c>
      <c r="L13" s="3" t="inlineStr">
        <is>
          <t>SET</t>
        </is>
      </c>
      <c r="M13" s="3" t="inlineStr">
        <is>
          <t>Easy care feature panel for soccer bedding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/>
      <c r="X13" s="3" t="inlineStr">
        <is>
          <t>D:\Shopify_Workspace\jeminise_seo\seo_runs\jeminise.com\20260906_234129\qa\20260908_010000\images\092_07.jpg; seo_runs\jeminise.com\20260906_234129\evidence\images\92_custom-neon-green-soccer-player-artwork-comforter-set-boys-room-decor\image_07_47833436815559.jpg; seo_runs\jeminise.com\20260906_234129\evidence\contact_sheets\92_custom-neon-green-soccer-player-artwork-comforter-set-boys-room-decor.jpg</t>
        </is>
      </c>
    </row>
    <row r="14" ht="66" customHeight="1">
      <c r="A14" s="2" t="inlineStr">
        <is>
          <t>jeminise.com+custom-neon-green-soccer-player-artwork-comforter-set-boys-room-decor</t>
        </is>
      </c>
      <c r="B14" s="2" t="inlineStr">
        <is>
          <t>img_989ef2bb1691476a</t>
        </is>
      </c>
      <c r="C14" s="4" t="inlineStr">
        <is>
          <t>https://cdn.shopify.com/s/files/1/0792/5098/1063/files/30667ffa1b29dfa2b8673580c1476a7e3d1c88f73100c21aff40d37ab88f3c0f.jpg?v=1786611026</t>
        </is>
      </c>
      <c r="D14" s="4" t="inlineStr">
        <is>
          <t>https://cdn.shopify.com/s/files/1/0792/5098/1063/files/30667ffa1b29dfa2b8673580c1476a7e3d1c88f73100c21aff40d37ab88f3c0f.jpg?v=1786611026</t>
        </is>
      </c>
      <c r="E14" s="2" t="inlineStr">
        <is>
          <t>47833436848327</t>
        </is>
      </c>
      <c r="F14" s="2" t="inlineStr"/>
      <c r="G14" s="2" t="inlineStr">
        <is>
          <t>GALLERY</t>
        </is>
      </c>
      <c r="H14" s="2" t="inlineStr">
        <is>
          <t>DIRECT_DOWNLOADED_GALLERY_ASSET_REVIEW</t>
        </is>
      </c>
      <c r="I14" s="2" t="inlineStr">
        <is>
          <t>2026-09-08T09:23:07+07:00</t>
        </is>
      </c>
      <c r="J14" s="2" t="inlineStr">
        <is>
          <t>Size dimension chart for twin, full, queen and king bedding dimensions.</t>
        </is>
      </c>
      <c r="K14" s="2" t="inlineStr">
        <is>
          <t>Size dimension chart for twin, full, queen and king bedding dimensions.</t>
        </is>
      </c>
      <c r="L14" s="2" t="inlineStr">
        <is>
          <t>SET</t>
        </is>
      </c>
      <c r="M14" s="2" t="inlineStr">
        <is>
          <t>Soccer comforter size dimension chart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/>
      <c r="X14" s="2" t="inlineStr">
        <is>
          <t>D:\Shopify_Workspace\jeminise_seo\seo_runs\jeminise.com\20260906_234129\qa\20260908_010000\images\092_08.jpg; seo_runs\jeminise.com\20260906_234129\evidence\images\92_custom-neon-green-soccer-player-artwork-comforter-set-boys-room-decor\image_08_47833436848327.jpg; seo_runs\jeminise.com\20260906_234129\evidence\contact_sheets\92_custom-neon-green-soccer-player-artwork-comforter-set-boys-room-decor.jpg</t>
        </is>
      </c>
    </row>
    <row r="15" ht="66" customHeight="1">
      <c r="A15" s="3" t="inlineStr">
        <is>
          <t>jeminise.com+custom-patriotic-semi-truck-on-american-flag-background-comforter-e664ba94f8-e664ba94f8</t>
        </is>
      </c>
      <c r="B15" s="3" t="inlineStr">
        <is>
          <t>img_36435a6716f61f76</t>
        </is>
      </c>
      <c r="C15" s="4" t="inlineStr">
        <is>
          <t>https://cdn.shopify.com/s/files/1/0792/5098/1063/files/fe1412d885785c85792b6280a515d4da148939773f52cad28a9077b41519bca7.jpg?v=1785132379</t>
        </is>
      </c>
      <c r="D15" s="4" t="inlineStr">
        <is>
          <t>https://cdn.shopify.com/s/files/1/0792/5098/1063/files/fe1412d885785c85792b6280a515d4da148939773f52cad28a9077b41519bca7.jpg?v=1785132379</t>
        </is>
      </c>
      <c r="E15" s="3" t="inlineStr">
        <is>
          <t>47548670804167</t>
        </is>
      </c>
      <c r="F15" s="3" t="inlineStr"/>
      <c r="G15" s="3" t="inlineStr">
        <is>
          <t>GALLERY</t>
        </is>
      </c>
      <c r="H15" s="3" t="inlineStr">
        <is>
          <t>DIRECT_DOWNLOADED_GALLERY_ASSET_REVIEW</t>
        </is>
      </c>
      <c r="I15" s="3" t="inlineStr">
        <is>
          <t>2026-09-08T09:23:07+07:00</t>
        </is>
      </c>
      <c r="J15" s="3" t="inlineStr">
        <is>
          <t>Bedroom mockup of blue semi truck comforter on distressed American flag with YOUR NAME text.</t>
        </is>
      </c>
      <c r="K15" s="3" t="inlineStr">
        <is>
          <t>Bedroom mockup of blue semi truck comforter on distressed American flag with YOUR NAME text.</t>
        </is>
      </c>
      <c r="L15" s="3" t="inlineStr">
        <is>
          <t>SET</t>
        </is>
      </c>
      <c r="M15" s="3" t="inlineStr">
        <is>
          <t>Blue semi truck flag comforter with YOUR NAME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/>
      <c r="X15" s="3" t="inlineStr">
        <is>
          <t>D:\Shopify_Workspace\jeminise_seo\seo_runs\jeminise.com\20260906_234129\qa\20260908_010000\images\093_01.jpg; seo_runs\jeminise.com\20260906_234129\evidence\images\93_custom-patriotic-semi-truck-on-american-flag-background-comforter-e664ba94f8-e664ba94f8\image_01_47548670804167.jpg; seo_runs\jeminise.com\20260906_234129\evidence\contact_sheets\93_custom-patriotic-semi-truck-on-american-flag-background-comforter-e664ba94f8-e664ba94f8.jpg</t>
        </is>
      </c>
    </row>
    <row r="16" ht="66" customHeight="1">
      <c r="A16" s="2" t="inlineStr">
        <is>
          <t>jeminise.com+custom-patriotic-semi-truck-on-american-flag-background-comforter-e664ba94f8-e664ba94f8</t>
        </is>
      </c>
      <c r="B16" s="2" t="inlineStr">
        <is>
          <t>img_7ede83196cd56536</t>
        </is>
      </c>
      <c r="C16" s="4" t="inlineStr">
        <is>
          <t>https://cdn.shopify.com/s/files/1/0792/5098/1063/files/cae1e0f323222ab8084267520a77901e07bd20837fc3b3cf158c7a3b5290f53b.jpg?v=1785132379</t>
        </is>
      </c>
      <c r="D16" s="4" t="inlineStr">
        <is>
          <t>https://cdn.shopify.com/s/files/1/0792/5098/1063/files/cae1e0f323222ab8084267520a77901e07bd20837fc3b3cf158c7a3b5290f53b.jpg?v=1785132379</t>
        </is>
      </c>
      <c r="E16" s="2" t="inlineStr">
        <is>
          <t>47548670836935</t>
        </is>
      </c>
      <c r="F16" s="2" t="inlineStr"/>
      <c r="G16" s="2" t="inlineStr">
        <is>
          <t>GALLERY</t>
        </is>
      </c>
      <c r="H16" s="2" t="inlineStr">
        <is>
          <t>DIRECT_DOWNLOADED_GALLERY_ASSET_REVIEW</t>
        </is>
      </c>
      <c r="I16" s="2" t="inlineStr">
        <is>
          <t>2026-09-08T09:23:07+07:00</t>
        </is>
      </c>
      <c r="J16" s="2" t="inlineStr">
        <is>
          <t>Bedroom mockup of the blue truck flag comforter with matching shams and folded white top sheet.</t>
        </is>
      </c>
      <c r="K16" s="2" t="inlineStr">
        <is>
          <t>Bedroom mockup of the blue truck flag comforter with matching shams and folded white top sheet.</t>
        </is>
      </c>
      <c r="L16" s="2" t="inlineStr">
        <is>
          <t>SET</t>
        </is>
      </c>
      <c r="M16" s="2" t="inlineStr">
        <is>
          <t>Blue truck flag bedding set with matching shams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/>
      <c r="X16" s="2" t="inlineStr">
        <is>
          <t>D:\Shopify_Workspace\jeminise_seo\seo_runs\jeminise.com\20260906_234129\qa\20260908_010000\images\093_02.jpg; seo_runs\jeminise.com\20260906_234129\evidence\images\93_custom-patriotic-semi-truck-on-american-flag-background-comforter-e664ba94f8-e664ba94f8\image_02_47548670836935.jpg; seo_runs\jeminise.com\20260906_234129\evidence\contact_sheets\93_custom-patriotic-semi-truck-on-american-flag-background-comforter-e664ba94f8-e664ba94f8.jpg</t>
        </is>
      </c>
    </row>
    <row r="17" ht="66" customHeight="1">
      <c r="A17" s="3" t="inlineStr">
        <is>
          <t>jeminise.com+custom-patriotic-semi-truck-on-american-flag-background-comforter-e664ba94f8-e664ba94f8</t>
        </is>
      </c>
      <c r="B17" s="3" t="inlineStr">
        <is>
          <t>img_a0ac11f6f40d362d</t>
        </is>
      </c>
      <c r="C17" s="4" t="inlineStr">
        <is>
          <t>https://cdn.shopify.com/s/files/1/0792/5098/1063/files/16f7293cbefa5743a35b2e6316a5a114e5c052d08151e367dafd26aa5e2e542b_d050383d-1193-4807-8c84-5cdef15ff79e.jpg?v=1785132379</t>
        </is>
      </c>
      <c r="D17" s="4" t="inlineStr">
        <is>
          <t>https://cdn.shopify.com/s/files/1/0792/5098/1063/files/16f7293cbefa5743a35b2e6316a5a114e5c052d08151e367dafd26aa5e2e542b_d050383d-1193-4807-8c84-5cdef15ff79e.jpg?v=1785132379</t>
        </is>
      </c>
      <c r="E17" s="3" t="inlineStr">
        <is>
          <t>47548670869703</t>
        </is>
      </c>
      <c r="F17" s="3" t="inlineStr"/>
      <c r="G17" s="3" t="inlineStr">
        <is>
          <t>GALLERY</t>
        </is>
      </c>
      <c r="H17" s="3" t="inlineStr">
        <is>
          <t>DIRECT_DOWNLOADED_GALLERY_ASSET_REVIEW</t>
        </is>
      </c>
      <c r="I17" s="3" t="inlineStr">
        <is>
          <t>2026-09-08T09:23:07+07:00</t>
        </is>
      </c>
      <c r="J17" s="3" t="inlineStr">
        <is>
          <t>Comparison panel explaining duvet cover set versus comforter set.</t>
        </is>
      </c>
      <c r="K17" s="3" t="inlineStr">
        <is>
          <t>Comparison panel explaining duvet cover set versus comforter set.</t>
        </is>
      </c>
      <c r="L17" s="3" t="inlineStr">
        <is>
          <t>SET</t>
        </is>
      </c>
      <c r="M17" s="3" t="inlineStr">
        <is>
          <t>Duvet cover and comforter comparison panel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/>
      <c r="X17" s="3" t="inlineStr">
        <is>
          <t>D:\Shopify_Workspace\jeminise_seo\seo_runs\jeminise.com\20260906_234129\qa\20260908_010000\images\093_03.jpg; seo_runs\jeminise.com\20260906_234129\evidence\images\93_custom-patriotic-semi-truck-on-american-flag-background-comforter-e664ba94f8-e664ba94f8\image_03_47548670869703.jpg; seo_runs\jeminise.com\20260906_234129\evidence\contact_sheets\93_custom-patriotic-semi-truck-on-american-flag-background-comforter-e664ba94f8-e664ba94f8.jpg</t>
        </is>
      </c>
    </row>
    <row r="18" ht="66" customHeight="1">
      <c r="A18" s="2" t="inlineStr">
        <is>
          <t>jeminise.com+custom-patriotic-semi-truck-on-american-flag-background-comforter-e664ba94f8-e664ba94f8</t>
        </is>
      </c>
      <c r="B18" s="2" t="inlineStr">
        <is>
          <t>img_162a55636d7bf8e3</t>
        </is>
      </c>
      <c r="C18" s="4" t="inlineStr">
        <is>
          <t>https://cdn.shopify.com/s/files/1/0792/5098/1063/files/1af0b9b4937e17de402557fcae689c596d27afb1f52fc1310e3566e92ae266a9.jpg?v=1785132379</t>
        </is>
      </c>
      <c r="D18" s="4" t="inlineStr">
        <is>
          <t>https://cdn.shopify.com/s/files/1/0792/5098/1063/files/1af0b9b4937e17de402557fcae689c596d27afb1f52fc1310e3566e92ae266a9.jpg?v=1785132379</t>
        </is>
      </c>
      <c r="E18" s="2" t="inlineStr">
        <is>
          <t>47548670902471</t>
        </is>
      </c>
      <c r="F18" s="2" t="inlineStr"/>
      <c r="G18" s="2" t="inlineStr">
        <is>
          <t>GALLERY</t>
        </is>
      </c>
      <c r="H18" s="2" t="inlineStr">
        <is>
          <t>DIRECT_DOWNLOADED_GALLERY_ASSET_REVIEW</t>
        </is>
      </c>
      <c r="I18" s="2" t="inlineStr">
        <is>
          <t>2026-09-08T09:23:07+07:00</t>
        </is>
      </c>
      <c r="J18" s="2" t="inlineStr">
        <is>
          <t>Microfiber feature panel with blue semi truck pillow mockup and 3D printed pattern callouts.</t>
        </is>
      </c>
      <c r="K18" s="2" t="inlineStr">
        <is>
          <t>Microfiber feature panel with blue semi truck pillow mockup and 3D printed pattern callouts.</t>
        </is>
      </c>
      <c r="L18" s="2" t="inlineStr">
        <is>
          <t>SET</t>
        </is>
      </c>
      <c r="M18" s="2" t="inlineStr">
        <is>
          <t>Blue semi truck comforter microfiber feature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/>
      <c r="X18" s="2" t="inlineStr">
        <is>
          <t>D:\Shopify_Workspace\jeminise_seo\seo_runs\jeminise.com\20260906_234129\qa\20260908_010000\images\093_04.jpg; seo_runs\jeminise.com\20260906_234129\evidence\images\93_custom-patriotic-semi-truck-on-american-flag-background-comforter-e664ba94f8-e664ba94f8\image_04_47548670902471.jpg; seo_runs\jeminise.com\20260906_234129\evidence\contact_sheets\93_custom-patriotic-semi-truck-on-american-flag-background-comforter-e664ba94f8-e664ba94f8.jpg</t>
        </is>
      </c>
    </row>
    <row r="19" ht="66" customHeight="1">
      <c r="A19" s="3" t="inlineStr">
        <is>
          <t>jeminise.com+custom-patriotic-semi-truck-on-american-flag-background-comforter-e664ba94f8-e664ba94f8</t>
        </is>
      </c>
      <c r="B19" s="3" t="inlineStr">
        <is>
          <t>img_d1ac61813c81c9a2</t>
        </is>
      </c>
      <c r="C19" s="4" t="inlineStr">
        <is>
          <t>https://cdn.shopify.com/s/files/1/0792/5098/1063/files/1a43cd057736aec5cc198f0c59ffcaa3709ed17c0015a7e14b5165389dc96061.jpg?v=1785132379</t>
        </is>
      </c>
      <c r="D19" s="4" t="inlineStr">
        <is>
          <t>https://cdn.shopify.com/s/files/1/0792/5098/1063/files/1a43cd057736aec5cc198f0c59ffcaa3709ed17c0015a7e14b5165389dc96061.jpg?v=1785132379</t>
        </is>
      </c>
      <c r="E19" s="3" t="inlineStr">
        <is>
          <t>47548670935239</t>
        </is>
      </c>
      <c r="F19" s="3" t="inlineStr"/>
      <c r="G19" s="3" t="inlineStr">
        <is>
          <t>GALLERY</t>
        </is>
      </c>
      <c r="H19" s="3" t="inlineStr">
        <is>
          <t>DIRECT_DOWNLOADED_GALLERY_ASSET_REVIEW</t>
        </is>
      </c>
      <c r="I19" s="3" t="inlineStr">
        <is>
          <t>2026-09-08T09:23:07+07:00</t>
        </is>
      </c>
      <c r="J19" s="3" t="inlineStr">
        <is>
          <t>Low-angle blue truck bedding mockup with icons for soft, lightweight, durable and breathable.</t>
        </is>
      </c>
      <c r="K19" s="3" t="inlineStr">
        <is>
          <t>Low-angle blue truck bedding mockup with icons for soft, lightweight, durable and breathable.</t>
        </is>
      </c>
      <c r="L19" s="3" t="inlineStr">
        <is>
          <t>SET</t>
        </is>
      </c>
      <c r="M19" s="3" t="inlineStr">
        <is>
          <t>Blue semi truck bedding with feature icons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/>
      <c r="X19" s="3" t="inlineStr">
        <is>
          <t>D:\Shopify_Workspace\jeminise_seo\seo_runs\jeminise.com\20260906_234129\qa\20260908_010000\images\093_05.jpg; seo_runs\jeminise.com\20260906_234129\evidence\images\93_custom-patriotic-semi-truck-on-american-flag-background-comforter-e664ba94f8-e664ba94f8\image_05_47548670935239.jpg; seo_runs\jeminise.com\20260906_234129\evidence\contact_sheets\93_custom-patriotic-semi-truck-on-american-flag-background-comforter-e664ba94f8-e664ba94f8.jpg</t>
        </is>
      </c>
    </row>
    <row r="20" ht="66" customHeight="1">
      <c r="A20" s="2" t="inlineStr">
        <is>
          <t>jeminise.com+custom-patriotic-semi-truck-on-american-flag-background-comforter-e664ba94f8-e664ba94f8</t>
        </is>
      </c>
      <c r="B20" s="2" t="inlineStr">
        <is>
          <t>img_bd20c31622a6e870</t>
        </is>
      </c>
      <c r="C20" s="4" t="inlineStr">
        <is>
          <t>https://cdn.shopify.com/s/files/1/0792/5098/1063/files/7c006bddc94d4763c71c8376307e195c1bbce73b8c802ec73ac5a8cef1291262_0cf50cfc-d406-4f2c-946c-ebbae11c1219.jpg?v=1785132379</t>
        </is>
      </c>
      <c r="D20" s="4" t="inlineStr">
        <is>
          <t>https://cdn.shopify.com/s/files/1/0792/5098/1063/files/7c006bddc94d4763c71c8376307e195c1bbce73b8c802ec73ac5a8cef1291262_0cf50cfc-d406-4f2c-946c-ebbae11c1219.jpg?v=1785132379</t>
        </is>
      </c>
      <c r="E20" s="2" t="inlineStr">
        <is>
          <t>47548670968007</t>
        </is>
      </c>
      <c r="F20" s="2" t="inlineStr"/>
      <c r="G20" s="2" t="inlineStr">
        <is>
          <t>GALLERY</t>
        </is>
      </c>
      <c r="H20" s="2" t="inlineStr">
        <is>
          <t>DIRECT_DOWNLOADED_GALLERY_ASSET_REVIEW</t>
        </is>
      </c>
      <c r="I20" s="2" t="inlineStr">
        <is>
          <t>2026-09-08T09:23:07+07:00</t>
        </is>
      </c>
      <c r="J20" s="2" t="inlineStr">
        <is>
          <t>Stress-free easy-care panel with stacked white bedding and care feature icons.</t>
        </is>
      </c>
      <c r="K20" s="2" t="inlineStr">
        <is>
          <t>Stress-free easy-care panel with stacked white bedding and care feature icons.</t>
        </is>
      </c>
      <c r="L20" s="2" t="inlineStr">
        <is>
          <t>SET</t>
        </is>
      </c>
      <c r="M20" s="2" t="inlineStr">
        <is>
          <t>Easy care feature panel for truck bedding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/>
      <c r="X20" s="2" t="inlineStr">
        <is>
          <t>D:\Shopify_Workspace\jeminise_seo\seo_runs\jeminise.com\20260906_234129\qa\20260908_010000\images\093_06.jpg; seo_runs\jeminise.com\20260906_234129\evidence\images\93_custom-patriotic-semi-truck-on-american-flag-background-comforter-e664ba94f8-e664ba94f8\image_06_47548670968007.jpg; seo_runs\jeminise.com\20260906_234129\evidence\contact_sheets\93_custom-patriotic-semi-truck-on-american-flag-background-comforter-e664ba94f8-e664ba94f8.jpg</t>
        </is>
      </c>
    </row>
    <row r="21" ht="66" customHeight="1">
      <c r="A21" s="3" t="inlineStr">
        <is>
          <t>jeminise.com+custom-patriotic-semi-truck-on-american-flag-background-comforter-e664ba94f8-e664ba94f8</t>
        </is>
      </c>
      <c r="B21" s="3" t="inlineStr">
        <is>
          <t>img_d7dfa65ec0d18df4</t>
        </is>
      </c>
      <c r="C21" s="4" t="inlineStr">
        <is>
          <t>https://cdn.shopify.com/s/files/1/0792/5098/1063/files/e5cad84edb4d7bf77c48fd7c8e52eb3b73f04eba8bf177671fd8a059c59422e8_b94069b9-bd54-480f-9ac7-9690b49cfc2e.jpg?v=1785132379</t>
        </is>
      </c>
      <c r="D21" s="4" t="inlineStr">
        <is>
          <t>https://cdn.shopify.com/s/files/1/0792/5098/1063/files/e5cad84edb4d7bf77c48fd7c8e52eb3b73f04eba8bf177671fd8a059c59422e8_b94069b9-bd54-480f-9ac7-9690b49cfc2e.jpg?v=1785132379</t>
        </is>
      </c>
      <c r="E21" s="3" t="inlineStr">
        <is>
          <t>47548671000775</t>
        </is>
      </c>
      <c r="F21" s="3" t="inlineStr"/>
      <c r="G21" s="3" t="inlineStr">
        <is>
          <t>GALLERY</t>
        </is>
      </c>
      <c r="H21" s="3" t="inlineStr">
        <is>
          <t>DIRECT_DOWNLOADED_GALLERY_ASSET_REVIEW</t>
        </is>
      </c>
      <c r="I21" s="3" t="inlineStr">
        <is>
          <t>2026-09-08T09:23:07+07:00</t>
        </is>
      </c>
      <c r="J21" s="3" t="inlineStr">
        <is>
          <t>Size dimension chart showing twin, full, queen and king measurements.</t>
        </is>
      </c>
      <c r="K21" s="3" t="inlineStr">
        <is>
          <t>Size dimension chart showing twin, full, queen and king measurements.</t>
        </is>
      </c>
      <c r="L21" s="3" t="inlineStr">
        <is>
          <t>SET</t>
        </is>
      </c>
      <c r="M21" s="3" t="inlineStr">
        <is>
          <t>Semi truck comforter size dimension chart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/>
      <c r="X21" s="3" t="inlineStr">
        <is>
          <t>D:\Shopify_Workspace\jeminise_seo\seo_runs\jeminise.com\20260906_234129\qa\20260908_010000\images\093_07.jpg; seo_runs\jeminise.com\20260906_234129\evidence\images\93_custom-patriotic-semi-truck-on-american-flag-background-comforter-e664ba94f8-e664ba94f8\image_07_47548671000775.jpg; seo_runs\jeminise.com\20260906_234129\evidence\contact_sheets\93_custom-patriotic-semi-truck-on-american-flag-background-comforter-e664ba94f8-e664ba94f8.jpg</t>
        </is>
      </c>
    </row>
    <row r="22" ht="66" customHeight="1">
      <c r="A22" s="2" t="inlineStr">
        <is>
          <t>jeminise.com+custom-patriotic-semi-truck-with-waving-american-flag-comforter-e01f2755b2-e01f2755b2</t>
        </is>
      </c>
      <c r="B22" s="2" t="inlineStr">
        <is>
          <t>img_6d548faf2fbac85d</t>
        </is>
      </c>
      <c r="C22" s="4" t="inlineStr">
        <is>
          <t>https://cdn.shopify.com/s/files/1/0792/5098/1063/files/fff7fb3607171e550328ca23a57753cdd5e34bd84e9bc6ddf3d658e8b386e971.jpg?v=1785133056</t>
        </is>
      </c>
      <c r="D22" s="4" t="inlineStr">
        <is>
          <t>https://cdn.shopify.com/s/files/1/0792/5098/1063/files/fff7fb3607171e550328ca23a57753cdd5e34bd84e9bc6ddf3d658e8b386e971.jpg?v=1785133056</t>
        </is>
      </c>
      <c r="E22" s="2" t="inlineStr">
        <is>
          <t>47548779626695</t>
        </is>
      </c>
      <c r="F22" s="2" t="inlineStr"/>
      <c r="G22" s="2" t="inlineStr">
        <is>
          <t>GALLERY</t>
        </is>
      </c>
      <c r="H22" s="2" t="inlineStr">
        <is>
          <t>DIRECT_DOWNLOADED_GALLERY_ASSET_REVIEW</t>
        </is>
      </c>
      <c r="I22" s="2" t="inlineStr">
        <is>
          <t>2026-09-08T09:23:07+07:00</t>
        </is>
      </c>
      <c r="J22" s="2" t="inlineStr">
        <is>
          <t>Bedroom mockup of silver semi truck comforter with waving American flag and large YOUR NAME text.</t>
        </is>
      </c>
      <c r="K22" s="2" t="inlineStr">
        <is>
          <t>Bedroom mockup of silver semi truck comforter with waving American flag and large YOUR NAME text.</t>
        </is>
      </c>
      <c r="L22" s="2" t="inlineStr">
        <is>
          <t>SET</t>
        </is>
      </c>
      <c r="M22" s="2" t="inlineStr">
        <is>
          <t>Silver semi truck flag comforter with YOUR NAME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/>
      <c r="X22" s="2" t="inlineStr">
        <is>
          <t>D:\Shopify_Workspace\jeminise_seo\seo_runs\jeminise.com\20260906_234129\qa\20260908_010000\images\094_01.jpg; seo_runs\jeminise.com\20260906_234129\evidence\images\94_custom-patriotic-semi-truck-with-waving-american-flag-comforter-e01f2755b2-e01f2755b2\image_01_47548779626695.jpg; seo_runs\jeminise.com\20260906_234129\evidence\contact_sheets\94_custom-patriotic-semi-truck-with-waving-american-flag-comforter-e01f2755b2-e01f2755b2.jpg</t>
        </is>
      </c>
    </row>
    <row r="23" ht="66" customHeight="1">
      <c r="A23" s="3" t="inlineStr">
        <is>
          <t>jeminise.com+custom-patriotic-semi-truck-with-waving-american-flag-comforter-e01f2755b2-e01f2755b2</t>
        </is>
      </c>
      <c r="B23" s="3" t="inlineStr">
        <is>
          <t>img_daf67ef66183c3d7</t>
        </is>
      </c>
      <c r="C23" s="4" t="inlineStr">
        <is>
          <t>https://cdn.shopify.com/s/files/1/0792/5098/1063/files/5aa60065f310c2ee78fbf5f116d8ea612b45190d52400475f6ebfe0bf7ac3ab5.jpg?v=1785133056</t>
        </is>
      </c>
      <c r="D23" s="4" t="inlineStr">
        <is>
          <t>https://cdn.shopify.com/s/files/1/0792/5098/1063/files/5aa60065f310c2ee78fbf5f116d8ea612b45190d52400475f6ebfe0bf7ac3ab5.jpg?v=1785133056</t>
        </is>
      </c>
      <c r="E23" s="3" t="inlineStr">
        <is>
          <t>47548779659463</t>
        </is>
      </c>
      <c r="F23" s="3" t="inlineStr"/>
      <c r="G23" s="3" t="inlineStr">
        <is>
          <t>GALLERY</t>
        </is>
      </c>
      <c r="H23" s="3" t="inlineStr">
        <is>
          <t>DIRECT_DOWNLOADED_GALLERY_ASSET_REVIEW</t>
        </is>
      </c>
      <c r="I23" s="3" t="inlineStr">
        <is>
          <t>2026-09-08T09:23:07+07:00</t>
        </is>
      </c>
      <c r="J23" s="3" t="inlineStr">
        <is>
          <t>Bedroom mockup of silver truck flag comforter with matching pillow shams.</t>
        </is>
      </c>
      <c r="K23" s="3" t="inlineStr">
        <is>
          <t>Bedroom mockup of silver truck flag comforter with matching pillow shams.</t>
        </is>
      </c>
      <c r="L23" s="3" t="inlineStr">
        <is>
          <t>SET</t>
        </is>
      </c>
      <c r="M23" s="3" t="inlineStr">
        <is>
          <t>Silver truck flag bedding set with shams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/>
      <c r="X23" s="3" t="inlineStr">
        <is>
          <t>D:\Shopify_Workspace\jeminise_seo\seo_runs\jeminise.com\20260906_234129\qa\20260908_010000\images\094_02.jpg; seo_runs\jeminise.com\20260906_234129\evidence\images\94_custom-patriotic-semi-truck-with-waving-american-flag-comforter-e01f2755b2-e01f2755b2\image_02_47548779659463.jpg; seo_runs\jeminise.com\20260906_234129\evidence\contact_sheets\94_custom-patriotic-semi-truck-with-waving-american-flag-comforter-e01f2755b2-e01f2755b2.jpg</t>
        </is>
      </c>
    </row>
    <row r="24" ht="66" customHeight="1">
      <c r="A24" s="2" t="inlineStr">
        <is>
          <t>jeminise.com+custom-patriotic-semi-truck-with-waving-american-flag-comforter-e01f2755b2-e01f2755b2</t>
        </is>
      </c>
      <c r="B24" s="2" t="inlineStr">
        <is>
          <t>img_f701848acc85cfc8</t>
        </is>
      </c>
      <c r="C24" s="4" t="inlineStr">
        <is>
          <t>https://cdn.shopify.com/s/files/1/0792/5098/1063/files/16f7293cbefa5743a35b2e6316a5a114e5c052d08151e367dafd26aa5e2e542b_c88ded01-e9f5-47e0-a337-71272c531dc2.jpg?v=1785133055</t>
        </is>
      </c>
      <c r="D24" s="4" t="inlineStr">
        <is>
          <t>https://cdn.shopify.com/s/files/1/0792/5098/1063/files/16f7293cbefa5743a35b2e6316a5a114e5c052d08151e367dafd26aa5e2e542b_c88ded01-e9f5-47e0-a337-71272c531dc2.jpg?v=1785133055</t>
        </is>
      </c>
      <c r="E24" s="2" t="inlineStr">
        <is>
          <t>47548779692231</t>
        </is>
      </c>
      <c r="F24" s="2" t="inlineStr"/>
      <c r="G24" s="2" t="inlineStr">
        <is>
          <t>GALLERY</t>
        </is>
      </c>
      <c r="H24" s="2" t="inlineStr">
        <is>
          <t>DIRECT_DOWNLOADED_GALLERY_ASSET_REVIEW</t>
        </is>
      </c>
      <c r="I24" s="2" t="inlineStr">
        <is>
          <t>2026-09-08T09:23:07+07:00</t>
        </is>
      </c>
      <c r="J24" s="2" t="inlineStr">
        <is>
          <t>Comparison panel explaining duvet cover set and comforter set bedding options.</t>
        </is>
      </c>
      <c r="K24" s="2" t="inlineStr">
        <is>
          <t>Comparison panel explaining duvet cover set and comforter set bedding options.</t>
        </is>
      </c>
      <c r="L24" s="2" t="inlineStr">
        <is>
          <t>SET</t>
        </is>
      </c>
      <c r="M24" s="2" t="inlineStr">
        <is>
          <t>Duvet cover and comforter set comparison panel for silver semi truck with waving American flag comforter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/>
      <c r="X24" s="2" t="inlineStr">
        <is>
          <t>D:\Shopify_Workspace\jeminise_seo\seo_runs\jeminise.com\20260906_234129\qa\20260908_010000\images\094_03.jpg; seo_runs\jeminise.com\20260906_234129\evidence\images\94_custom-patriotic-semi-truck-with-waving-american-flag-comforter-e01f2755b2-e01f2755b2\image_03_47548779692231.jpg; seo_runs\jeminise.com\20260906_234129\evidence\contact_sheets\94_custom-patriotic-semi-truck-with-waving-american-flag-comforter-e01f2755b2-e01f2755b2.jpg</t>
        </is>
      </c>
    </row>
    <row r="25" ht="66" customHeight="1">
      <c r="A25" s="3" t="inlineStr">
        <is>
          <t>jeminise.com+custom-patriotic-semi-truck-with-waving-american-flag-comforter-e01f2755b2-e01f2755b2</t>
        </is>
      </c>
      <c r="B25" s="3" t="inlineStr">
        <is>
          <t>img_4bb2b9a244b23718</t>
        </is>
      </c>
      <c r="C25" s="4" t="inlineStr">
        <is>
          <t>https://cdn.shopify.com/s/files/1/0792/5098/1063/files/09467376d637b8b254540c819caa86ed98bcd098da17eb5d29dbc82fb7f5cd3a.jpg?v=1785133055</t>
        </is>
      </c>
      <c r="D25" s="4" t="inlineStr">
        <is>
          <t>https://cdn.shopify.com/s/files/1/0792/5098/1063/files/09467376d637b8b254540c819caa86ed98bcd098da17eb5d29dbc82fb7f5cd3a.jpg?v=1785133055</t>
        </is>
      </c>
      <c r="E25" s="3" t="inlineStr">
        <is>
          <t>47548779724999</t>
        </is>
      </c>
      <c r="F25" s="3" t="inlineStr"/>
      <c r="G25" s="3" t="inlineStr">
        <is>
          <t>GALLERY</t>
        </is>
      </c>
      <c r="H25" s="3" t="inlineStr">
        <is>
          <t>DIRECT_DOWNLOADED_GALLERY_ASSET_REVIEW</t>
        </is>
      </c>
      <c r="I25" s="3" t="inlineStr">
        <is>
          <t>2026-09-08T09:23:07+07:00</t>
        </is>
      </c>
      <c r="J25" s="3" t="inlineStr">
        <is>
          <t>Microfiber feature panel with silver truck pillow mockup and close-up detail circles.</t>
        </is>
      </c>
      <c r="K25" s="3" t="inlineStr">
        <is>
          <t>Microfiber feature panel with silver truck pillow mockup and close-up detail circles.</t>
        </is>
      </c>
      <c r="L25" s="3" t="inlineStr">
        <is>
          <t>SET</t>
        </is>
      </c>
      <c r="M25" s="3" t="inlineStr">
        <is>
          <t>Silver semi truck comforter feature panel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/>
      <c r="X25" s="3" t="inlineStr">
        <is>
          <t>D:\Shopify_Workspace\jeminise_seo\seo_runs\jeminise.com\20260906_234129\qa\20260908_010000\images\094_04.jpg; seo_runs\jeminise.com\20260906_234129\evidence\images\94_custom-patriotic-semi-truck-with-waving-american-flag-comforter-e01f2755b2-e01f2755b2\image_04_47548779724999.jpg; seo_runs\jeminise.com\20260906_234129\evidence\contact_sheets\94_custom-patriotic-semi-truck-with-waving-american-flag-comforter-e01f2755b2-e01f2755b2.jpg</t>
        </is>
      </c>
    </row>
    <row r="26" ht="66" customHeight="1">
      <c r="A26" s="2" t="inlineStr">
        <is>
          <t>jeminise.com+custom-patriotic-semi-truck-with-waving-american-flag-comforter-e01f2755b2-e01f2755b2</t>
        </is>
      </c>
      <c r="B26" s="2" t="inlineStr">
        <is>
          <t>img_1a666539025a605a</t>
        </is>
      </c>
      <c r="C26" s="4" t="inlineStr">
        <is>
          <t>https://cdn.shopify.com/s/files/1/0792/5098/1063/files/233894d2b6b7bae581e73b21a4df3c20906e112260f36bd3434ffaade36baf00.jpg?v=1785133055</t>
        </is>
      </c>
      <c r="D26" s="4" t="inlineStr">
        <is>
          <t>https://cdn.shopify.com/s/files/1/0792/5098/1063/files/233894d2b6b7bae581e73b21a4df3c20906e112260f36bd3434ffaade36baf00.jpg?v=1785133055</t>
        </is>
      </c>
      <c r="E26" s="2" t="inlineStr">
        <is>
          <t>47548779757767</t>
        </is>
      </c>
      <c r="F26" s="2" t="inlineStr"/>
      <c r="G26" s="2" t="inlineStr">
        <is>
          <t>GALLERY</t>
        </is>
      </c>
      <c r="H26" s="2" t="inlineStr">
        <is>
          <t>DIRECT_DOWNLOADED_GALLERY_ASSET_REVIEW</t>
        </is>
      </c>
      <c r="I26" s="2" t="inlineStr">
        <is>
          <t>2026-09-08T09:23:07+07:00</t>
        </is>
      </c>
      <c r="J26" s="2" t="inlineStr">
        <is>
          <t>Low-angle mockup of silver truck bedding with soft, lightweight, durable and breathable icons.</t>
        </is>
      </c>
      <c r="K26" s="2" t="inlineStr">
        <is>
          <t>Low-angle mockup of silver truck bedding with soft, lightweight, durable and breathable icons.</t>
        </is>
      </c>
      <c r="L26" s="2" t="inlineStr">
        <is>
          <t>SET</t>
        </is>
      </c>
      <c r="M26" s="2" t="inlineStr">
        <is>
          <t>Silver truck bedding with feature icons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/>
      <c r="X26" s="2" t="inlineStr">
        <is>
          <t>D:\Shopify_Workspace\jeminise_seo\seo_runs\jeminise.com\20260906_234129\qa\20260908_010000\images\094_05.jpg; seo_runs\jeminise.com\20260906_234129\evidence\images\94_custom-patriotic-semi-truck-with-waving-american-flag-comforter-e01f2755b2-e01f2755b2\image_05_47548779757767.jpg; seo_runs\jeminise.com\20260906_234129\evidence\contact_sheets\94_custom-patriotic-semi-truck-with-waving-american-flag-comforter-e01f2755b2-e01f2755b2.jpg</t>
        </is>
      </c>
    </row>
    <row r="27" ht="66" customHeight="1">
      <c r="A27" s="3" t="inlineStr">
        <is>
          <t>jeminise.com+custom-patriotic-semi-truck-with-waving-american-flag-comforter-e01f2755b2-e01f2755b2</t>
        </is>
      </c>
      <c r="B27" s="3" t="inlineStr">
        <is>
          <t>img_ea4f7ea38551a42a</t>
        </is>
      </c>
      <c r="C27" s="4" t="inlineStr">
        <is>
          <t>https://cdn.shopify.com/s/files/1/0792/5098/1063/files/7c006bddc94d4763c71c8376307e195c1bbce73b8c802ec73ac5a8cef1291262_3e77a6fa-208f-43f0-9bfe-9283e787adc2.jpg?v=1785133055</t>
        </is>
      </c>
      <c r="D27" s="4" t="inlineStr">
        <is>
          <t>https://cdn.shopify.com/s/files/1/0792/5098/1063/files/7c006bddc94d4763c71c8376307e195c1bbce73b8c802ec73ac5a8cef1291262_3e77a6fa-208f-43f0-9bfe-9283e787adc2.jpg?v=1785133055</t>
        </is>
      </c>
      <c r="E27" s="3" t="inlineStr">
        <is>
          <t>47548779790535</t>
        </is>
      </c>
      <c r="F27" s="3" t="inlineStr"/>
      <c r="G27" s="3" t="inlineStr">
        <is>
          <t>GALLERY</t>
        </is>
      </c>
      <c r="H27" s="3" t="inlineStr">
        <is>
          <t>DIRECT_DOWNLOADED_GALLERY_ASSET_REVIEW</t>
        </is>
      </c>
      <c r="I27" s="3" t="inlineStr">
        <is>
          <t>2026-09-08T09:23:07+07:00</t>
        </is>
      </c>
      <c r="J27" s="3" t="inlineStr">
        <is>
          <t>Stress-free easy-care panel listing wrinkle-free, stain-proof, anti-pilling and wash durability.</t>
        </is>
      </c>
      <c r="K27" s="3" t="inlineStr">
        <is>
          <t>Stress-free easy-care panel listing wrinkle-free, stain-proof, anti-pilling and wash durability.</t>
        </is>
      </c>
      <c r="L27" s="3" t="inlineStr">
        <is>
          <t>SET</t>
        </is>
      </c>
      <c r="M27" s="3" t="inlineStr">
        <is>
          <t>Easy care feature panel for truck bedding for silver semi truck with waving American flag comforter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/>
      <c r="X27" s="3" t="inlineStr">
        <is>
          <t>D:\Shopify_Workspace\jeminise_seo\seo_runs\jeminise.com\20260906_234129\qa\20260908_010000\images\094_06.jpg; seo_runs\jeminise.com\20260906_234129\evidence\images\94_custom-patriotic-semi-truck-with-waving-american-flag-comforter-e01f2755b2-e01f2755b2\image_06_47548779790535.jpg; seo_runs\jeminise.com\20260906_234129\evidence\contact_sheets\94_custom-patriotic-semi-truck-with-waving-american-flag-comforter-e01f2755b2-e01f2755b2.jpg</t>
        </is>
      </c>
    </row>
    <row r="28" ht="66" customHeight="1">
      <c r="A28" s="2" t="inlineStr">
        <is>
          <t>jeminise.com+custom-patriotic-semi-truck-with-waving-american-flag-comforter-e01f2755b2-e01f2755b2</t>
        </is>
      </c>
      <c r="B28" s="2" t="inlineStr">
        <is>
          <t>img_afc55948c833623a</t>
        </is>
      </c>
      <c r="C28" s="4" t="inlineStr">
        <is>
          <t>https://cdn.shopify.com/s/files/1/0792/5098/1063/files/e5cad84edb4d7bf77c48fd7c8e52eb3b73f04eba8bf177671fd8a059c59422e8_1404e0c6-034c-4379-8c81-40648fd14b0d.jpg?v=1785133055</t>
        </is>
      </c>
      <c r="D28" s="4" t="inlineStr">
        <is>
          <t>https://cdn.shopify.com/s/files/1/0792/5098/1063/files/e5cad84edb4d7bf77c48fd7c8e52eb3b73f04eba8bf177671fd8a059c59422e8_1404e0c6-034c-4379-8c81-40648fd14b0d.jpg?v=1785133055</t>
        </is>
      </c>
      <c r="E28" s="2" t="inlineStr">
        <is>
          <t>47548779823303</t>
        </is>
      </c>
      <c r="F28" s="2" t="inlineStr"/>
      <c r="G28" s="2" t="inlineStr">
        <is>
          <t>GALLERY</t>
        </is>
      </c>
      <c r="H28" s="2" t="inlineStr">
        <is>
          <t>DIRECT_DOWNLOADED_GALLERY_ASSET_REVIEW</t>
        </is>
      </c>
      <c r="I28" s="2" t="inlineStr">
        <is>
          <t>2026-09-08T09:23:07+07:00</t>
        </is>
      </c>
      <c r="J28" s="2" t="inlineStr">
        <is>
          <t>Size dimension chart showing twin, full, queen and king bedding measurements.</t>
        </is>
      </c>
      <c r="K28" s="2" t="inlineStr">
        <is>
          <t>Size dimension chart showing twin, full, queen and king bedding measurements.</t>
        </is>
      </c>
      <c r="L28" s="2" t="inlineStr">
        <is>
          <t>SET</t>
        </is>
      </c>
      <c r="M28" s="2" t="inlineStr">
        <is>
          <t>Semi truck comforter size dimension chart for silver semi truck with waving American flag comforter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/>
      <c r="X28" s="2" t="inlineStr">
        <is>
          <t>D:\Shopify_Workspace\jeminise_seo\seo_runs\jeminise.com\20260906_234129\qa\20260908_010000\images\094_07.jpg; seo_runs\jeminise.com\20260906_234129\evidence\images\94_custom-patriotic-semi-truck-with-waving-american-flag-comforter-e01f2755b2-e01f2755b2\image_07_47548779823303.jpg; seo_runs\jeminise.com\20260906_234129\evidence\contact_sheets\94_custom-patriotic-semi-truck-with-waving-american-flag-comforter-e01f2755b2-e01f2755b2.jpg</t>
        </is>
      </c>
    </row>
    <row r="29" ht="66" customHeight="1">
      <c r="A29" s="3" t="inlineStr">
        <is>
          <t>jeminise.com+custom-patriotic-trucking-semi-truck-below-waving-american-flag-comforter-05c0cd8623-05c0cd8623</t>
        </is>
      </c>
      <c r="B29" s="3" t="inlineStr">
        <is>
          <t>img_14674a671bffe4bf</t>
        </is>
      </c>
      <c r="C29" s="4" t="inlineStr">
        <is>
          <t>https://cdn.shopify.com/s/files/1/0792/5098/1063/files/2ade86cd5ab3acf0f2e78f8ceab6ed08c167347de0f532b69f287d8356e45ef3.jpg?v=1785132905</t>
        </is>
      </c>
      <c r="D29" s="4" t="inlineStr">
        <is>
          <t>https://cdn.shopify.com/s/files/1/0792/5098/1063/files/2ade86cd5ab3acf0f2e78f8ceab6ed08c167347de0f532b69f287d8356e45ef3.jpg?v=1785132905</t>
        </is>
      </c>
      <c r="E29" s="3" t="inlineStr">
        <is>
          <t>47548751184071</t>
        </is>
      </c>
      <c r="F29" s="3" t="inlineStr"/>
      <c r="G29" s="3" t="inlineStr">
        <is>
          <t>GALLERY</t>
        </is>
      </c>
      <c r="H29" s="3" t="inlineStr">
        <is>
          <t>DIRECT_DOWNLOADED_GALLERY_ASSET_REVIEW</t>
        </is>
      </c>
      <c r="I29" s="3" t="inlineStr">
        <is>
          <t>2026-09-08T09:23:07+07:00</t>
        </is>
      </c>
      <c r="J29" s="3" t="inlineStr">
        <is>
          <t>Bedroom mockup of red semi truck comforter below waving American flag stripes and sunset sky.</t>
        </is>
      </c>
      <c r="K29" s="3" t="inlineStr">
        <is>
          <t>Bedroom mockup of red semi truck comforter below waving American flag stripes and sunset sky.</t>
        </is>
      </c>
      <c r="L29" s="3" t="inlineStr">
        <is>
          <t>SET</t>
        </is>
      </c>
      <c r="M29" s="3" t="inlineStr">
        <is>
          <t>Red semi truck sunset flag comforter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/>
      <c r="X29" s="3" t="inlineStr">
        <is>
          <t>D:\Shopify_Workspace\jeminise_seo\seo_runs\jeminise.com\20260906_234129\qa\20260908_010000\images\095_01.jpg; seo_runs\jeminise.com\20260906_234129\evidence\images\95_custom-patriotic-trucking-semi-truck-below-waving-american-flag-comforter-05c0cd8623-05c0cd8623\image_01_47548751184071.jpg; seo_runs\jeminise.com\20260906_234129\evidence\contact_sheets\95_custom-patriotic-trucking-semi-truck-below-waving-american-flag-comforter-05c0cd8623-05c0cd8623.jpg</t>
        </is>
      </c>
    </row>
    <row r="30" ht="66" customHeight="1">
      <c r="A30" s="2" t="inlineStr">
        <is>
          <t>jeminise.com+custom-patriotic-trucking-semi-truck-below-waving-american-flag-comforter-05c0cd8623-05c0cd8623</t>
        </is>
      </c>
      <c r="B30" s="2" t="inlineStr">
        <is>
          <t>img_fd7f873125ba6c30</t>
        </is>
      </c>
      <c r="C30" s="4" t="inlineStr">
        <is>
          <t>https://cdn.shopify.com/s/files/1/0792/5098/1063/files/b89468cedb96bb54d91fe1d0e886ebf9ead05659583ff26989e61e0189d5cab1.jpg?v=1785132905</t>
        </is>
      </c>
      <c r="D30" s="4" t="inlineStr">
        <is>
          <t>https://cdn.shopify.com/s/files/1/0792/5098/1063/files/b89468cedb96bb54d91fe1d0e886ebf9ead05659583ff26989e61e0189d5cab1.jpg?v=1785132905</t>
        </is>
      </c>
      <c r="E30" s="2" t="inlineStr">
        <is>
          <t>47548751216839</t>
        </is>
      </c>
      <c r="F30" s="2" t="inlineStr"/>
      <c r="G30" s="2" t="inlineStr">
        <is>
          <t>GALLERY</t>
        </is>
      </c>
      <c r="H30" s="2" t="inlineStr">
        <is>
          <t>DIRECT_DOWNLOADED_GALLERY_ASSET_REVIEW</t>
        </is>
      </c>
      <c r="I30" s="2" t="inlineStr">
        <is>
          <t>2026-09-08T09:23:07+07:00</t>
        </is>
      </c>
      <c r="J30" s="2" t="inlineStr">
        <is>
          <t>Bedroom mockup of red truck sunset comforter with matching pillow shams.</t>
        </is>
      </c>
      <c r="K30" s="2" t="inlineStr">
        <is>
          <t>Bedroom mockup of red truck sunset comforter with matching pillow shams.</t>
        </is>
      </c>
      <c r="L30" s="2" t="inlineStr">
        <is>
          <t>SET</t>
        </is>
      </c>
      <c r="M30" s="2" t="inlineStr">
        <is>
          <t>Red semi truck bedding set with shams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/>
      <c r="X30" s="2" t="inlineStr">
        <is>
          <t>D:\Shopify_Workspace\jeminise_seo\seo_runs\jeminise.com\20260906_234129\qa\20260908_010000\images\095_02.jpg; seo_runs\jeminise.com\20260906_234129\evidence\images\95_custom-patriotic-trucking-semi-truck-below-waving-american-flag-comforter-05c0cd8623-05c0cd8623\image_02_47548751216839.jpg; seo_runs\jeminise.com\20260906_234129\evidence\contact_sheets\95_custom-patriotic-trucking-semi-truck-below-waving-american-flag-comforter-05c0cd8623-05c0cd8623.jpg</t>
        </is>
      </c>
    </row>
    <row r="31" ht="66" customHeight="1">
      <c r="A31" s="3" t="inlineStr">
        <is>
          <t>jeminise.com+custom-patriotic-trucking-semi-truck-below-waving-american-flag-comforter-05c0cd8623-05c0cd8623</t>
        </is>
      </c>
      <c r="B31" s="3" t="inlineStr">
        <is>
          <t>img_518534a8a8f7a068</t>
        </is>
      </c>
      <c r="C31" s="4" t="inlineStr">
        <is>
          <t>https://cdn.shopify.com/s/files/1/0792/5098/1063/files/16f7293cbefa5743a35b2e6316a5a114e5c052d08151e367dafd26aa5e2e542b_551b2c3e-9c31-4c48-841f-26759e261b95.jpg?v=1785132905</t>
        </is>
      </c>
      <c r="D31" s="4" t="inlineStr">
        <is>
          <t>https://cdn.shopify.com/s/files/1/0792/5098/1063/files/16f7293cbefa5743a35b2e6316a5a114e5c052d08151e367dafd26aa5e2e542b_551b2c3e-9c31-4c48-841f-26759e261b95.jpg?v=1785132905</t>
        </is>
      </c>
      <c r="E31" s="3" t="inlineStr">
        <is>
          <t>47548751249607</t>
        </is>
      </c>
      <c r="F31" s="3" t="inlineStr"/>
      <c r="G31" s="3" t="inlineStr">
        <is>
          <t>GALLERY</t>
        </is>
      </c>
      <c r="H31" s="3" t="inlineStr">
        <is>
          <t>DIRECT_DOWNLOADED_GALLERY_ASSET_REVIEW</t>
        </is>
      </c>
      <c r="I31" s="3" t="inlineStr">
        <is>
          <t>2026-09-08T09:23:07+07:00</t>
        </is>
      </c>
      <c r="J31" s="3" t="inlineStr">
        <is>
          <t>Comparison panel explaining duvet cover set and comforter set options.</t>
        </is>
      </c>
      <c r="K31" s="3" t="inlineStr">
        <is>
          <t>Comparison panel explaining duvet cover set and comforter set options.</t>
        </is>
      </c>
      <c r="L31" s="3" t="inlineStr">
        <is>
          <t>SET</t>
        </is>
      </c>
      <c r="M31" s="3" t="inlineStr">
        <is>
          <t>Duvet cover and comforter set comparison panel for red semi truck below waving flag at sunset comforter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/>
      <c r="X31" s="3" t="inlineStr">
        <is>
          <t>D:\Shopify_Workspace\jeminise_seo\seo_runs\jeminise.com\20260906_234129\qa\20260908_010000\images\095_03.jpg; seo_runs\jeminise.com\20260906_234129\evidence\images\95_custom-patriotic-trucking-semi-truck-below-waving-american-flag-comforter-05c0cd8623-05c0cd8623\image_03_47548751249607.jpg; seo_runs\jeminise.com\20260906_234129\evidence\contact_sheets\95_custom-patriotic-trucking-semi-truck-below-waving-american-flag-comforter-05c0cd8623-05c0cd8623.jpg</t>
        </is>
      </c>
    </row>
    <row r="32" ht="66" customHeight="1">
      <c r="A32" s="2" t="inlineStr">
        <is>
          <t>jeminise.com+custom-patriotic-trucking-semi-truck-below-waving-american-flag-comforter-05c0cd8623-05c0cd8623</t>
        </is>
      </c>
      <c r="B32" s="2" t="inlineStr">
        <is>
          <t>img_87b41732dde5f39a</t>
        </is>
      </c>
      <c r="C32" s="4" t="inlineStr">
        <is>
          <t>https://cdn.shopify.com/s/files/1/0792/5098/1063/files/f6fcebd3a58660186982351598e9d169ef3cb952109cd4aea22a684f16f7b49c.jpg?v=1785132905</t>
        </is>
      </c>
      <c r="D32" s="4" t="inlineStr">
        <is>
          <t>https://cdn.shopify.com/s/files/1/0792/5098/1063/files/f6fcebd3a58660186982351598e9d169ef3cb952109cd4aea22a684f16f7b49c.jpg?v=1785132905</t>
        </is>
      </c>
      <c r="E32" s="2" t="inlineStr">
        <is>
          <t>47548751282375</t>
        </is>
      </c>
      <c r="F32" s="2" t="inlineStr"/>
      <c r="G32" s="2" t="inlineStr">
        <is>
          <t>GALLERY</t>
        </is>
      </c>
      <c r="H32" s="2" t="inlineStr">
        <is>
          <t>DIRECT_DOWNLOADED_GALLERY_ASSET_REVIEW</t>
        </is>
      </c>
      <c r="I32" s="2" t="inlineStr">
        <is>
          <t>2026-09-08T09:23:07+07:00</t>
        </is>
      </c>
      <c r="J32" s="2" t="inlineStr">
        <is>
          <t>Microfiber feature panel with red semi truck artwork and 3D printed pattern callouts.</t>
        </is>
      </c>
      <c r="K32" s="2" t="inlineStr">
        <is>
          <t>Microfiber feature panel with red semi truck artwork and 3D printed pattern callouts.</t>
        </is>
      </c>
      <c r="L32" s="2" t="inlineStr">
        <is>
          <t>SET</t>
        </is>
      </c>
      <c r="M32" s="2" t="inlineStr">
        <is>
          <t>Red semi truck comforter feature panel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/>
      <c r="X32" s="2" t="inlineStr">
        <is>
          <t>D:\Shopify_Workspace\jeminise_seo\seo_runs\jeminise.com\20260906_234129\qa\20260908_010000\images\095_04.jpg; seo_runs\jeminise.com\20260906_234129\evidence\images\95_custom-patriotic-trucking-semi-truck-below-waving-american-flag-comforter-05c0cd8623-05c0cd8623\image_04_47548751282375.jpg; seo_runs\jeminise.com\20260906_234129\evidence\contact_sheets\95_custom-patriotic-trucking-semi-truck-below-waving-american-flag-comforter-05c0cd8623-05c0cd8623.jpg</t>
        </is>
      </c>
    </row>
    <row r="33" ht="66" customHeight="1">
      <c r="A33" s="3" t="inlineStr">
        <is>
          <t>jeminise.com+custom-patriotic-trucking-semi-truck-below-waving-american-flag-comforter-05c0cd8623-05c0cd8623</t>
        </is>
      </c>
      <c r="B33" s="3" t="inlineStr">
        <is>
          <t>img_e30bc48ac4a9e6f4</t>
        </is>
      </c>
      <c r="C33" s="4" t="inlineStr">
        <is>
          <t>https://cdn.shopify.com/s/files/1/0792/5098/1063/files/5a83a3e1af522eb082357b9d776e7e1781c8a5745befab3f29080d8bb36511b9.jpg?v=1785132905</t>
        </is>
      </c>
      <c r="D33" s="4" t="inlineStr">
        <is>
          <t>https://cdn.shopify.com/s/files/1/0792/5098/1063/files/5a83a3e1af522eb082357b9d776e7e1781c8a5745befab3f29080d8bb36511b9.jpg?v=1785132905</t>
        </is>
      </c>
      <c r="E33" s="3" t="inlineStr">
        <is>
          <t>47548751315143</t>
        </is>
      </c>
      <c r="F33" s="3" t="inlineStr"/>
      <c r="G33" s="3" t="inlineStr">
        <is>
          <t>GALLERY</t>
        </is>
      </c>
      <c r="H33" s="3" t="inlineStr">
        <is>
          <t>DIRECT_DOWNLOADED_GALLERY_ASSET_REVIEW</t>
        </is>
      </c>
      <c r="I33" s="3" t="inlineStr">
        <is>
          <t>2026-09-08T09:23:07+07:00</t>
        </is>
      </c>
      <c r="J33" s="3" t="inlineStr">
        <is>
          <t>Low-angle mockup of red truck bedding with soft, lightweight, durable and breathable icons.</t>
        </is>
      </c>
      <c r="K33" s="3" t="inlineStr">
        <is>
          <t>Low-angle mockup of red truck bedding with soft, lightweight, durable and breathable icons.</t>
        </is>
      </c>
      <c r="L33" s="3" t="inlineStr">
        <is>
          <t>SET</t>
        </is>
      </c>
      <c r="M33" s="3" t="inlineStr">
        <is>
          <t>Red semi truck bedding with feature icons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/>
      <c r="X33" s="3" t="inlineStr">
        <is>
          <t>D:\Shopify_Workspace\jeminise_seo\seo_runs\jeminise.com\20260906_234129\qa\20260908_010000\images\095_05.jpg; seo_runs\jeminise.com\20260906_234129\evidence\images\95_custom-patriotic-trucking-semi-truck-below-waving-american-flag-comforter-05c0cd8623-05c0cd8623\image_05_47548751315143.jpg; seo_runs\jeminise.com\20260906_234129\evidence\contact_sheets\95_custom-patriotic-trucking-semi-truck-below-waving-american-flag-comforter-05c0cd8623-05c0cd8623.jpg</t>
        </is>
      </c>
    </row>
    <row r="34" ht="66" customHeight="1">
      <c r="A34" s="2" t="inlineStr">
        <is>
          <t>jeminise.com+custom-patriotic-trucking-semi-truck-below-waving-american-flag-comforter-05c0cd8623-05c0cd8623</t>
        </is>
      </c>
      <c r="B34" s="2" t="inlineStr">
        <is>
          <t>img_360302cb456a3b61</t>
        </is>
      </c>
      <c r="C34" s="4" t="inlineStr">
        <is>
          <t>https://cdn.shopify.com/s/files/1/0792/5098/1063/files/7c006bddc94d4763c71c8376307e195c1bbce73b8c802ec73ac5a8cef1291262_5f849c7c-73dd-47b1-9f2a-e49c4d79be90.jpg?v=1785132905</t>
        </is>
      </c>
      <c r="D34" s="4" t="inlineStr">
        <is>
          <t>https://cdn.shopify.com/s/files/1/0792/5098/1063/files/7c006bddc94d4763c71c8376307e195c1bbce73b8c802ec73ac5a8cef1291262_5f849c7c-73dd-47b1-9f2a-e49c4d79be90.jpg?v=1785132905</t>
        </is>
      </c>
      <c r="E34" s="2" t="inlineStr">
        <is>
          <t>47548751347911</t>
        </is>
      </c>
      <c r="F34" s="2" t="inlineStr"/>
      <c r="G34" s="2" t="inlineStr">
        <is>
          <t>GALLERY</t>
        </is>
      </c>
      <c r="H34" s="2" t="inlineStr">
        <is>
          <t>DIRECT_DOWNLOADED_GALLERY_ASSET_REVIEW</t>
        </is>
      </c>
      <c r="I34" s="2" t="inlineStr">
        <is>
          <t>2026-09-08T09:23:07+07:00</t>
        </is>
      </c>
      <c r="J34" s="2" t="inlineStr">
        <is>
          <t>Stress-free easy-care panel with stacked white bedding and care icons.</t>
        </is>
      </c>
      <c r="K34" s="2" t="inlineStr">
        <is>
          <t>Stress-free easy-care panel with stacked white bedding and care icons.</t>
        </is>
      </c>
      <c r="L34" s="2" t="inlineStr">
        <is>
          <t>SET</t>
        </is>
      </c>
      <c r="M34" s="2" t="inlineStr">
        <is>
          <t>Easy care feature panel for truck bedding for red semi truck below waving flag at sunset comforter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/>
      <c r="X34" s="2" t="inlineStr">
        <is>
          <t>D:\Shopify_Workspace\jeminise_seo\seo_runs\jeminise.com\20260906_234129\qa\20260908_010000\images\095_06.jpg; seo_runs\jeminise.com\20260906_234129\evidence\images\95_custom-patriotic-trucking-semi-truck-below-waving-american-flag-comforter-05c0cd8623-05c0cd8623\image_06_47548751347911.jpg; seo_runs\jeminise.com\20260906_234129\evidence\contact_sheets\95_custom-patriotic-trucking-semi-truck-below-waving-american-flag-comforter-05c0cd8623-05c0cd8623.jpg</t>
        </is>
      </c>
    </row>
    <row r="35" ht="66" customHeight="1">
      <c r="A35" s="3" t="inlineStr">
        <is>
          <t>jeminise.com+custom-patriotic-trucking-semi-truck-below-waving-american-flag-comforter-05c0cd8623-05c0cd8623</t>
        </is>
      </c>
      <c r="B35" s="3" t="inlineStr">
        <is>
          <t>img_2834cf5ef616fac9</t>
        </is>
      </c>
      <c r="C35" s="4" t="inlineStr">
        <is>
          <t>https://cdn.shopify.com/s/files/1/0792/5098/1063/files/e5cad84edb4d7bf77c48fd7c8e52eb3b73f04eba8bf177671fd8a059c59422e8_f2f4fdb3-ac8e-4de2-9067-ff7a83155a01.jpg?v=1785132905</t>
        </is>
      </c>
      <c r="D35" s="4" t="inlineStr">
        <is>
          <t>https://cdn.shopify.com/s/files/1/0792/5098/1063/files/e5cad84edb4d7bf77c48fd7c8e52eb3b73f04eba8bf177671fd8a059c59422e8_f2f4fdb3-ac8e-4de2-9067-ff7a83155a01.jpg?v=1785132905</t>
        </is>
      </c>
      <c r="E35" s="3" t="inlineStr">
        <is>
          <t>47548751380679</t>
        </is>
      </c>
      <c r="F35" s="3" t="inlineStr"/>
      <c r="G35" s="3" t="inlineStr">
        <is>
          <t>GALLERY</t>
        </is>
      </c>
      <c r="H35" s="3" t="inlineStr">
        <is>
          <t>DIRECT_DOWNLOADED_GALLERY_ASSET_REVIEW</t>
        </is>
      </c>
      <c r="I35" s="3" t="inlineStr">
        <is>
          <t>2026-09-08T09:23:07+07:00</t>
        </is>
      </c>
      <c r="J35" s="3" t="inlineStr">
        <is>
          <t>Size dimension chart showing twin, full, queen and king bedding measurements.</t>
        </is>
      </c>
      <c r="K35" s="3" t="inlineStr">
        <is>
          <t>Size dimension chart showing twin, full, queen and king bedding measurements.</t>
        </is>
      </c>
      <c r="L35" s="3" t="inlineStr">
        <is>
          <t>SET</t>
        </is>
      </c>
      <c r="M35" s="3" t="inlineStr">
        <is>
          <t>Semi truck comforter size dimension chart for red semi truck below waving flag at sunset comforter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/>
      <c r="X35" s="3" t="inlineStr">
        <is>
          <t>D:\Shopify_Workspace\jeminise_seo\seo_runs\jeminise.com\20260906_234129\qa\20260908_010000\images\095_07.jpg; seo_runs\jeminise.com\20260906_234129\evidence\images\95_custom-patriotic-trucking-semi-truck-below-waving-american-flag-comforter-05c0cd8623-05c0cd8623\image_07_47548751380679.jpg; seo_runs\jeminise.com\20260906_234129\evidence\contact_sheets\95_custom-patriotic-trucking-semi-truck-below-waving-american-flag-comforter-05c0cd8623-05c0cd8623.jpg</t>
        </is>
      </c>
    </row>
    <row r="36" ht="66" customHeight="1">
      <c r="A36" s="2" t="inlineStr">
        <is>
          <t>jeminise.com+custom-photo-quilt-bicycle-flowers-07e2c6fca1-07e2c6fca1</t>
        </is>
      </c>
      <c r="B36" s="2" t="inlineStr">
        <is>
          <t>img_5c1b08ae9b4c490f</t>
        </is>
      </c>
      <c r="C36" s="4" t="inlineStr">
        <is>
          <t>https://cdn.shopify.com/s/files/1/0792/5098/1063/files/d642de2fc85572ce4b3843164c4a712bf96852e46789ec09b81e744bdf123b1d.jpg?v=1785103353</t>
        </is>
      </c>
      <c r="D36" s="4" t="inlineStr">
        <is>
          <t>https://cdn.shopify.com/s/files/1/0792/5098/1063/files/d642de2fc85572ce4b3843164c4a712bf96852e46789ec09b81e744bdf123b1d.jpg?v=1785103353</t>
        </is>
      </c>
      <c r="E36" s="2" t="inlineStr">
        <is>
          <t>47540412809415</t>
        </is>
      </c>
      <c r="F36" s="2" t="inlineStr"/>
      <c r="G36" s="2" t="inlineStr">
        <is>
          <t>GALLERY</t>
        </is>
      </c>
      <c r="H36" s="2" t="inlineStr">
        <is>
          <t>DIRECT_DOWNLOADED_GALLERY_ASSET_REVIEW</t>
        </is>
      </c>
      <c r="I36" s="2" t="inlineStr">
        <is>
          <t>2026-09-08T09:23:07+07:00</t>
        </is>
      </c>
      <c r="J36" s="2" t="inlineStr">
        <is>
          <t>Flat quilt mockup with custom photo collage panels and central Your Text Here message area.</t>
        </is>
      </c>
      <c r="K36" s="2" t="inlineStr">
        <is>
          <t>Flat quilt mockup with custom photo collage panels and central Your Text Here message area.</t>
        </is>
      </c>
      <c r="L36" s="2" t="inlineStr">
        <is>
          <t>SET</t>
        </is>
      </c>
      <c r="M36" s="2" t="inlineStr">
        <is>
          <t>Custom photo collage quilt with Your Text Here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/>
      <c r="X36" s="2" t="inlineStr">
        <is>
          <t>D:\Shopify_Workspace\jeminise_seo\seo_runs\jeminise.com\20260906_234129\qa\20260908_010000\images\096_01.jpg; seo_runs\jeminise.com\20260906_234129\evidence\images\96_custom-photo-quilt-bicycle-flowers-07e2c6fca1-07e2c6fca1\image_01_47540412809415.jpg; seo_runs\jeminise.com\20260906_234129\evidence\contact_sheets\96_custom-photo-quilt-bicycle-flowers-07e2c6fca1-07e2c6fca1.jpg</t>
        </is>
      </c>
    </row>
    <row r="37" ht="66" customHeight="1">
      <c r="A37" s="3" t="inlineStr">
        <is>
          <t>jeminise.com+custom-photo-quilt-bicycle-flowers-07e2c6fca1-07e2c6fca1</t>
        </is>
      </c>
      <c r="B37" s="3" t="inlineStr">
        <is>
          <t>img_c4229b901d6ac98e</t>
        </is>
      </c>
      <c r="C37" s="4" t="inlineStr">
        <is>
          <t>https://cdn.shopify.com/s/files/1/0792/5098/1063/files/d975aa39cec62cd8b6ddaddd64e8dff1c023c7b13f31247696817b59abf5080a.jpg?v=1785103353</t>
        </is>
      </c>
      <c r="D37" s="4" t="inlineStr">
        <is>
          <t>https://cdn.shopify.com/s/files/1/0792/5098/1063/files/d975aa39cec62cd8b6ddaddd64e8dff1c023c7b13f31247696817b59abf5080a.jpg?v=1785103353</t>
        </is>
      </c>
      <c r="E37" s="3" t="inlineStr">
        <is>
          <t>47540412842183</t>
        </is>
      </c>
      <c r="F37" s="3" t="inlineStr"/>
      <c r="G37" s="3" t="inlineStr">
        <is>
          <t>GALLERY</t>
        </is>
      </c>
      <c r="H37" s="3" t="inlineStr">
        <is>
          <t>DIRECT_DOWNLOADED_GALLERY_ASSET_REVIEW</t>
        </is>
      </c>
      <c r="I37" s="3" t="inlineStr">
        <is>
          <t>2026-09-08T09:23:07+07:00</t>
        </is>
      </c>
      <c r="J37" s="3" t="inlineStr">
        <is>
          <t>Bedroom mockup of photo collage quilt set with matching shams and central text panel.</t>
        </is>
      </c>
      <c r="K37" s="3" t="inlineStr">
        <is>
          <t>Bedroom mockup of photo collage quilt set with matching shams and central text panel.</t>
        </is>
      </c>
      <c r="L37" s="3" t="inlineStr">
        <is>
          <t>SET</t>
        </is>
      </c>
      <c r="M37" s="3" t="inlineStr">
        <is>
          <t>Photo collage quilt bedding set with shams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/>
      <c r="X37" s="3" t="inlineStr">
        <is>
          <t>D:\Shopify_Workspace\jeminise_seo\seo_runs\jeminise.com\20260906_234129\qa\20260908_010000\images\096_02.jpg; seo_runs\jeminise.com\20260906_234129\evidence\images\96_custom-photo-quilt-bicycle-flowers-07e2c6fca1-07e2c6fca1\image_02_47540412842183.jpg; seo_runs\jeminise.com\20260906_234129\evidence\contact_sheets\96_custom-photo-quilt-bicycle-flowers-07e2c6fca1-07e2c6fca1.jpg</t>
        </is>
      </c>
    </row>
    <row r="38" ht="66" customHeight="1">
      <c r="A38" s="2" t="inlineStr">
        <is>
          <t>jeminise.com+custom-photo-quilt-bicycle-flowers-07e2c6fca1-07e2c6fca1</t>
        </is>
      </c>
      <c r="B38" s="2" t="inlineStr">
        <is>
          <t>img_836c1de634b61ed4</t>
        </is>
      </c>
      <c r="C38" s="4" t="inlineStr">
        <is>
          <t>https://cdn.shopify.com/s/files/1/0792/5098/1063/files/3ce7f4c9f185774a2e416704ca3c2e69b2c88c7bf8f51a22e8d0b8821161561e.jpg?v=1785103353</t>
        </is>
      </c>
      <c r="D38" s="4" t="inlineStr">
        <is>
          <t>https://cdn.shopify.com/s/files/1/0792/5098/1063/files/3ce7f4c9f185774a2e416704ca3c2e69b2c88c7bf8f51a22e8d0b8821161561e.jpg?v=1785103353</t>
        </is>
      </c>
      <c r="E38" s="2" t="inlineStr">
        <is>
          <t>47540412874951</t>
        </is>
      </c>
      <c r="F38" s="2" t="inlineStr"/>
      <c r="G38" s="2" t="inlineStr">
        <is>
          <t>GALLERY</t>
        </is>
      </c>
      <c r="H38" s="2" t="inlineStr">
        <is>
          <t>DIRECT_DOWNLOADED_GALLERY_ASSET_REVIEW</t>
        </is>
      </c>
      <c r="I38" s="2" t="inlineStr">
        <is>
          <t>2026-09-08T09:23:07+07:00</t>
        </is>
      </c>
      <c r="J38" s="2" t="inlineStr">
        <is>
          <t>Bedspread features panel showing woven top, microfiber filling, back microfiber and care icons.</t>
        </is>
      </c>
      <c r="K38" s="2" t="inlineStr">
        <is>
          <t>Bedspread features panel showing woven top, microfiber filling, back microfiber and care icons.</t>
        </is>
      </c>
      <c r="L38" s="2" t="inlineStr">
        <is>
          <t>SET</t>
        </is>
      </c>
      <c r="M38" s="2" t="inlineStr">
        <is>
          <t>Photo quilt bedspread features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/>
      <c r="X38" s="2" t="inlineStr">
        <is>
          <t>D:\Shopify_Workspace\jeminise_seo\seo_runs\jeminise.com\20260906_234129\qa\20260908_010000\images\096_03.jpg; seo_runs\jeminise.com\20260906_234129\evidence\images\96_custom-photo-quilt-bicycle-flowers-07e2c6fca1-07e2c6fca1\image_03_47540412874951.jpg; seo_runs\jeminise.com\20260906_234129\evidence\contact_sheets\96_custom-photo-quilt-bicycle-flowers-07e2c6fca1-07e2c6fca1.jpg</t>
        </is>
      </c>
    </row>
    <row r="39" ht="66" customHeight="1">
      <c r="A39" s="3" t="inlineStr">
        <is>
          <t>jeminise.com+custom-photo-quilt-bicycle-flowers-07e2c6fca1-07e2c6fca1</t>
        </is>
      </c>
      <c r="B39" s="3" t="inlineStr">
        <is>
          <t>img_46ee7c5ed42fa98e</t>
        </is>
      </c>
      <c r="C39" s="4" t="inlineStr">
        <is>
          <t>https://cdn.shopify.com/s/files/1/0792/5098/1063/files/f6a3692d3aa189160ac42ddbe8ec414e71ba966437ecc51a73f56f3b992d89ce.jpg?v=1785103353</t>
        </is>
      </c>
      <c r="D39" s="4" t="inlineStr">
        <is>
          <t>https://cdn.shopify.com/s/files/1/0792/5098/1063/files/f6a3692d3aa189160ac42ddbe8ec414e71ba966437ecc51a73f56f3b992d89ce.jpg?v=1785103353</t>
        </is>
      </c>
      <c r="E39" s="3" t="inlineStr">
        <is>
          <t>47540412907719</t>
        </is>
      </c>
      <c r="F39" s="3" t="inlineStr"/>
      <c r="G39" s="3" t="inlineStr">
        <is>
          <t>GALLERY</t>
        </is>
      </c>
      <c r="H39" s="3" t="inlineStr">
        <is>
          <t>DIRECT_DOWNLOADED_GALLERY_ASSET_REVIEW</t>
        </is>
      </c>
      <c r="I39" s="3" t="inlineStr">
        <is>
          <t>2026-09-08T09:23:07+07:00</t>
        </is>
      </c>
      <c r="J39" s="3" t="inlineStr">
        <is>
          <t>Bedroom lifestyle mockup of photo collage quilt with premium printed craft note.</t>
        </is>
      </c>
      <c r="K39" s="3" t="inlineStr">
        <is>
          <t>Bedroom lifestyle mockup of photo collage quilt with premium printed craft note.</t>
        </is>
      </c>
      <c r="L39" s="3" t="inlineStr">
        <is>
          <t>SET</t>
        </is>
      </c>
      <c r="M39" s="3" t="inlineStr">
        <is>
          <t>Photo collage quilt bedroom lifestyle mockup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/>
      <c r="X39" s="3" t="inlineStr">
        <is>
          <t>D:\Shopify_Workspace\jeminise_seo\seo_runs\jeminise.com\20260906_234129\qa\20260908_010000\images\096_04.jpg; seo_runs\jeminise.com\20260906_234129\evidence\images\96_custom-photo-quilt-bicycle-flowers-07e2c6fca1-07e2c6fca1\image_04_47540412907719.jpg; seo_runs\jeminise.com\20260906_234129\evidence\contact_sheets\96_custom-photo-quilt-bicycle-flowers-07e2c6fca1-07e2c6fca1.jpg</t>
        </is>
      </c>
    </row>
    <row r="40" ht="66" customHeight="1">
      <c r="A40" s="2" t="inlineStr">
        <is>
          <t>jeminise.com+custom-photo-quilt-bicycle-flowers-07e2c6fca1-07e2c6fca1</t>
        </is>
      </c>
      <c r="B40" s="2" t="inlineStr">
        <is>
          <t>img_e3da71d1efa5ba58</t>
        </is>
      </c>
      <c r="C40" s="4" t="inlineStr">
        <is>
          <t>https://cdn.shopify.com/s/files/1/0792/5098/1063/files/f693918bd03ec5b2fabef416db50f85062ce3c5c1497878e0b5db3f80049abfe.jpg?v=1785103353</t>
        </is>
      </c>
      <c r="D40" s="4" t="inlineStr">
        <is>
          <t>https://cdn.shopify.com/s/files/1/0792/5098/1063/files/f693918bd03ec5b2fabef416db50f85062ce3c5c1497878e0b5db3f80049abfe.jpg?v=1785103353</t>
        </is>
      </c>
      <c r="E40" s="2" t="inlineStr">
        <is>
          <t>47540412940487</t>
        </is>
      </c>
      <c r="F40" s="2" t="inlineStr"/>
      <c r="G40" s="2" t="inlineStr">
        <is>
          <t>GALLERY</t>
        </is>
      </c>
      <c r="H40" s="2" t="inlineStr">
        <is>
          <t>DIRECT_DOWNLOADED_GALLERY_ASSET_REVIEW</t>
        </is>
      </c>
      <c r="I40" s="2" t="inlineStr">
        <is>
          <t>2026-09-08T09:23:07+07:00</t>
        </is>
      </c>
      <c r="J40" s="2" t="inlineStr">
        <is>
          <t>Close-up bedding mockup with lightweight, soft, anti-pill, anti-static icons and optional two pillow shams.</t>
        </is>
      </c>
      <c r="K40" s="2" t="inlineStr">
        <is>
          <t>Close-up bedding mockup with lightweight, soft, anti-pill, anti-static icons and optional two pillow shams.</t>
        </is>
      </c>
      <c r="L40" s="2" t="inlineStr">
        <is>
          <t>SET</t>
        </is>
      </c>
      <c r="M40" s="2" t="inlineStr">
        <is>
          <t>Photo collage quilt with optional pillow shams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/>
      <c r="X40" s="2" t="inlineStr">
        <is>
          <t>D:\Shopify_Workspace\jeminise_seo\seo_runs\jeminise.com\20260906_234129\qa\20260908_010000\images\096_05.jpg; seo_runs\jeminise.com\20260906_234129\evidence\images\96_custom-photo-quilt-bicycle-flowers-07e2c6fca1-07e2c6fca1\image_05_47540412940487.jpg; seo_runs\jeminise.com\20260906_234129\evidence\contact_sheets\96_custom-photo-quilt-bicycle-flowers-07e2c6fca1-07e2c6fca1.jpg</t>
        </is>
      </c>
    </row>
    <row r="41" ht="66" customHeight="1">
      <c r="A41" s="3" t="inlineStr">
        <is>
          <t>jeminise.com+custom-photo-quilt-bicycle-flowers-07e2c6fca1-07e2c6fca1</t>
        </is>
      </c>
      <c r="B41" s="3" t="inlineStr">
        <is>
          <t>img_ac74761998490eda</t>
        </is>
      </c>
      <c r="C41" s="4" t="inlineStr">
        <is>
          <t>https://cdn.shopify.com/s/files/1/0792/5098/1063/files/12e0170316324347b1c2fc3bb335cf00c3e4d5ebac978b565d2bca74e67e4aeb.jpg?v=1785103353</t>
        </is>
      </c>
      <c r="D41" s="4" t="inlineStr">
        <is>
          <t>https://cdn.shopify.com/s/files/1/0792/5098/1063/files/12e0170316324347b1c2fc3bb335cf00c3e4d5ebac978b565d2bca74e67e4aeb.jpg?v=1785103353</t>
        </is>
      </c>
      <c r="E41" s="3" t="inlineStr">
        <is>
          <t>47540412973255</t>
        </is>
      </c>
      <c r="F41" s="3" t="inlineStr"/>
      <c r="G41" s="3" t="inlineStr">
        <is>
          <t>GALLERY</t>
        </is>
      </c>
      <c r="H41" s="3" t="inlineStr">
        <is>
          <t>DIRECT_DOWNLOADED_GALLERY_ASSET_REVIEW</t>
        </is>
      </c>
      <c r="I41" s="3" t="inlineStr">
        <is>
          <t>2026-09-08T09:23:07+07:00</t>
        </is>
      </c>
      <c r="J41" s="3" t="inlineStr">
        <is>
          <t>High-quality fabric panel showing quilt layers and bedding use cases.</t>
        </is>
      </c>
      <c r="K41" s="3" t="inlineStr">
        <is>
          <t>High-quality fabric panel showing quilt layers and bedding use cases.</t>
        </is>
      </c>
      <c r="L41" s="3" t="inlineStr">
        <is>
          <t>SET</t>
        </is>
      </c>
      <c r="M41" s="3" t="inlineStr">
        <is>
          <t>Photo quilt fabric and use case feature panel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/>
      <c r="X41" s="3" t="inlineStr">
        <is>
          <t>D:\Shopify_Workspace\jeminise_seo\seo_runs\jeminise.com\20260906_234129\qa\20260908_010000\images\096_06.jpg; seo_runs\jeminise.com\20260906_234129\evidence\images\96_custom-photo-quilt-bicycle-flowers-07e2c6fca1-07e2c6fca1\image_06_47540412973255.jpg; seo_runs\jeminise.com\20260906_234129\evidence\contact_sheets\96_custom-photo-quilt-bicycle-flowers-07e2c6fca1-07e2c6fca1.jpg</t>
        </is>
      </c>
    </row>
    <row r="42" ht="66" customHeight="1">
      <c r="A42" s="2" t="inlineStr">
        <is>
          <t>jeminise.com+custom-photo-quilt-bicycle-flowers-07e2c6fca1-07e2c6fca1</t>
        </is>
      </c>
      <c r="B42" s="2" t="inlineStr">
        <is>
          <t>img_4aa587b6188e4a93</t>
        </is>
      </c>
      <c r="C42" s="4" t="inlineStr">
        <is>
          <t>https://cdn.shopify.com/s/files/1/0792/5098/1063/files/7ff043f609e6b3494b859585c800681b91bfdbcca52d1a21fbb5594379cbe34a.jpg?v=1785103353</t>
        </is>
      </c>
      <c r="D42" s="4" t="inlineStr">
        <is>
          <t>https://cdn.shopify.com/s/files/1/0792/5098/1063/files/7ff043f609e6b3494b859585c800681b91bfdbcca52d1a21fbb5594379cbe34a.jpg?v=1785103353</t>
        </is>
      </c>
      <c r="E42" s="2" t="inlineStr">
        <is>
          <t>47540413006023</t>
        </is>
      </c>
      <c r="F42" s="2" t="inlineStr"/>
      <c r="G42" s="2" t="inlineStr">
        <is>
          <t>GALLERY</t>
        </is>
      </c>
      <c r="H42" s="2" t="inlineStr">
        <is>
          <t>DIRECT_DOWNLOADED_GALLERY_ASSET_REVIEW</t>
        </is>
      </c>
      <c r="I42" s="2" t="inlineStr">
        <is>
          <t>2026-09-08T09:23:07+07:00</t>
        </is>
      </c>
      <c r="J42" s="2" t="inlineStr">
        <is>
          <t>Premium quilt set size chart with throw, twin, full, queen and king measurements.</t>
        </is>
      </c>
      <c r="K42" s="2" t="inlineStr">
        <is>
          <t>Premium quilt set size chart with throw, twin, full, queen and king measurements.</t>
        </is>
      </c>
      <c r="L42" s="2" t="inlineStr">
        <is>
          <t>SET</t>
        </is>
      </c>
      <c r="M42" s="2" t="inlineStr">
        <is>
          <t>Photo collage quilt set size chart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/>
      <c r="X42" s="2" t="inlineStr">
        <is>
          <t>D:\Shopify_Workspace\jeminise_seo\seo_runs\jeminise.com\20260906_234129\qa\20260908_010000\images\096_07.jpg; seo_runs\jeminise.com\20260906_234129\evidence\images\96_custom-photo-quilt-bicycle-flowers-07e2c6fca1-07e2c6fca1\image_07_47540413006023.jpg; seo_runs\jeminise.com\20260906_234129\evidence\contact_sheets\96_custom-photo-quilt-bicycle-flowers-07e2c6fca1-07e2c6fca1.jpg</t>
        </is>
      </c>
    </row>
    <row r="43" ht="66" customHeight="1">
      <c r="A43" s="3" t="inlineStr">
        <is>
          <t>jeminise.com+custom-purple-butterflies-text-blanket-machine-washable-d7b</t>
        </is>
      </c>
      <c r="B43" s="3" t="inlineStr">
        <is>
          <t>img_3c422d061c6add4f</t>
        </is>
      </c>
      <c r="C43" s="4" t="inlineStr">
        <is>
          <t>https://cdn.shopify.com/s/files/1/0792/5098/1063/files/b6cd34a72d72c728bb3299f3d4da788ca922c473d8c779016ce727043a3c3398.jpg?v=1786596968</t>
        </is>
      </c>
      <c r="D43" s="4" t="inlineStr">
        <is>
          <t>https://cdn.shopify.com/s/files/1/0792/5098/1063/files/b6cd34a72d72c728bb3299f3d4da788ca922c473d8c779016ce727043a3c3398.jpg?v=1786596968</t>
        </is>
      </c>
      <c r="E43" s="3" t="inlineStr">
        <is>
          <t>47830612836551</t>
        </is>
      </c>
      <c r="F43" s="3" t="inlineStr"/>
      <c r="G43" s="3" t="inlineStr">
        <is>
          <t>GALLERY</t>
        </is>
      </c>
      <c r="H43" s="3" t="inlineStr">
        <is>
          <t>DIRECT_DOWNLOADED_GALLERY_ASSET_REVIEW</t>
        </is>
      </c>
      <c r="I43" s="3" t="inlineStr">
        <is>
          <t>2026-09-08T09:23:07+07:00</t>
        </is>
      </c>
      <c r="J43" s="3" t="inlineStr">
        <is>
          <t>Flat blanket mockup with purple God Says I Am text, Elizabeth name and butterfly artwork.</t>
        </is>
      </c>
      <c r="K43" s="3" t="inlineStr">
        <is>
          <t>Flat blanket mockup with purple God Says I Am text, Elizabeth name and butterfly artwork.</t>
        </is>
      </c>
      <c r="L43" s="3" t="inlineStr">
        <is>
          <t>SET</t>
        </is>
      </c>
      <c r="M43" s="3" t="inlineStr">
        <is>
          <t>God Says I Am butterfly blanket with Elizabeth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/>
      <c r="X43" s="3" t="inlineStr">
        <is>
          <t>D:\Shopify_Workspace\jeminise_seo\seo_runs\jeminise.com\20260906_234129\qa\20260908_010000\images\097_01.jpg; seo_runs\jeminise.com\20260906_234129\evidence\images\97_custom-purple-butterflies-text-blanket-machine-washable-d7b\image_01_47830612836551.jpg; seo_runs\jeminise.com\20260906_234129\evidence\contact_sheets\97_custom-purple-butterflies-text-blanket-machine-washable-d7b.jpg</t>
        </is>
      </c>
    </row>
    <row r="44" ht="66" customHeight="1">
      <c r="A44" s="2" t="inlineStr">
        <is>
          <t>jeminise.com+custom-purple-butterflies-text-blanket-machine-washable-d7b</t>
        </is>
      </c>
      <c r="B44" s="2" t="inlineStr">
        <is>
          <t>img_b55e2210c648da93</t>
        </is>
      </c>
      <c r="C44" s="4" t="inlineStr">
        <is>
          <t>https://cdn.shopify.com/s/files/1/0792/5098/1063/files/bba2dd6433689526b2335b7c1e552959c8f06e353451795b0d72af4bba89e36d.jpg?v=1786596968</t>
        </is>
      </c>
      <c r="D44" s="4" t="inlineStr">
        <is>
          <t>https://cdn.shopify.com/s/files/1/0792/5098/1063/files/bba2dd6433689526b2335b7c1e552959c8f06e353451795b0d72af4bba89e36d.jpg?v=1786596968</t>
        </is>
      </c>
      <c r="E44" s="2" t="inlineStr">
        <is>
          <t>47830612869319</t>
        </is>
      </c>
      <c r="F44" s="2" t="inlineStr"/>
      <c r="G44" s="2" t="inlineStr">
        <is>
          <t>GALLERY</t>
        </is>
      </c>
      <c r="H44" s="2" t="inlineStr">
        <is>
          <t>DIRECT_DOWNLOADED_GALLERY_ASSET_REVIEW</t>
        </is>
      </c>
      <c r="I44" s="2" t="inlineStr">
        <is>
          <t>2026-09-08T09:23:07+07:00</t>
        </is>
      </c>
      <c r="J44" s="2" t="inlineStr">
        <is>
          <t>Lifestyle mockup of a person holding the purple God Says I Am Elizabeth butterfly blanket.</t>
        </is>
      </c>
      <c r="K44" s="2" t="inlineStr">
        <is>
          <t>Lifestyle mockup of a person holding the purple God Says I Am Elizabeth butterfly blanket.</t>
        </is>
      </c>
      <c r="L44" s="2" t="inlineStr">
        <is>
          <t>SET</t>
        </is>
      </c>
      <c r="M44" s="2" t="inlineStr">
        <is>
          <t>Elizabeth God Says I Am blanket held up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/>
      <c r="X44" s="2" t="inlineStr">
        <is>
          <t>D:\Shopify_Workspace\jeminise_seo\seo_runs\jeminise.com\20260906_234129\qa\20260908_010000\images\097_02.jpg; seo_runs\jeminise.com\20260906_234129\evidence\images\97_custom-purple-butterflies-text-blanket-machine-washable-d7b\image_02_47830612869319.jpg; seo_runs\jeminise.com\20260906_234129\evidence\contact_sheets\97_custom-purple-butterflies-text-blanket-machine-washable-d7b.jpg</t>
        </is>
      </c>
    </row>
    <row r="45" ht="66" customHeight="1">
      <c r="A45" s="3" t="inlineStr">
        <is>
          <t>jeminise.com+custom-purple-butterflies-text-blanket-machine-washable-d7b</t>
        </is>
      </c>
      <c r="B45" s="3" t="inlineStr">
        <is>
          <t>img_4b6386abc5f04312</t>
        </is>
      </c>
      <c r="C45" s="4" t="inlineStr">
        <is>
          <t>https://cdn.shopify.com/s/files/1/0792/5098/1063/files/133acefcd1f5db8f54935b64a6c42994b539d10e3484cf00c039105f98628fbb.jpg?v=1786596968</t>
        </is>
      </c>
      <c r="D45" s="4" t="inlineStr">
        <is>
          <t>https://cdn.shopify.com/s/files/1/0792/5098/1063/files/133acefcd1f5db8f54935b64a6c42994b539d10e3484cf00c039105f98628fbb.jpg?v=1786596968</t>
        </is>
      </c>
      <c r="E45" s="3" t="inlineStr">
        <is>
          <t>47830612902087</t>
        </is>
      </c>
      <c r="F45" s="3" t="inlineStr"/>
      <c r="G45" s="3" t="inlineStr">
        <is>
          <t>GALLERY</t>
        </is>
      </c>
      <c r="H45" s="3" t="inlineStr">
        <is>
          <t>DIRECT_DOWNLOADED_GALLERY_ASSET_REVIEW</t>
        </is>
      </c>
      <c r="I45" s="3" t="inlineStr">
        <is>
          <t>2026-09-08T09:23:07+07:00</t>
        </is>
      </c>
      <c r="J45" s="3" t="inlineStr">
        <is>
          <t>Feature panel showing fluffy soft layers, high quality stitching, no pilling, no shedding and smooth texture.</t>
        </is>
      </c>
      <c r="K45" s="3" t="inlineStr">
        <is>
          <t>Feature panel showing fluffy soft layers, high quality stitching, no pilling, no shedding and smooth texture.</t>
        </is>
      </c>
      <c r="L45" s="3" t="inlineStr">
        <is>
          <t>SET</t>
        </is>
      </c>
      <c r="M45" s="3" t="inlineStr">
        <is>
          <t>God Says I Am blanket feature panel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/>
      <c r="X45" s="3" t="inlineStr">
        <is>
          <t>D:\Shopify_Workspace\jeminise_seo\seo_runs\jeminise.com\20260906_234129\qa\20260908_010000\images\097_03.jpg; seo_runs\jeminise.com\20260906_234129\evidence\images\97_custom-purple-butterflies-text-blanket-machine-washable-d7b\image_03_47830612902087.jpg; seo_runs\jeminise.com\20260906_234129\evidence\contact_sheets\97_custom-purple-butterflies-text-blanket-machine-washable-d7b.jpg</t>
        </is>
      </c>
    </row>
    <row r="46" ht="66" customHeight="1">
      <c r="A46" s="2" t="inlineStr">
        <is>
          <t>jeminise.com+custom-purple-butterflies-text-blanket-machine-washable-d7b</t>
        </is>
      </c>
      <c r="B46" s="2" t="inlineStr">
        <is>
          <t>img_10e2828086e0a447</t>
        </is>
      </c>
      <c r="C46" s="4" t="inlineStr">
        <is>
          <t>https://cdn.shopify.com/s/files/1/0792/5098/1063/files/e9946aac9a838881ab8553d9e775069d9ce81cd97c4b10753ddad9a7d2955cea.jpg?v=1786596968</t>
        </is>
      </c>
      <c r="D46" s="4" t="inlineStr">
        <is>
          <t>https://cdn.shopify.com/s/files/1/0792/5098/1063/files/e9946aac9a838881ab8553d9e775069d9ce81cd97c4b10753ddad9a7d2955cea.jpg?v=1786596968</t>
        </is>
      </c>
      <c r="E46" s="2" t="inlineStr">
        <is>
          <t>47830612934855</t>
        </is>
      </c>
      <c r="F46" s="2" t="inlineStr"/>
      <c r="G46" s="2" t="inlineStr">
        <is>
          <t>GALLERY</t>
        </is>
      </c>
      <c r="H46" s="2" t="inlineStr">
        <is>
          <t>DIRECT_DOWNLOADED_GALLERY_ASSET_REVIEW</t>
        </is>
      </c>
      <c r="I46" s="2" t="inlineStr">
        <is>
          <t>2026-09-08T09:23:07+07:00</t>
        </is>
      </c>
      <c r="J46" s="2" t="inlineStr">
        <is>
          <t>Collage of fabric folds, butterfly artwork, affirmation blocks and white fleece texture.</t>
        </is>
      </c>
      <c r="K46" s="2" t="inlineStr">
        <is>
          <t>Collage of fabric folds, butterfly artwork, affirmation blocks and white fleece texture.</t>
        </is>
      </c>
      <c r="L46" s="2" t="inlineStr">
        <is>
          <t>SET</t>
        </is>
      </c>
      <c r="M46" s="2" t="inlineStr">
        <is>
          <t>Close-up collage for God Says I Am blanket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/>
      <c r="X46" s="2" t="inlineStr">
        <is>
          <t>D:\Shopify_Workspace\jeminise_seo\seo_runs\jeminise.com\20260906_234129\qa\20260908_010000\images\097_04.jpg; seo_runs\jeminise.com\20260906_234129\evidence\images\97_custom-purple-butterflies-text-blanket-machine-washable-d7b\image_04_47830612934855.jpg; seo_runs\jeminise.com\20260906_234129\evidence\contact_sheets\97_custom-purple-butterflies-text-blanket-machine-washable-d7b.jpg</t>
        </is>
      </c>
    </row>
    <row r="47" ht="66" customHeight="1">
      <c r="A47" s="3" t="inlineStr">
        <is>
          <t>jeminise.com+custom-purple-butterflies-text-blanket-machine-washable-d7b</t>
        </is>
      </c>
      <c r="B47" s="3" t="inlineStr">
        <is>
          <t>img_c374bf0d6a3932c2</t>
        </is>
      </c>
      <c r="C47" s="4" t="inlineStr">
        <is>
          <t>https://cdn.shopify.com/s/files/1/0792/5098/1063/files/20c6ad08b0330a12b5dff7193937c39d9013de1876e587f8a42fe6fbd1756d6b.jpg?v=1786596968</t>
        </is>
      </c>
      <c r="D47" s="4" t="inlineStr">
        <is>
          <t>https://cdn.shopify.com/s/files/1/0792/5098/1063/files/20c6ad08b0330a12b5dff7193937c39d9013de1876e587f8a42fe6fbd1756d6b.jpg?v=1786596968</t>
        </is>
      </c>
      <c r="E47" s="3" t="inlineStr">
        <is>
          <t>47830612967623</t>
        </is>
      </c>
      <c r="F47" s="3" t="inlineStr"/>
      <c r="G47" s="3" t="inlineStr">
        <is>
          <t>GALLERY</t>
        </is>
      </c>
      <c r="H47" s="3" t="inlineStr">
        <is>
          <t>DIRECT_DOWNLOADED_GALLERY_ASSET_REVIEW</t>
        </is>
      </c>
      <c r="I47" s="3" t="inlineStr">
        <is>
          <t>2026-09-08T09:23:07+07:00</t>
        </is>
      </c>
      <c r="J47" s="3" t="inlineStr">
        <is>
          <t>Sofa mockup of Elizabeth God Says I Am blanket draped over a tan couch.</t>
        </is>
      </c>
      <c r="K47" s="3" t="inlineStr">
        <is>
          <t>Sofa mockup of Elizabeth God Says I Am blanket draped over a tan couch.</t>
        </is>
      </c>
      <c r="L47" s="3" t="inlineStr">
        <is>
          <t>SET</t>
        </is>
      </c>
      <c r="M47" s="3" t="inlineStr">
        <is>
          <t>Elizabeth butterfly affirmation blanket on sofa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/>
      <c r="X47" s="3" t="inlineStr">
        <is>
          <t>D:\Shopify_Workspace\jeminise_seo\seo_runs\jeminise.com\20260906_234129\qa\20260908_010000\images\097_05.jpg; seo_runs\jeminise.com\20260906_234129\evidence\images\97_custom-purple-butterflies-text-blanket-machine-washable-d7b\image_05_47830612967623.jpg; seo_runs\jeminise.com\20260906_234129\evidence\contact_sheets\97_custom-purple-butterflies-text-blanket-machine-washable-d7b.jpg</t>
        </is>
      </c>
    </row>
    <row r="48" ht="66" customHeight="1">
      <c r="A48" s="2" t="inlineStr">
        <is>
          <t>jeminise.com+custom-purple-butterflies-text-blanket-machine-washable-d7b</t>
        </is>
      </c>
      <c r="B48" s="2" t="inlineStr">
        <is>
          <t>img_5d92b9c4b4d7600c</t>
        </is>
      </c>
      <c r="C48" s="4" t="inlineStr">
        <is>
          <t>https://cdn.shopify.com/s/files/1/0792/5098/1063/files/cf5bad09c12126df5f9ce380889c2f8348a1b05126dff0ddd0904f04c00722cb.jpg?v=1786596968</t>
        </is>
      </c>
      <c r="D48" s="4" t="inlineStr">
        <is>
          <t>https://cdn.shopify.com/s/files/1/0792/5098/1063/files/cf5bad09c12126df5f9ce380889c2f8348a1b05126dff0ddd0904f04c00722cb.jpg?v=1786596968</t>
        </is>
      </c>
      <c r="E48" s="2" t="inlineStr">
        <is>
          <t>47830613000391</t>
        </is>
      </c>
      <c r="F48" s="2" t="inlineStr"/>
      <c r="G48" s="2" t="inlineStr">
        <is>
          <t>GALLERY</t>
        </is>
      </c>
      <c r="H48" s="2" t="inlineStr">
        <is>
          <t>DIRECT_DOWNLOADED_GALLERY_ASSET_REVIEW</t>
        </is>
      </c>
      <c r="I48" s="2" t="inlineStr">
        <is>
          <t>2026-09-08T09:23:07+07:00</t>
        </is>
      </c>
      <c r="J48" s="2" t="inlineStr">
        <is>
          <t>Bench mockup of the purple God Says I Am blanket with butterfly and affirmation text blocks.</t>
        </is>
      </c>
      <c r="K48" s="2" t="inlineStr">
        <is>
          <t>Bench mockup of the purple God Says I Am blanket with butterfly and affirmation text blocks.</t>
        </is>
      </c>
      <c r="L48" s="2" t="inlineStr">
        <is>
          <t>SET</t>
        </is>
      </c>
      <c r="M48" s="2" t="inlineStr">
        <is>
          <t>Purple God Says I Am blanket on bench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/>
      <c r="X48" s="2" t="inlineStr">
        <is>
          <t>D:\Shopify_Workspace\jeminise_seo\seo_runs\jeminise.com\20260906_234129\qa\20260908_010000\images\097_06.jpg; seo_runs\jeminise.com\20260906_234129\evidence\images\97_custom-purple-butterflies-text-blanket-machine-washable-d7b\image_06_47830613000391.jpg; seo_runs\jeminise.com\20260906_234129\evidence\contact_sheets\97_custom-purple-butterflies-text-blanket-machine-washable-d7b.jpg</t>
        </is>
      </c>
    </row>
    <row r="49" ht="66" customHeight="1">
      <c r="A49" s="3" t="inlineStr">
        <is>
          <t>jeminise.com+custom-purple-butterflies-text-blanket-machine-washable-d7b</t>
        </is>
      </c>
      <c r="B49" s="3" t="inlineStr">
        <is>
          <t>img_984d893b4aebb3bf</t>
        </is>
      </c>
      <c r="C49" s="4" t="inlineStr">
        <is>
          <t>https://cdn.shopify.com/s/files/1/0792/5098/1063/files/f460a64694fc0f7702fe7e69c3b087898a73890125c7b3c373f6292b397cb764.jpg?v=1786596968</t>
        </is>
      </c>
      <c r="D49" s="4" t="inlineStr">
        <is>
          <t>https://cdn.shopify.com/s/files/1/0792/5098/1063/files/f460a64694fc0f7702fe7e69c3b087898a73890125c7b3c373f6292b397cb764.jpg?v=1786596968</t>
        </is>
      </c>
      <c r="E49" s="3" t="inlineStr">
        <is>
          <t>47830613033159</t>
        </is>
      </c>
      <c r="F49" s="3" t="inlineStr"/>
      <c r="G49" s="3" t="inlineStr">
        <is>
          <t>GALLERY</t>
        </is>
      </c>
      <c r="H49" s="3" t="inlineStr">
        <is>
          <t>DIRECT_DOWNLOADED_GALLERY_ASSET_REVIEW</t>
        </is>
      </c>
      <c r="I49" s="3" t="inlineStr">
        <is>
          <t>2026-09-08T09:23:07+07:00</t>
        </is>
      </c>
      <c r="J49" s="3" t="inlineStr">
        <is>
          <t>Reading lifestyle image with God Says I Am blanket across a bed.</t>
        </is>
      </c>
      <c r="K49" s="3" t="inlineStr">
        <is>
          <t>Reading lifestyle image with God Says I Am blanket across a bed.</t>
        </is>
      </c>
      <c r="L49" s="3" t="inlineStr">
        <is>
          <t>SET</t>
        </is>
      </c>
      <c r="M49" s="3" t="inlineStr">
        <is>
          <t>God Says I Am blanket used while reading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/>
      <c r="X49" s="3" t="inlineStr">
        <is>
          <t>D:\Shopify_Workspace\jeminise_seo\seo_runs\jeminise.com\20260906_234129\qa\20260908_010000\images\097_07.jpg; seo_runs\jeminise.com\20260906_234129\evidence\images\97_custom-purple-butterflies-text-blanket-machine-washable-d7b\image_07_47830613033159.jpg; seo_runs\jeminise.com\20260906_234129\evidence\contact_sheets\97_custom-purple-butterflies-text-blanket-machine-washable-d7b.jpg</t>
        </is>
      </c>
    </row>
    <row r="50" ht="66" customHeight="1">
      <c r="A50" s="2" t="inlineStr">
        <is>
          <t>jeminise.com+custom-purple-butterflies-text-blanket-machine-washable-d7b</t>
        </is>
      </c>
      <c r="B50" s="2" t="inlineStr">
        <is>
          <t>img_b71f7d17b5e116cb</t>
        </is>
      </c>
      <c r="C50" s="4" t="inlineStr">
        <is>
          <t>https://cdn.shopify.com/s/files/1/0792/5098/1063/files/5c0401e94c422195d8dc97b8cc859b7ab413ddf40e4f7c0f1455113298c8ba2b.jpg?v=1786596968</t>
        </is>
      </c>
      <c r="D50" s="4" t="inlineStr">
        <is>
          <t>https://cdn.shopify.com/s/files/1/0792/5098/1063/files/5c0401e94c422195d8dc97b8cc859b7ab413ddf40e4f7c0f1455113298c8ba2b.jpg?v=1786596968</t>
        </is>
      </c>
      <c r="E50" s="2" t="inlineStr">
        <is>
          <t>47830613065927</t>
        </is>
      </c>
      <c r="F50" s="2" t="inlineStr"/>
      <c r="G50" s="2" t="inlineStr">
        <is>
          <t>GALLERY</t>
        </is>
      </c>
      <c r="H50" s="2" t="inlineStr">
        <is>
          <t>DIRECT_DOWNLOADED_GALLERY_ASSET_REVIEW</t>
        </is>
      </c>
      <c r="I50" s="2" t="inlineStr">
        <is>
          <t>2026-09-08T09:23:07+07:00</t>
        </is>
      </c>
      <c r="J50" s="2" t="inlineStr">
        <is>
          <t>Blanket size chart showing 40x30, 50x40, 60x50 and 80x60 options.</t>
        </is>
      </c>
      <c r="K50" s="2" t="inlineStr">
        <is>
          <t>Blanket size chart showing 40x30, 50x40, 60x50 and 80x60 options.</t>
        </is>
      </c>
      <c r="L50" s="2" t="inlineStr">
        <is>
          <t>SET</t>
        </is>
      </c>
      <c r="M50" s="2" t="inlineStr">
        <is>
          <t>God Says I Am blanket size chart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/>
      <c r="X50" s="2" t="inlineStr">
        <is>
          <t>D:\Shopify_Workspace\jeminise_seo\seo_runs\jeminise.com\20260906_234129\qa\20260908_010000\images\097_08.jpg; seo_runs\jeminise.com\20260906_234129\evidence\images\97_custom-purple-butterflies-text-blanket-machine-washable-d7b\image_08_47830613065927.jpg; seo_runs\jeminise.com\20260906_234129\evidence\contact_sheets\97_custom-purple-butterflies-text-blanket-machine-washable-d7b.jpg</t>
        </is>
      </c>
    </row>
    <row r="51" ht="66" customHeight="1">
      <c r="A51" s="3" t="inlineStr">
        <is>
          <t>jeminise.com+custom-purple-butterfly-christian-blanket-machine-washable-d15</t>
        </is>
      </c>
      <c r="B51" s="3" t="inlineStr">
        <is>
          <t>img_51fc8b3095f6371c</t>
        </is>
      </c>
      <c r="C51" s="4" t="inlineStr">
        <is>
          <t>https://cdn.shopify.com/s/files/1/0792/5098/1063/files/b0d49dab17c6bdcc632b9ef24f12d0fb5113a83ac744ae5538fe6133d8649026.jpg?v=1786596344</t>
        </is>
      </c>
      <c r="D51" s="4" t="inlineStr">
        <is>
          <t>https://cdn.shopify.com/s/files/1/0792/5098/1063/files/b0d49dab17c6bdcc632b9ef24f12d0fb5113a83ac744ae5538fe6133d8649026.jpg?v=1786596344</t>
        </is>
      </c>
      <c r="E51" s="3" t="inlineStr">
        <is>
          <t>47830466658503</t>
        </is>
      </c>
      <c r="F51" s="3" t="inlineStr"/>
      <c r="G51" s="3" t="inlineStr">
        <is>
          <t>GALLERY</t>
        </is>
      </c>
      <c r="H51" s="3" t="inlineStr">
        <is>
          <t>DIRECT_DOWNLOADED_GALLERY_ASSET_REVIEW</t>
        </is>
      </c>
      <c r="I51" s="3" t="inlineStr">
        <is>
          <t>2026-09-08T09:23:07+07:00</t>
        </is>
      </c>
      <c r="J51" s="3" t="inlineStr">
        <is>
          <t>Person holding purple God Is Within Her blanket with Isabella name and butterfly vine artwork.</t>
        </is>
      </c>
      <c r="K51" s="3" t="inlineStr">
        <is>
          <t>Person holding purple God Is Within Her blanket with Isabella name and butterfly vine artwork.</t>
        </is>
      </c>
      <c r="L51" s="3" t="inlineStr">
        <is>
          <t>SET</t>
        </is>
      </c>
      <c r="M51" s="3" t="inlineStr">
        <is>
          <t>God Is Within Her butterfly blanket with Isabella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/>
      <c r="X51" s="3" t="inlineStr">
        <is>
          <t>D:\Shopify_Workspace\jeminise_seo\seo_runs\jeminise.com\20260906_234129\qa\20260908_010000\images\098_01.jpg; seo_runs\jeminise.com\20260906_234129\evidence\images\98_custom-purple-butterfly-christian-blanket-machine-washable-d15\image_01_47830466658503.jpg; seo_runs\jeminise.com\20260906_234129\evidence\contact_sheets\98_custom-purple-butterfly-christian-blanket-machine-washable-d15.jpg</t>
        </is>
      </c>
    </row>
    <row r="52" ht="66" customHeight="1">
      <c r="A52" s="2" t="inlineStr">
        <is>
          <t>jeminise.com+custom-purple-butterfly-christian-blanket-machine-washable-d15</t>
        </is>
      </c>
      <c r="B52" s="2" t="inlineStr">
        <is>
          <t>img_46c6e69a90d9204d</t>
        </is>
      </c>
      <c r="C52" s="4" t="inlineStr">
        <is>
          <t>https://cdn.shopify.com/s/files/1/0792/5098/1063/files/f3a0a135c363494f783788473b93526b47c2e8cb319704064bfa447e97981e08.jpg?v=1786596344</t>
        </is>
      </c>
      <c r="D52" s="4" t="inlineStr">
        <is>
          <t>https://cdn.shopify.com/s/files/1/0792/5098/1063/files/f3a0a135c363494f783788473b93526b47c2e8cb319704064bfa447e97981e08.jpg?v=1786596344</t>
        </is>
      </c>
      <c r="E52" s="2" t="inlineStr">
        <is>
          <t>47830466691271</t>
        </is>
      </c>
      <c r="F52" s="2" t="inlineStr"/>
      <c r="G52" s="2" t="inlineStr">
        <is>
          <t>GALLERY</t>
        </is>
      </c>
      <c r="H52" s="2" t="inlineStr">
        <is>
          <t>DIRECT_DOWNLOADED_GALLERY_ASSET_REVIEW</t>
        </is>
      </c>
      <c r="I52" s="2" t="inlineStr">
        <is>
          <t>2026-09-08T09:23:07+07:00</t>
        </is>
      </c>
      <c r="J52" s="2" t="inlineStr">
        <is>
          <t>Bed mockup of Isabella God Is Within Her blanket with Psalm 46:5 text.</t>
        </is>
      </c>
      <c r="K52" s="2" t="inlineStr">
        <is>
          <t>Bed mockup of Isabella God Is Within Her blanket with Psalm 46:5 text.</t>
        </is>
      </c>
      <c r="L52" s="2" t="inlineStr">
        <is>
          <t>SET</t>
        </is>
      </c>
      <c r="M52" s="2" t="inlineStr">
        <is>
          <t>Isabella God Is Within Her blanket on bed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/>
      <c r="X52" s="2" t="inlineStr">
        <is>
          <t>D:\Shopify_Workspace\jeminise_seo\seo_runs\jeminise.com\20260906_234129\qa\20260908_010000\images\098_02.jpg; seo_runs\jeminise.com\20260906_234129\evidence\images\98_custom-purple-butterfly-christian-blanket-machine-washable-d15\image_02_47830466691271.jpg; seo_runs\jeminise.com\20260906_234129\evidence\contact_sheets\98_custom-purple-butterfly-christian-blanket-machine-washable-d15.jpg</t>
        </is>
      </c>
    </row>
    <row r="53" ht="66" customHeight="1">
      <c r="A53" s="3" t="inlineStr">
        <is>
          <t>jeminise.com+custom-purple-butterfly-christian-blanket-machine-washable-d15</t>
        </is>
      </c>
      <c r="B53" s="3" t="inlineStr">
        <is>
          <t>img_9845fc5b0e24daba</t>
        </is>
      </c>
      <c r="C53" s="4" t="inlineStr">
        <is>
          <t>https://cdn.shopify.com/s/files/1/0792/5098/1063/files/393dde0641c109a658cdad67fc9a0926528b3e95ea49aaeeb473cb484ba86994.jpg?v=1786596344</t>
        </is>
      </c>
      <c r="D53" s="4" t="inlineStr">
        <is>
          <t>https://cdn.shopify.com/s/files/1/0792/5098/1063/files/393dde0641c109a658cdad67fc9a0926528b3e95ea49aaeeb473cb484ba86994.jpg?v=1786596344</t>
        </is>
      </c>
      <c r="E53" s="3" t="inlineStr">
        <is>
          <t>47830466724039</t>
        </is>
      </c>
      <c r="F53" s="3" t="inlineStr"/>
      <c r="G53" s="3" t="inlineStr">
        <is>
          <t>GALLERY</t>
        </is>
      </c>
      <c r="H53" s="3" t="inlineStr">
        <is>
          <t>DIRECT_DOWNLOADED_GALLERY_ASSET_REVIEW</t>
        </is>
      </c>
      <c r="I53" s="3" t="inlineStr">
        <is>
          <t>2026-09-08T09:23:07+07:00</t>
        </is>
      </c>
      <c r="J53" s="3" t="inlineStr">
        <is>
          <t>Reading lifestyle image with partial God Is Within Her blanket, open book and coffee.</t>
        </is>
      </c>
      <c r="K53" s="3" t="inlineStr">
        <is>
          <t>Reading lifestyle image with partial God Is Within Her blanket, open book and coffee.</t>
        </is>
      </c>
      <c r="L53" s="3" t="inlineStr">
        <is>
          <t>SET</t>
        </is>
      </c>
      <c r="M53" s="3" t="inlineStr">
        <is>
          <t>God Is Within Her butterfly blanket reading mockup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/>
      <c r="X53" s="3" t="inlineStr">
        <is>
          <t>D:\Shopify_Workspace\jeminise_seo\seo_runs\jeminise.com\20260906_234129\qa\20260908_010000\images\098_03.jpg; seo_runs\jeminise.com\20260906_234129\evidence\images\98_custom-purple-butterfly-christian-blanket-machine-washable-d15\image_03_47830466724039.jpg; seo_runs\jeminise.com\20260906_234129\evidence\contact_sheets\98_custom-purple-butterfly-christian-blanket-machine-washable-d15.jpg</t>
        </is>
      </c>
    </row>
    <row r="54" ht="66" customHeight="1">
      <c r="A54" s="2" t="inlineStr">
        <is>
          <t>jeminise.com+custom-purple-butterfly-christian-blanket-machine-washable-d15</t>
        </is>
      </c>
      <c r="B54" s="2" t="inlineStr">
        <is>
          <t>img_e70c06eef9063385</t>
        </is>
      </c>
      <c r="C54" s="4" t="inlineStr">
        <is>
          <t>https://cdn.shopify.com/s/files/1/0792/5098/1063/files/30947e72faf8e7b9ab47f0ff239bbbf2f0536869f498102f1e0e8bf0047e10d5.jpg?v=1786596344</t>
        </is>
      </c>
      <c r="D54" s="4" t="inlineStr">
        <is>
          <t>https://cdn.shopify.com/s/files/1/0792/5098/1063/files/30947e72faf8e7b9ab47f0ff239bbbf2f0536869f498102f1e0e8bf0047e10d5.jpg?v=1786596344</t>
        </is>
      </c>
      <c r="E54" s="2" t="inlineStr">
        <is>
          <t>47830466756807</t>
        </is>
      </c>
      <c r="F54" s="2" t="inlineStr"/>
      <c r="G54" s="2" t="inlineStr">
        <is>
          <t>GALLERY</t>
        </is>
      </c>
      <c r="H54" s="2" t="inlineStr">
        <is>
          <t>DIRECT_DOWNLOADED_GALLERY_ASSET_REVIEW</t>
        </is>
      </c>
      <c r="I54" s="2" t="inlineStr">
        <is>
          <t>2026-09-08T09:23:07+07:00</t>
        </is>
      </c>
      <c r="J54" s="2" t="inlineStr">
        <is>
          <t>Sofa mockup of God Is Within Her blanket with butterfly vine and Isabella acrostic blocks.</t>
        </is>
      </c>
      <c r="K54" s="2" t="inlineStr">
        <is>
          <t>Sofa mockup of God Is Within Her blanket with butterfly vine and Isabella acrostic blocks.</t>
        </is>
      </c>
      <c r="L54" s="2" t="inlineStr">
        <is>
          <t>SET</t>
        </is>
      </c>
      <c r="M54" s="2" t="inlineStr">
        <is>
          <t>God Is Within Her Isabella blanket on sofa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/>
      <c r="X54" s="2" t="inlineStr">
        <is>
          <t>D:\Shopify_Workspace\jeminise_seo\seo_runs\jeminise.com\20260906_234129\qa\20260908_010000\images\098_04.jpg; seo_runs\jeminise.com\20260906_234129\evidence\images\98_custom-purple-butterfly-christian-blanket-machine-washable-d15\image_04_47830466756807.jpg; seo_runs\jeminise.com\20260906_234129\evidence\contact_sheets\98_custom-purple-butterfly-christian-blanket-machine-washable-d15.jpg</t>
        </is>
      </c>
    </row>
    <row r="55" ht="66" customHeight="1">
      <c r="A55" s="3" t="inlineStr">
        <is>
          <t>jeminise.com+custom-purple-butterfly-christian-blanket-machine-washable-d15</t>
        </is>
      </c>
      <c r="B55" s="3" t="inlineStr">
        <is>
          <t>img_81579e6852fa93e8</t>
        </is>
      </c>
      <c r="C55" s="4" t="inlineStr">
        <is>
          <t>https://cdn.shopify.com/s/files/1/0792/5098/1063/files/561164be4965ba7d14d31536c839a8c98aaeb4b67535565041d490d5464c3971.jpg?v=1786596344</t>
        </is>
      </c>
      <c r="D55" s="4" t="inlineStr">
        <is>
          <t>https://cdn.shopify.com/s/files/1/0792/5098/1063/files/561164be4965ba7d14d31536c839a8c98aaeb4b67535565041d490d5464c3971.jpg?v=1786596344</t>
        </is>
      </c>
      <c r="E55" s="3" t="inlineStr">
        <is>
          <t>47830466789575</t>
        </is>
      </c>
      <c r="F55" s="3" t="inlineStr"/>
      <c r="G55" s="3" t="inlineStr">
        <is>
          <t>GALLERY</t>
        </is>
      </c>
      <c r="H55" s="3" t="inlineStr">
        <is>
          <t>DIRECT_DOWNLOADED_GALLERY_ASSET_REVIEW</t>
        </is>
      </c>
      <c r="I55" s="3" t="inlineStr">
        <is>
          <t>2026-09-08T09:23:07+07:00</t>
        </is>
      </c>
      <c r="J55" s="3" t="inlineStr">
        <is>
          <t>Fabric collage showing purple blanket folds, affirmation text, butterfly art and white fleece.</t>
        </is>
      </c>
      <c r="K55" s="3" t="inlineStr">
        <is>
          <t>Fabric collage showing purple blanket folds, affirmation text, butterfly art and white fleece.</t>
        </is>
      </c>
      <c r="L55" s="3" t="inlineStr">
        <is>
          <t>SET</t>
        </is>
      </c>
      <c r="M55" s="3" t="inlineStr">
        <is>
          <t>Close-up collage for God Is Within Her blanket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/>
      <c r="X55" s="3" t="inlineStr">
        <is>
          <t>D:\Shopify_Workspace\jeminise_seo\seo_runs\jeminise.com\20260906_234129\qa\20260908_010000\images\098_05.jpg; seo_runs\jeminise.com\20260906_234129\evidence\images\98_custom-purple-butterfly-christian-blanket-machine-washable-d15\image_05_47830466789575.jpg; seo_runs\jeminise.com\20260906_234129\evidence\contact_sheets\98_custom-purple-butterfly-christian-blanket-machine-washable-d15.jpg</t>
        </is>
      </c>
    </row>
    <row r="56" ht="66" customHeight="1">
      <c r="A56" s="2" t="inlineStr">
        <is>
          <t>jeminise.com+custom-purple-butterfly-christian-blanket-machine-washable-d15</t>
        </is>
      </c>
      <c r="B56" s="2" t="inlineStr">
        <is>
          <t>img_94579b4ff20b56b1</t>
        </is>
      </c>
      <c r="C56" s="4" t="inlineStr">
        <is>
          <t>https://cdn.shopify.com/s/files/1/0792/5098/1063/files/3d8d0ae7827b3277b85844c9dfadb1dc1394b9b7636bd7f2cfb977f845b7cfdf.jpg?v=1786596344</t>
        </is>
      </c>
      <c r="D56" s="4" t="inlineStr">
        <is>
          <t>https://cdn.shopify.com/s/files/1/0792/5098/1063/files/3d8d0ae7827b3277b85844c9dfadb1dc1394b9b7636bd7f2cfb977f845b7cfdf.jpg?v=1786596344</t>
        </is>
      </c>
      <c r="E56" s="2" t="inlineStr">
        <is>
          <t>47830466822343</t>
        </is>
      </c>
      <c r="F56" s="2" t="inlineStr"/>
      <c r="G56" s="2" t="inlineStr">
        <is>
          <t>GALLERY</t>
        </is>
      </c>
      <c r="H56" s="2" t="inlineStr">
        <is>
          <t>DIRECT_DOWNLOADED_GALLERY_ASSET_REVIEW</t>
        </is>
      </c>
      <c r="I56" s="2" t="inlineStr">
        <is>
          <t>2026-09-08T09:23:07+07:00</t>
        </is>
      </c>
      <c r="J56" s="2" t="inlineStr">
        <is>
          <t>Use and size panel showing 80 by 60 blanket and sofa, office, bed and travel use icons.</t>
        </is>
      </c>
      <c r="K56" s="2" t="inlineStr">
        <is>
          <t>Use and size panel showing 80 by 60 blanket and sofa, office, bed and travel use icons.</t>
        </is>
      </c>
      <c r="L56" s="2" t="inlineStr">
        <is>
          <t>SET</t>
        </is>
      </c>
      <c r="M56" s="2" t="inlineStr">
        <is>
          <t>God Is Within Her blanket size and use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/>
      <c r="X56" s="2" t="inlineStr">
        <is>
          <t>D:\Shopify_Workspace\jeminise_seo\seo_runs\jeminise.com\20260906_234129\qa\20260908_010000\images\098_06.jpg; seo_runs\jeminise.com\20260906_234129\evidence\images\98_custom-purple-butterfly-christian-blanket-machine-washable-d15\image_06_47830466822343.jpg; seo_runs\jeminise.com\20260906_234129\evidence\contact_sheets\98_custom-purple-butterfly-christian-blanket-machine-washable-d15.jpg</t>
        </is>
      </c>
    </row>
    <row r="57" ht="66" customHeight="1">
      <c r="A57" s="3" t="inlineStr">
        <is>
          <t>jeminise.com+custom-purple-butterfly-christian-blanket-machine-washable-d15</t>
        </is>
      </c>
      <c r="B57" s="3" t="inlineStr">
        <is>
          <t>img_2e2c944c49a156f3</t>
        </is>
      </c>
      <c r="C57" s="4" t="inlineStr">
        <is>
          <t>https://cdn.shopify.com/s/files/1/0792/5098/1063/files/e06ad6ea585a2cced1450af7ae2c5b03c02b4040afe9aafb22249887d13df84c.jpg?v=1786596344</t>
        </is>
      </c>
      <c r="D57" s="4" t="inlineStr">
        <is>
          <t>https://cdn.shopify.com/s/files/1/0792/5098/1063/files/e06ad6ea585a2cced1450af7ae2c5b03c02b4040afe9aafb22249887d13df84c.jpg?v=1786596344</t>
        </is>
      </c>
      <c r="E57" s="3" t="inlineStr">
        <is>
          <t>47830466855111</t>
        </is>
      </c>
      <c r="F57" s="3" t="inlineStr"/>
      <c r="G57" s="3" t="inlineStr">
        <is>
          <t>GALLERY</t>
        </is>
      </c>
      <c r="H57" s="3" t="inlineStr">
        <is>
          <t>DIRECT_DOWNLOADED_GALLERY_ASSET_REVIEW</t>
        </is>
      </c>
      <c r="I57" s="3" t="inlineStr">
        <is>
          <t>2026-09-08T09:23:07+07:00</t>
        </is>
      </c>
      <c r="J57" s="3" t="inlineStr">
        <is>
          <t>Feature panel showing machine washable, soft and warm, dense stitching and 260GSM fleece blanket.</t>
        </is>
      </c>
      <c r="K57" s="3" t="inlineStr">
        <is>
          <t>Feature panel showing machine washable, soft and warm, dense stitching and 260GSM fleece blanket.</t>
        </is>
      </c>
      <c r="L57" s="3" t="inlineStr">
        <is>
          <t>SET</t>
        </is>
      </c>
      <c r="M57" s="3" t="inlineStr">
        <is>
          <t>God Is Within Her fleece feature panel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/>
      <c r="X57" s="3" t="inlineStr">
        <is>
          <t>D:\Shopify_Workspace\jeminise_seo\seo_runs\jeminise.com\20260906_234129\qa\20260908_010000\images\098_07.jpg; seo_runs\jeminise.com\20260906_234129\evidence\images\98_custom-purple-butterfly-christian-blanket-machine-washable-d15\image_07_47830466855111.jpg; seo_runs\jeminise.com\20260906_234129\evidence\contact_sheets\98_custom-purple-butterfly-christian-blanket-machine-washable-d15.jpg</t>
        </is>
      </c>
    </row>
    <row r="58" ht="66" customHeight="1">
      <c r="A58" s="2" t="inlineStr">
        <is>
          <t>jeminise.com+custom-purple-butterfly-christian-blanket-machine-washable-d15</t>
        </is>
      </c>
      <c r="B58" s="2" t="inlineStr">
        <is>
          <t>img_a1f6f101525ceaba</t>
        </is>
      </c>
      <c r="C58" s="4" t="inlineStr">
        <is>
          <t>https://cdn.shopify.com/s/files/1/0792/5098/1063/files/1695bd29dc1e745b27c0ca317e206d17ca3c35cfb7319cb0cc84d6339e3f7877.jpg?v=1786596344</t>
        </is>
      </c>
      <c r="D58" s="4" t="inlineStr">
        <is>
          <t>https://cdn.shopify.com/s/files/1/0792/5098/1063/files/1695bd29dc1e745b27c0ca317e206d17ca3c35cfb7319cb0cc84d6339e3f7877.jpg?v=1786596344</t>
        </is>
      </c>
      <c r="E58" s="2" t="inlineStr">
        <is>
          <t>47830466887879</t>
        </is>
      </c>
      <c r="F58" s="2" t="inlineStr"/>
      <c r="G58" s="2" t="inlineStr">
        <is>
          <t>GALLERY</t>
        </is>
      </c>
      <c r="H58" s="2" t="inlineStr">
        <is>
          <t>DIRECT_DOWNLOADED_GALLERY_ASSET_REVIEW</t>
        </is>
      </c>
      <c r="I58" s="2" t="inlineStr">
        <is>
          <t>2026-09-08T09:23:07+07:00</t>
        </is>
      </c>
      <c r="J58" s="2" t="inlineStr">
        <is>
          <t>Close lifestyle image of God Is Within Her blanket beside an open book and mug.</t>
        </is>
      </c>
      <c r="K58" s="2" t="inlineStr">
        <is>
          <t>Close lifestyle image of God Is Within Her blanket beside an open book and mug.</t>
        </is>
      </c>
      <c r="L58" s="2" t="inlineStr">
        <is>
          <t>SET</t>
        </is>
      </c>
      <c r="M58" s="2" t="inlineStr">
        <is>
          <t>God Is Within Her blanket reading close-up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/>
      <c r="X58" s="2" t="inlineStr">
        <is>
          <t>D:\Shopify_Workspace\jeminise_seo\seo_runs\jeminise.com\20260906_234129\qa\20260908_010000\images\098_08.jpg; seo_runs\jeminise.com\20260906_234129\evidence\images\98_custom-purple-butterfly-christian-blanket-machine-washable-d15\image_08_47830466887879.jpg; seo_runs\jeminise.com\20260906_234129\evidence\contact_sheets\98_custom-purple-butterfly-christian-blanket-machine-washable-d15.jpg</t>
        </is>
      </c>
    </row>
    <row r="59" ht="66" customHeight="1">
      <c r="A59" s="3" t="inlineStr">
        <is>
          <t>jeminise.com+custom-purple-floral-christian-cross-blanket-machine-washable-d2</t>
        </is>
      </c>
      <c r="B59" s="3" t="inlineStr">
        <is>
          <t>img_bacf36962a8051f9</t>
        </is>
      </c>
      <c r="C59" s="4" t="inlineStr">
        <is>
          <t>https://cdn.shopify.com/s/files/1/0792/5098/1063/files/1e3ef58d63b3b377403c7baa0c39f0aaca49df18a0c49d7048c441975452b123.jpg?v=1786596467</t>
        </is>
      </c>
      <c r="D59" s="4" t="inlineStr">
        <is>
          <t>https://cdn.shopify.com/s/files/1/0792/5098/1063/files/1e3ef58d63b3b377403c7baa0c39f0aaca49df18a0c49d7048c441975452b123.jpg?v=1786596467</t>
        </is>
      </c>
      <c r="E59" s="3" t="inlineStr">
        <is>
          <t>47830524821703</t>
        </is>
      </c>
      <c r="F59" s="3" t="inlineStr"/>
      <c r="G59" s="3" t="inlineStr">
        <is>
          <t>GALLERY</t>
        </is>
      </c>
      <c r="H59" s="3" t="inlineStr">
        <is>
          <t>DIRECT_DOWNLOADED_GALLERY_ASSET_REVIEW</t>
        </is>
      </c>
      <c r="I59" s="3" t="inlineStr">
        <is>
          <t>2026-09-08T09:23:07+07:00</t>
        </is>
      </c>
      <c r="J59" s="3" t="inlineStr">
        <is>
          <t>Person holding dark purple Blessed is she blanket with cross, roses, butterflies and Amabel name.</t>
        </is>
      </c>
      <c r="K59" s="3" t="inlineStr">
        <is>
          <t>Person holding dark purple Blessed is she blanket with cross, roses, butterflies and Amabel name.</t>
        </is>
      </c>
      <c r="L59" s="3" t="inlineStr">
        <is>
          <t>SET</t>
        </is>
      </c>
      <c r="M59" s="3" t="inlineStr">
        <is>
          <t>Blessed is she cross blanket with Amabel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/>
      <c r="X59" s="3" t="inlineStr">
        <is>
          <t>D:\Shopify_Workspace\jeminise_seo\seo_runs\jeminise.com\20260906_234129\qa\20260908_010000\images\099_01.jpg; seo_runs\jeminise.com\20260906_234129\evidence\images\99_custom-purple-floral-christian-cross-blanket-machine-washable-d2\image_01_47830524821703.jpg; seo_runs\jeminise.com\20260906_234129\evidence\contact_sheets\99_custom-purple-floral-christian-cross-blanket-machine-washable-d2.jpg</t>
        </is>
      </c>
    </row>
    <row r="60" ht="66" customHeight="1">
      <c r="A60" s="2" t="inlineStr">
        <is>
          <t>jeminise.com+custom-purple-floral-christian-cross-blanket-machine-washable-d2</t>
        </is>
      </c>
      <c r="B60" s="2" t="inlineStr">
        <is>
          <t>img_0fb4cc978aca639b</t>
        </is>
      </c>
      <c r="C60" s="4" t="inlineStr">
        <is>
          <t>https://cdn.shopify.com/s/files/1/0792/5098/1063/files/304708b511b50b432675e367d219231bee1cbde6563b89370c053e7839041edc.jpg?v=1786596467</t>
        </is>
      </c>
      <c r="D60" s="4" t="inlineStr">
        <is>
          <t>https://cdn.shopify.com/s/files/1/0792/5098/1063/files/304708b511b50b432675e367d219231bee1cbde6563b89370c053e7839041edc.jpg?v=1786596467</t>
        </is>
      </c>
      <c r="E60" s="2" t="inlineStr">
        <is>
          <t>47830524854471</t>
        </is>
      </c>
      <c r="F60" s="2" t="inlineStr"/>
      <c r="G60" s="2" t="inlineStr">
        <is>
          <t>GALLERY</t>
        </is>
      </c>
      <c r="H60" s="2" t="inlineStr">
        <is>
          <t>DIRECT_DOWNLOADED_GALLERY_ASSET_REVIEW</t>
        </is>
      </c>
      <c r="I60" s="2" t="inlineStr">
        <is>
          <t>2026-09-08T09:23:07+07:00</t>
        </is>
      </c>
      <c r="J60" s="2" t="inlineStr">
        <is>
          <t>Sofa mockup of Blessed is she cross blanket draped over a beige couch.</t>
        </is>
      </c>
      <c r="K60" s="2" t="inlineStr">
        <is>
          <t>Sofa mockup of Blessed is she cross blanket draped over a beige couch.</t>
        </is>
      </c>
      <c r="L60" s="2" t="inlineStr">
        <is>
          <t>SET</t>
        </is>
      </c>
      <c r="M60" s="2" t="inlineStr">
        <is>
          <t>Blessed is she purple cross blanket on sofa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/>
      <c r="X60" s="2" t="inlineStr">
        <is>
          <t>D:\Shopify_Workspace\jeminise_seo\seo_runs\jeminise.com\20260906_234129\qa\20260908_010000\images\099_02.jpg; seo_runs\jeminise.com\20260906_234129\evidence\images\99_custom-purple-floral-christian-cross-blanket-machine-washable-d2\image_02_47830524854471.jpg; seo_runs\jeminise.com\20260906_234129\evidence\contact_sheets\99_custom-purple-floral-christian-cross-blanket-machine-washable-d2.jpg</t>
        </is>
      </c>
    </row>
    <row r="61" ht="66" customHeight="1">
      <c r="A61" s="3" t="inlineStr">
        <is>
          <t>jeminise.com+custom-purple-floral-christian-cross-blanket-machine-washable-d2</t>
        </is>
      </c>
      <c r="B61" s="3" t="inlineStr">
        <is>
          <t>img_682acbe377a5b391</t>
        </is>
      </c>
      <c r="C61" s="4" t="inlineStr">
        <is>
          <t>https://cdn.shopify.com/s/files/1/0792/5098/1063/files/6600b0d72504e32a2407088eb65dfe69f600a0e52f61f6e63e49596488c1e1ee.jpg?v=1786596467</t>
        </is>
      </c>
      <c r="D61" s="4" t="inlineStr">
        <is>
          <t>https://cdn.shopify.com/s/files/1/0792/5098/1063/files/6600b0d72504e32a2407088eb65dfe69f600a0e52f61f6e63e49596488c1e1ee.jpg?v=1786596467</t>
        </is>
      </c>
      <c r="E61" s="3" t="inlineStr">
        <is>
          <t>47830524887239</t>
        </is>
      </c>
      <c r="F61" s="3" t="inlineStr"/>
      <c r="G61" s="3" t="inlineStr">
        <is>
          <t>GALLERY</t>
        </is>
      </c>
      <c r="H61" s="3" t="inlineStr">
        <is>
          <t>DIRECT_DOWNLOADED_GALLERY_ASSET_REVIEW</t>
        </is>
      </c>
      <c r="I61" s="3" t="inlineStr">
        <is>
          <t>2026-09-08T09:23:07+07:00</t>
        </is>
      </c>
      <c r="J61" s="3" t="inlineStr">
        <is>
          <t>Armchair mockup showing the Blessed is she text, glowing cross and purple roses.</t>
        </is>
      </c>
      <c r="K61" s="3" t="inlineStr">
        <is>
          <t>Armchair mockup showing the Blessed is she text, glowing cross and purple roses.</t>
        </is>
      </c>
      <c r="L61" s="3" t="inlineStr">
        <is>
          <t>SET</t>
        </is>
      </c>
      <c r="M61" s="3" t="inlineStr">
        <is>
          <t>Purple Blessed is she cross blanket on chair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/>
      <c r="X61" s="3" t="inlineStr">
        <is>
          <t>D:\Shopify_Workspace\jeminise_seo\seo_runs\jeminise.com\20260906_234129\qa\20260908_010000\images\099_03.jpg; seo_runs\jeminise.com\20260906_234129\evidence\images\99_custom-purple-floral-christian-cross-blanket-machine-washable-d2\image_03_47830524887239.jpg; seo_runs\jeminise.com\20260906_234129\evidence\contact_sheets\99_custom-purple-floral-christian-cross-blanket-machine-washable-d2.jpg</t>
        </is>
      </c>
    </row>
    <row r="62" ht="66" customHeight="1">
      <c r="A62" s="2" t="inlineStr">
        <is>
          <t>jeminise.com+custom-purple-floral-christian-cross-blanket-machine-washable-d2</t>
        </is>
      </c>
      <c r="B62" s="2" t="inlineStr">
        <is>
          <t>img_c8fe45be3cf6aa83</t>
        </is>
      </c>
      <c r="C62" s="4" t="inlineStr">
        <is>
          <t>https://cdn.shopify.com/s/files/1/0792/5098/1063/files/32610255b10c95dd1994672a4db25a99d1504f8d5700b5a9d68dc5ea58417837.jpg?v=1786596466</t>
        </is>
      </c>
      <c r="D62" s="4" t="inlineStr">
        <is>
          <t>https://cdn.shopify.com/s/files/1/0792/5098/1063/files/32610255b10c95dd1994672a4db25a99d1504f8d5700b5a9d68dc5ea58417837.jpg?v=1786596466</t>
        </is>
      </c>
      <c r="E62" s="2" t="inlineStr">
        <is>
          <t>47830524920007</t>
        </is>
      </c>
      <c r="F62" s="2" t="inlineStr"/>
      <c r="G62" s="2" t="inlineStr">
        <is>
          <t>GALLERY</t>
        </is>
      </c>
      <c r="H62" s="2" t="inlineStr">
        <is>
          <t>DIRECT_DOWNLOADED_GALLERY_ASSET_REVIEW</t>
        </is>
      </c>
      <c r="I62" s="2" t="inlineStr">
        <is>
          <t>2026-09-08T09:23:07+07:00</t>
        </is>
      </c>
      <c r="J62" s="2" t="inlineStr">
        <is>
          <t>Reading close-up of Blessed is she blanket with cross detail, open book and mug.</t>
        </is>
      </c>
      <c r="K62" s="2" t="inlineStr">
        <is>
          <t>Reading close-up of Blessed is she blanket with cross detail, open book and mug.</t>
        </is>
      </c>
      <c r="L62" s="2" t="inlineStr">
        <is>
          <t>SET</t>
        </is>
      </c>
      <c r="M62" s="2" t="inlineStr">
        <is>
          <t>Blessed is she cross blanket reading close-up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/>
      <c r="X62" s="2" t="inlineStr">
        <is>
          <t>D:\Shopify_Workspace\jeminise_seo\seo_runs\jeminise.com\20260906_234129\qa\20260908_010000\images\099_04.jpg; seo_runs\jeminise.com\20260906_234129\evidence\images\99_custom-purple-floral-christian-cross-blanket-machine-washable-d2\image_04_47830524920007.jpg; seo_runs\jeminise.com\20260906_234129\evidence\contact_sheets\99_custom-purple-floral-christian-cross-blanket-machine-washable-d2.jpg</t>
        </is>
      </c>
    </row>
    <row r="63" ht="66" customHeight="1">
      <c r="A63" s="3" t="inlineStr">
        <is>
          <t>jeminise.com+custom-purple-floral-christian-cross-blanket-machine-washable-d2</t>
        </is>
      </c>
      <c r="B63" s="3" t="inlineStr">
        <is>
          <t>img_985b589a07d34034</t>
        </is>
      </c>
      <c r="C63" s="4" t="inlineStr">
        <is>
          <t>https://cdn.shopify.com/s/files/1/0792/5098/1063/files/4ce7ad7b28af41f4184ce676d817e67ba0c3a923153c1e8fd3b4932131d9a04c.jpg?v=1786596467</t>
        </is>
      </c>
      <c r="D63" s="4" t="inlineStr">
        <is>
          <t>https://cdn.shopify.com/s/files/1/0792/5098/1063/files/4ce7ad7b28af41f4184ce676d817e67ba0c3a923153c1e8fd3b4932131d9a04c.jpg?v=1786596467</t>
        </is>
      </c>
      <c r="E63" s="3" t="inlineStr">
        <is>
          <t>47830524952775</t>
        </is>
      </c>
      <c r="F63" s="3" t="inlineStr"/>
      <c r="G63" s="3" t="inlineStr">
        <is>
          <t>GALLERY</t>
        </is>
      </c>
      <c r="H63" s="3" t="inlineStr">
        <is>
          <t>DIRECT_DOWNLOADED_GALLERY_ASSET_REVIEW</t>
        </is>
      </c>
      <c r="I63" s="3" t="inlineStr">
        <is>
          <t>2026-09-08T09:23:07+07:00</t>
        </is>
      </c>
      <c r="J63" s="3" t="inlineStr">
        <is>
          <t>Fabric collage showing printed verse text, cross detail, purple roses and white fleece backing.</t>
        </is>
      </c>
      <c r="K63" s="3" t="inlineStr">
        <is>
          <t>Fabric collage showing printed verse text, cross detail, purple roses and white fleece backing.</t>
        </is>
      </c>
      <c r="L63" s="3" t="inlineStr">
        <is>
          <t>SET</t>
        </is>
      </c>
      <c r="M63" s="3" t="inlineStr">
        <is>
          <t>Close-up collage for Blessed is she blanket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/>
      <c r="X63" s="3" t="inlineStr">
        <is>
          <t>D:\Shopify_Workspace\jeminise_seo\seo_runs\jeminise.com\20260906_234129\qa\20260908_010000\images\099_05.jpg; seo_runs\jeminise.com\20260906_234129\evidence\images\99_custom-purple-floral-christian-cross-blanket-machine-washable-d2\image_05_47830524952775.jpg; seo_runs\jeminise.com\20260906_234129\evidence\contact_sheets\99_custom-purple-floral-christian-cross-blanket-machine-washable-d2.jpg</t>
        </is>
      </c>
    </row>
    <row r="64" ht="66" customHeight="1">
      <c r="A64" s="2" t="inlineStr">
        <is>
          <t>jeminise.com+custom-purple-floral-christian-cross-blanket-machine-washable-d2</t>
        </is>
      </c>
      <c r="B64" s="2" t="inlineStr">
        <is>
          <t>img_fa65927bde9645e8</t>
        </is>
      </c>
      <c r="C64" s="4" t="inlineStr">
        <is>
          <t>https://cdn.shopify.com/s/files/1/0792/5098/1063/files/8f4ca20461e5e7f3c9a4f9e46a3aeb722251b8c5bda7ce1d6dd3566915800b92.jpg?v=1786596467</t>
        </is>
      </c>
      <c r="D64" s="4" t="inlineStr">
        <is>
          <t>https://cdn.shopify.com/s/files/1/0792/5098/1063/files/8f4ca20461e5e7f3c9a4f9e46a3aeb722251b8c5bda7ce1d6dd3566915800b92.jpg?v=1786596467</t>
        </is>
      </c>
      <c r="E64" s="2" t="inlineStr">
        <is>
          <t>47830524985543</t>
        </is>
      </c>
      <c r="F64" s="2" t="inlineStr"/>
      <c r="G64" s="2" t="inlineStr">
        <is>
          <t>GALLERY</t>
        </is>
      </c>
      <c r="H64" s="2" t="inlineStr">
        <is>
          <t>DIRECT_DOWNLOADED_GALLERY_ASSET_REVIEW</t>
        </is>
      </c>
      <c r="I64" s="2" t="inlineStr">
        <is>
          <t>2026-09-08T09:23:07+07:00</t>
        </is>
      </c>
      <c r="J64" s="2" t="inlineStr">
        <is>
          <t>Feature panel showing machine washable, soft and warm, dense stitching and 260GSM fleece blanket.</t>
        </is>
      </c>
      <c r="K64" s="2" t="inlineStr">
        <is>
          <t>Feature panel showing machine washable, soft and warm, dense stitching and 260GSM fleece blanket.</t>
        </is>
      </c>
      <c r="L64" s="2" t="inlineStr">
        <is>
          <t>SET</t>
        </is>
      </c>
      <c r="M64" s="2" t="inlineStr">
        <is>
          <t>Blessed is she fleece feature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/>
      <c r="X64" s="2" t="inlineStr">
        <is>
          <t>D:\Shopify_Workspace\jeminise_seo\seo_runs\jeminise.com\20260906_234129\qa\20260908_010000\images\099_06.jpg; seo_runs\jeminise.com\20260906_234129\evidence\images\99_custom-purple-floral-christian-cross-blanket-machine-washable-d2\image_06_47830524985543.jpg; seo_runs\jeminise.com\20260906_234129\evidence\contact_sheets\99_custom-purple-floral-christian-cross-blanket-machine-washable-d2.jpg</t>
        </is>
      </c>
    </row>
    <row r="65" ht="66" customHeight="1">
      <c r="A65" s="3" t="inlineStr">
        <is>
          <t>jeminise.com+custom-purple-floral-christian-cross-blanket-machine-washable-d2</t>
        </is>
      </c>
      <c r="B65" s="3" t="inlineStr">
        <is>
          <t>img_a65461a844d3c5d7</t>
        </is>
      </c>
      <c r="C65" s="4" t="inlineStr">
        <is>
          <t>https://cdn.shopify.com/s/files/1/0792/5098/1063/files/4aa92077789873319d5517c427bfa50d8063a0acc92b217756a381f9fe296efa.jpg?v=1786596467</t>
        </is>
      </c>
      <c r="D65" s="4" t="inlineStr">
        <is>
          <t>https://cdn.shopify.com/s/files/1/0792/5098/1063/files/4aa92077789873319d5517c427bfa50d8063a0acc92b217756a381f9fe296efa.jpg?v=1786596467</t>
        </is>
      </c>
      <c r="E65" s="3" t="inlineStr">
        <is>
          <t>47830525018311</t>
        </is>
      </c>
      <c r="F65" s="3" t="inlineStr"/>
      <c r="G65" s="3" t="inlineStr">
        <is>
          <t>GALLERY</t>
        </is>
      </c>
      <c r="H65" s="3" t="inlineStr">
        <is>
          <t>DIRECT_DOWNLOADED_GALLERY_ASSET_REVIEW</t>
        </is>
      </c>
      <c r="I65" s="3" t="inlineStr">
        <is>
          <t>2026-09-08T09:23:07+07:00</t>
        </is>
      </c>
      <c r="J65" s="3" t="inlineStr">
        <is>
          <t>Reading lifestyle image with Blessed is she blanket, open book, mug and small dog.</t>
        </is>
      </c>
      <c r="K65" s="3" t="inlineStr">
        <is>
          <t>Reading lifestyle image with Blessed is she blanket, open book, mug and small dog.</t>
        </is>
      </c>
      <c r="L65" s="3" t="inlineStr">
        <is>
          <t>SET</t>
        </is>
      </c>
      <c r="M65" s="3" t="inlineStr">
        <is>
          <t>Blessed is she blanket reading lifestyle mockup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/>
      <c r="X65" s="3" t="inlineStr">
        <is>
          <t>D:\Shopify_Workspace\jeminise_seo\seo_runs\jeminise.com\20260906_234129\qa\20260908_010000\images\099_07.jpg; seo_runs\jeminise.com\20260906_234129\evidence\images\99_custom-purple-floral-christian-cross-blanket-machine-washable-d2\image_07_47830525018311.jpg; seo_runs\jeminise.com\20260906_234129\evidence\contact_sheets\99_custom-purple-floral-christian-cross-blanket-machine-washable-d2.jpg</t>
        </is>
      </c>
    </row>
    <row r="66" ht="66" customHeight="1">
      <c r="A66" s="2" t="inlineStr">
        <is>
          <t>jeminise.com+custom-purple-floral-christian-cross-blanket-machine-washable-d2</t>
        </is>
      </c>
      <c r="B66" s="2" t="inlineStr">
        <is>
          <t>img_612521c22eb8c8b9</t>
        </is>
      </c>
      <c r="C66" s="4" t="inlineStr">
        <is>
          <t>https://cdn.shopify.com/s/files/1/0792/5098/1063/files/4bf3e5ac8d2c496079286be34619f530e3a2ef3ee4eb27bf1ccc7beac7dfa930.jpg?v=1786596467</t>
        </is>
      </c>
      <c r="D66" s="4" t="inlineStr">
        <is>
          <t>https://cdn.shopify.com/s/files/1/0792/5098/1063/files/4bf3e5ac8d2c496079286be34619f530e3a2ef3ee4eb27bf1ccc7beac7dfa930.jpg?v=1786596467</t>
        </is>
      </c>
      <c r="E66" s="2" t="inlineStr">
        <is>
          <t>47830525051079</t>
        </is>
      </c>
      <c r="F66" s="2" t="inlineStr"/>
      <c r="G66" s="2" t="inlineStr">
        <is>
          <t>GALLERY</t>
        </is>
      </c>
      <c r="H66" s="2" t="inlineStr">
        <is>
          <t>DIRECT_DOWNLOADED_GALLERY_ASSET_REVIEW</t>
        </is>
      </c>
      <c r="I66" s="2" t="inlineStr">
        <is>
          <t>2026-09-08T09:23:07+07:00</t>
        </is>
      </c>
      <c r="J66" s="2" t="inlineStr">
        <is>
          <t>Use and size panel showing 80 by 60 blanket, text can be changed badge and personalization badge.</t>
        </is>
      </c>
      <c r="K66" s="2" t="inlineStr">
        <is>
          <t>Use and size panel showing 80 by 60 blanket, text can be changed badge and personalization badge.</t>
        </is>
      </c>
      <c r="L66" s="2" t="inlineStr">
        <is>
          <t>SET</t>
        </is>
      </c>
      <c r="M66" s="2" t="inlineStr">
        <is>
          <t>Blessed is she blanket size and use panel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5">
        <f>IF(N66="FULL",40,IF(N66="PARTIAL",40/2,0))+IF(O66="FULL",30,IF(O66="PARTIAL",30/2,0))+IF(P66="FULL",20,IF(P66="PARTIAL",20/2,0))+IF(Q66="FULL",10,IF(Q66="PARTIAL",10/2,0))</f>
        <v/>
      </c>
      <c r="S66" s="5">
        <f>IF(N66="NOT_CHECKED",0,40)+IF(O66="NOT_CHECKED",0,30)+IF(P66="NOT_CHECKED",0,20)+IF(Q66="NOT_CHECKED",0,10)</f>
        <v/>
      </c>
      <c r="T66" s="5">
        <f>IF(S66=100,R66,"")</f>
        <v/>
      </c>
      <c r="U66" s="5">
        <f>R66</f>
        <v/>
      </c>
      <c r="V66" s="5">
        <f>R66+(100-S66)</f>
        <v/>
      </c>
      <c r="W66" s="2" t="inlineStr"/>
      <c r="X66" s="2" t="inlineStr">
        <is>
          <t>D:\Shopify_Workspace\jeminise_seo\seo_runs\jeminise.com\20260906_234129\qa\20260908_010000\images\099_08.jpg; seo_runs\jeminise.com\20260906_234129\evidence\images\99_custom-purple-floral-christian-cross-blanket-machine-washable-d2\image_08_47830525051079.jpg; seo_runs\jeminise.com\20260906_234129\evidence\contact_sheets\99_custom-purple-floral-christian-cross-blanket-machine-washable-d2.jpg</t>
        </is>
      </c>
    </row>
    <row r="67" ht="66" customHeight="1">
      <c r="A67" s="3" t="inlineStr">
        <is>
          <t>jeminise.com+custom-purple-floral-cross-with-butterflies-blanket-machi-design-14</t>
        </is>
      </c>
      <c r="B67" s="3" t="inlineStr">
        <is>
          <t>img_4b25d72337bd71ed</t>
        </is>
      </c>
      <c r="C67" s="4" t="inlineStr">
        <is>
          <t>https://cdn.shopify.com/s/files/1/0792/5098/1063/files/3d80b7de7d1f734e2ecfc7968366600fbdbd5ea5fa3c36401da4183fc73403f1.jpg?v=1786596780</t>
        </is>
      </c>
      <c r="D67" s="4" t="inlineStr">
        <is>
          <t>https://cdn.shopify.com/s/files/1/0792/5098/1063/files/3d80b7de7d1f734e2ecfc7968366600fbdbd5ea5fa3c36401da4183fc73403f1.jpg?v=1786596780</t>
        </is>
      </c>
      <c r="E67" s="3" t="inlineStr">
        <is>
          <t>47830590750919</t>
        </is>
      </c>
      <c r="F67" s="3" t="inlineStr"/>
      <c r="G67" s="3" t="inlineStr">
        <is>
          <t>GALLERY</t>
        </is>
      </c>
      <c r="H67" s="3" t="inlineStr">
        <is>
          <t>DIRECT_DOWNLOADED_GALLERY_ASSET_REVIEW</t>
        </is>
      </c>
      <c r="I67" s="3" t="inlineStr">
        <is>
          <t>2026-09-08T09:23:07+07:00</t>
        </is>
      </c>
      <c r="J67" s="3" t="inlineStr">
        <is>
          <t>Person holding purple scripture collage blanket with Estella name, draped cross and Bible verse blocks.</t>
        </is>
      </c>
      <c r="K67" s="3" t="inlineStr">
        <is>
          <t>Person holding purple scripture collage blanket with Estella name, draped cross and Bible verse blocks.</t>
        </is>
      </c>
      <c r="L67" s="3" t="inlineStr">
        <is>
          <t>SET</t>
        </is>
      </c>
      <c r="M67" s="3" t="inlineStr">
        <is>
          <t>Estella scripture collage blanket with cross</t>
        </is>
      </c>
      <c r="N67" s="3" t="inlineStr">
        <is>
          <t>FULL</t>
        </is>
      </c>
      <c r="O67" s="3" t="inlineStr">
        <is>
          <t>FULL</t>
        </is>
      </c>
      <c r="P67" s="3" t="inlineStr">
        <is>
          <t>FULL</t>
        </is>
      </c>
      <c r="Q67" s="3" t="inlineStr">
        <is>
          <t>FULL</t>
        </is>
      </c>
      <c r="R67" s="7">
        <f>IF(N67="FULL",40,IF(N67="PARTIAL",40/2,0))+IF(O67="FULL",30,IF(O67="PARTIAL",30/2,0))+IF(P67="FULL",20,IF(P67="PARTIAL",20/2,0))+IF(Q67="FULL",10,IF(Q67="PARTIAL",10/2,0))</f>
        <v/>
      </c>
      <c r="S67" s="7">
        <f>IF(N67="NOT_CHECKED",0,40)+IF(O67="NOT_CHECKED",0,30)+IF(P67="NOT_CHECKED",0,20)+IF(Q67="NOT_CHECKED",0,10)</f>
        <v/>
      </c>
      <c r="T67" s="7">
        <f>IF(S67=100,R67,"")</f>
        <v/>
      </c>
      <c r="U67" s="7">
        <f>R67</f>
        <v/>
      </c>
      <c r="V67" s="7">
        <f>R67+(100-S67)</f>
        <v/>
      </c>
      <c r="W67" s="3" t="inlineStr"/>
      <c r="X67" s="3" t="inlineStr">
        <is>
          <t>D:\Shopify_Workspace\jeminise_seo\seo_runs\jeminise.com\20260906_234129\qa\20260908_010000\images\100_01.jpg; seo_runs\jeminise.com\20260906_234129\evidence\images\100_custom-purple-floral-cross-with-butterflies-blanket-machi-design-14\image_01_47830590750919.jpg; seo_runs\jeminise.com\20260906_234129\evidence\contact_sheets\100_custom-purple-floral-cross-with-butterflies-blanket-machi-design-14.jpg</t>
        </is>
      </c>
    </row>
    <row r="68" ht="66" customHeight="1">
      <c r="A68" s="2" t="inlineStr">
        <is>
          <t>jeminise.com+custom-purple-floral-cross-with-butterflies-blanket-machi-design-14</t>
        </is>
      </c>
      <c r="B68" s="2" t="inlineStr">
        <is>
          <t>img_672840c2c0ff3d99</t>
        </is>
      </c>
      <c r="C68" s="4" t="inlineStr">
        <is>
          <t>https://cdn.shopify.com/s/files/1/0792/5098/1063/files/83e15a673d7d1da050a161634e22e9593dc2161ab2861c9d7a1565a35a0df5fd.jpg?v=1786596780</t>
        </is>
      </c>
      <c r="D68" s="4" t="inlineStr">
        <is>
          <t>https://cdn.shopify.com/s/files/1/0792/5098/1063/files/83e15a673d7d1da050a161634e22e9593dc2161ab2861c9d7a1565a35a0df5fd.jpg?v=1786596780</t>
        </is>
      </c>
      <c r="E68" s="2" t="inlineStr">
        <is>
          <t>47830590783687</t>
        </is>
      </c>
      <c r="F68" s="2" t="inlineStr"/>
      <c r="G68" s="2" t="inlineStr">
        <is>
          <t>GALLERY</t>
        </is>
      </c>
      <c r="H68" s="2" t="inlineStr">
        <is>
          <t>DIRECT_DOWNLOADED_GALLERY_ASSET_REVIEW</t>
        </is>
      </c>
      <c r="I68" s="2" t="inlineStr">
        <is>
          <t>2026-09-08T09:23:07+07:00</t>
        </is>
      </c>
      <c r="J68" s="2" t="inlineStr">
        <is>
          <t>Bed mockup of Estella scripture collage blanket with purple panels and draped cross artwork.</t>
        </is>
      </c>
      <c r="K68" s="2" t="inlineStr">
        <is>
          <t>Bed mockup of Estella scripture collage blanket with purple panels and draped cross artwork.</t>
        </is>
      </c>
      <c r="L68" s="2" t="inlineStr">
        <is>
          <t>SET</t>
        </is>
      </c>
      <c r="M68" s="2" t="inlineStr">
        <is>
          <t>Estella scripture collage blanket on bed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5">
        <f>IF(N68="FULL",40,IF(N68="PARTIAL",40/2,0))+IF(O68="FULL",30,IF(O68="PARTIAL",30/2,0))+IF(P68="FULL",20,IF(P68="PARTIAL",20/2,0))+IF(Q68="FULL",10,IF(Q68="PARTIAL",10/2,0))</f>
        <v/>
      </c>
      <c r="S68" s="5">
        <f>IF(N68="NOT_CHECKED",0,40)+IF(O68="NOT_CHECKED",0,30)+IF(P68="NOT_CHECKED",0,20)+IF(Q68="NOT_CHECKED",0,10)</f>
        <v/>
      </c>
      <c r="T68" s="5">
        <f>IF(S68=100,R68,"")</f>
        <v/>
      </c>
      <c r="U68" s="5">
        <f>R68</f>
        <v/>
      </c>
      <c r="V68" s="5">
        <f>R68+(100-S68)</f>
        <v/>
      </c>
      <c r="W68" s="2" t="inlineStr"/>
      <c r="X68" s="2" t="inlineStr">
        <is>
          <t>D:\Shopify_Workspace\jeminise_seo\seo_runs\jeminise.com\20260906_234129\qa\20260908_010000\images\100_02.jpg; seo_runs\jeminise.com\20260906_234129\evidence\images\100_custom-purple-floral-cross-with-butterflies-blanket-machi-design-14\image_02_47830590783687.jpg; seo_runs\jeminise.com\20260906_234129\evidence\contact_sheets\100_custom-purple-floral-cross-with-butterflies-blanket-machi-design-14.jpg</t>
        </is>
      </c>
    </row>
    <row r="69" ht="66" customHeight="1">
      <c r="A69" s="3" t="inlineStr">
        <is>
          <t>jeminise.com+custom-purple-floral-cross-with-butterflies-blanket-machi-design-14</t>
        </is>
      </c>
      <c r="B69" s="3" t="inlineStr">
        <is>
          <t>img_d122fe732083bee0</t>
        </is>
      </c>
      <c r="C69" s="4" t="inlineStr">
        <is>
          <t>https://cdn.shopify.com/s/files/1/0792/5098/1063/files/b032afe25c0b31b61cc058ec5d2b0b263e0f2d006ceccecc1b1a7eb01a1809dc.jpg?v=1786596780</t>
        </is>
      </c>
      <c r="D69" s="4" t="inlineStr">
        <is>
          <t>https://cdn.shopify.com/s/files/1/0792/5098/1063/files/b032afe25c0b31b61cc058ec5d2b0b263e0f2d006ceccecc1b1a7eb01a1809dc.jpg?v=1786596780</t>
        </is>
      </c>
      <c r="E69" s="3" t="inlineStr">
        <is>
          <t>47830590816455</t>
        </is>
      </c>
      <c r="F69" s="3" t="inlineStr"/>
      <c r="G69" s="3" t="inlineStr">
        <is>
          <t>GALLERY</t>
        </is>
      </c>
      <c r="H69" s="3" t="inlineStr">
        <is>
          <t>DIRECT_DOWNLOADED_GALLERY_ASSET_REVIEW</t>
        </is>
      </c>
      <c r="I69" s="3" t="inlineStr">
        <is>
          <t>2026-09-08T09:23:07+07:00</t>
        </is>
      </c>
      <c r="J69" s="3" t="inlineStr">
        <is>
          <t>Reading lifestyle image with scripture collage blanket, open book and small dog.</t>
        </is>
      </c>
      <c r="K69" s="3" t="inlineStr">
        <is>
          <t>Reading lifestyle image with scripture collage blanket, open book and small dog.</t>
        </is>
      </c>
      <c r="L69" s="3" t="inlineStr">
        <is>
          <t>SET</t>
        </is>
      </c>
      <c r="M69" s="3" t="inlineStr">
        <is>
          <t>Scripture collage blanket reading lifestyle mockup</t>
        </is>
      </c>
      <c r="N69" s="3" t="inlineStr">
        <is>
          <t>FULL</t>
        </is>
      </c>
      <c r="O69" s="3" t="inlineStr">
        <is>
          <t>FULL</t>
        </is>
      </c>
      <c r="P69" s="3" t="inlineStr">
        <is>
          <t>FULL</t>
        </is>
      </c>
      <c r="Q69" s="3" t="inlineStr">
        <is>
          <t>FULL</t>
        </is>
      </c>
      <c r="R69" s="7">
        <f>IF(N69="FULL",40,IF(N69="PARTIAL",40/2,0))+IF(O69="FULL",30,IF(O69="PARTIAL",30/2,0))+IF(P69="FULL",20,IF(P69="PARTIAL",20/2,0))+IF(Q69="FULL",10,IF(Q69="PARTIAL",10/2,0))</f>
        <v/>
      </c>
      <c r="S69" s="7">
        <f>IF(N69="NOT_CHECKED",0,40)+IF(O69="NOT_CHECKED",0,30)+IF(P69="NOT_CHECKED",0,20)+IF(Q69="NOT_CHECKED",0,10)</f>
        <v/>
      </c>
      <c r="T69" s="7">
        <f>IF(S69=100,R69,"")</f>
        <v/>
      </c>
      <c r="U69" s="7">
        <f>R69</f>
        <v/>
      </c>
      <c r="V69" s="7">
        <f>R69+(100-S69)</f>
        <v/>
      </c>
      <c r="W69" s="3" t="inlineStr"/>
      <c r="X69" s="3" t="inlineStr">
        <is>
          <t>D:\Shopify_Workspace\jeminise_seo\seo_runs\jeminise.com\20260906_234129\qa\20260908_010000\images\100_03.jpg; seo_runs\jeminise.com\20260906_234129\evidence\images\100_custom-purple-floral-cross-with-butterflies-blanket-machi-design-14\image_03_47830590816455.jpg; seo_runs\jeminise.com\20260906_234129\evidence\contact_sheets\100_custom-purple-floral-cross-with-butterflies-blanket-machi-design-14.jpg</t>
        </is>
      </c>
    </row>
    <row r="70" ht="66" customHeight="1">
      <c r="A70" s="2" t="inlineStr">
        <is>
          <t>jeminise.com+custom-purple-floral-cross-with-butterflies-blanket-machi-design-14</t>
        </is>
      </c>
      <c r="B70" s="2" t="inlineStr">
        <is>
          <t>img_115fa89a78a65c66</t>
        </is>
      </c>
      <c r="C70" s="4" t="inlineStr">
        <is>
          <t>https://cdn.shopify.com/s/files/1/0792/5098/1063/files/ee31f565477c8d5e60e6e828da4896e0d9999f7ac852fafc866a10174eec8bfd.jpg?v=1786596780</t>
        </is>
      </c>
      <c r="D70" s="4" t="inlineStr">
        <is>
          <t>https://cdn.shopify.com/s/files/1/0792/5098/1063/files/ee31f565477c8d5e60e6e828da4896e0d9999f7ac852fafc866a10174eec8bfd.jpg?v=1786596780</t>
        </is>
      </c>
      <c r="E70" s="2" t="inlineStr">
        <is>
          <t>47830590849223</t>
        </is>
      </c>
      <c r="F70" s="2" t="inlineStr"/>
      <c r="G70" s="2" t="inlineStr">
        <is>
          <t>GALLERY</t>
        </is>
      </c>
      <c r="H70" s="2" t="inlineStr">
        <is>
          <t>DIRECT_DOWNLOADED_GALLERY_ASSET_REVIEW</t>
        </is>
      </c>
      <c r="I70" s="2" t="inlineStr">
        <is>
          <t>2026-09-08T09:23:07+07:00</t>
        </is>
      </c>
      <c r="J70" s="2" t="inlineStr">
        <is>
          <t>Sofa mockup of Estella scripture collage blanket with cross, butterflies and verse blocks.</t>
        </is>
      </c>
      <c r="K70" s="2" t="inlineStr">
        <is>
          <t>Sofa mockup of Estella scripture collage blanket with cross, butterflies and verse blocks.</t>
        </is>
      </c>
      <c r="L70" s="2" t="inlineStr">
        <is>
          <t>SET</t>
        </is>
      </c>
      <c r="M70" s="2" t="inlineStr">
        <is>
          <t>Estella scripture collage blanket on sofa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5">
        <f>IF(N70="FULL",40,IF(N70="PARTIAL",40/2,0))+IF(O70="FULL",30,IF(O70="PARTIAL",30/2,0))+IF(P70="FULL",20,IF(P70="PARTIAL",20/2,0))+IF(Q70="FULL",10,IF(Q70="PARTIAL",10/2,0))</f>
        <v/>
      </c>
      <c r="S70" s="5">
        <f>IF(N70="NOT_CHECKED",0,40)+IF(O70="NOT_CHECKED",0,30)+IF(P70="NOT_CHECKED",0,20)+IF(Q70="NOT_CHECKED",0,10)</f>
        <v/>
      </c>
      <c r="T70" s="5">
        <f>IF(S70=100,R70,"")</f>
        <v/>
      </c>
      <c r="U70" s="5">
        <f>R70</f>
        <v/>
      </c>
      <c r="V70" s="5">
        <f>R70+(100-S70)</f>
        <v/>
      </c>
      <c r="W70" s="2" t="inlineStr"/>
      <c r="X70" s="2" t="inlineStr">
        <is>
          <t>D:\Shopify_Workspace\jeminise_seo\seo_runs\jeminise.com\20260906_234129\qa\20260908_010000\images\100_04.jpg; seo_runs\jeminise.com\20260906_234129\evidence\images\100_custom-purple-floral-cross-with-butterflies-blanket-machi-design-14\image_04_47830590849223.jpg; seo_runs\jeminise.com\20260906_234129\evidence\contact_sheets\100_custom-purple-floral-cross-with-butterflies-blanket-machi-design-14.jpg</t>
        </is>
      </c>
    </row>
    <row r="71" ht="66" customHeight="1">
      <c r="A71" s="3" t="inlineStr">
        <is>
          <t>jeminise.com+custom-purple-floral-cross-with-butterflies-blanket-machi-design-14</t>
        </is>
      </c>
      <c r="B71" s="3" t="inlineStr">
        <is>
          <t>img_1cf2ff3b7deb7381</t>
        </is>
      </c>
      <c r="C71" s="4" t="inlineStr">
        <is>
          <t>https://cdn.shopify.com/s/files/1/0792/5098/1063/files/57b0bb2bb4ea8e6a43e9de940df134059dc576db7cbabe4b7496475a71f27764.jpg?v=1786596780</t>
        </is>
      </c>
      <c r="D71" s="4" t="inlineStr">
        <is>
          <t>https://cdn.shopify.com/s/files/1/0792/5098/1063/files/57b0bb2bb4ea8e6a43e9de940df134059dc576db7cbabe4b7496475a71f27764.jpg?v=1786596780</t>
        </is>
      </c>
      <c r="E71" s="3" t="inlineStr">
        <is>
          <t>47830590881991</t>
        </is>
      </c>
      <c r="F71" s="3" t="inlineStr"/>
      <c r="G71" s="3" t="inlineStr">
        <is>
          <t>GALLERY</t>
        </is>
      </c>
      <c r="H71" s="3" t="inlineStr">
        <is>
          <t>DIRECT_DOWNLOADED_GALLERY_ASSET_REVIEW</t>
        </is>
      </c>
      <c r="I71" s="3" t="inlineStr">
        <is>
          <t>2026-09-08T09:23:07+07:00</t>
        </is>
      </c>
      <c r="J71" s="3" t="inlineStr">
        <is>
          <t>Close reading view of purple scripture blanket with mug, open book and draped cross detail.</t>
        </is>
      </c>
      <c r="K71" s="3" t="inlineStr">
        <is>
          <t>Close reading view of purple scripture blanket with mug, open book and draped cross detail.</t>
        </is>
      </c>
      <c r="L71" s="3" t="inlineStr">
        <is>
          <t>SET</t>
        </is>
      </c>
      <c r="M71" s="3" t="inlineStr">
        <is>
          <t>Estella scripture blanket reading close-up</t>
        </is>
      </c>
      <c r="N71" s="3" t="inlineStr">
        <is>
          <t>FULL</t>
        </is>
      </c>
      <c r="O71" s="3" t="inlineStr">
        <is>
          <t>FULL</t>
        </is>
      </c>
      <c r="P71" s="3" t="inlineStr">
        <is>
          <t>FULL</t>
        </is>
      </c>
      <c r="Q71" s="3" t="inlineStr">
        <is>
          <t>FULL</t>
        </is>
      </c>
      <c r="R71" s="7">
        <f>IF(N71="FULL",40,IF(N71="PARTIAL",40/2,0))+IF(O71="FULL",30,IF(O71="PARTIAL",30/2,0))+IF(P71="FULL",20,IF(P71="PARTIAL",20/2,0))+IF(Q71="FULL",10,IF(Q71="PARTIAL",10/2,0))</f>
        <v/>
      </c>
      <c r="S71" s="7">
        <f>IF(N71="NOT_CHECKED",0,40)+IF(O71="NOT_CHECKED",0,30)+IF(P71="NOT_CHECKED",0,20)+IF(Q71="NOT_CHECKED",0,10)</f>
        <v/>
      </c>
      <c r="T71" s="7">
        <f>IF(S71=100,R71,"")</f>
        <v/>
      </c>
      <c r="U71" s="7">
        <f>R71</f>
        <v/>
      </c>
      <c r="V71" s="7">
        <f>R71+(100-S71)</f>
        <v/>
      </c>
      <c r="W71" s="3" t="inlineStr"/>
      <c r="X71" s="3" t="inlineStr">
        <is>
          <t>D:\Shopify_Workspace\jeminise_seo\seo_runs\jeminise.com\20260906_234129\qa\20260908_010000\images\100_05.jpg; seo_runs\jeminise.com\20260906_234129\evidence\images\100_custom-purple-floral-cross-with-butterflies-blanket-machi-design-14\image_05_47830590881991.jpg; seo_runs\jeminise.com\20260906_234129\evidence\contact_sheets\100_custom-purple-floral-cross-with-butterflies-blanket-machi-design-14.jpg</t>
        </is>
      </c>
    </row>
    <row r="72" ht="66" customHeight="1">
      <c r="A72" s="2" t="inlineStr">
        <is>
          <t>jeminise.com+custom-purple-floral-cross-with-butterflies-blanket-machi-design-14</t>
        </is>
      </c>
      <c r="B72" s="2" t="inlineStr">
        <is>
          <t>img_816b1eed48351175</t>
        </is>
      </c>
      <c r="C72" s="4" t="inlineStr">
        <is>
          <t>https://cdn.shopify.com/s/files/1/0792/5098/1063/files/229be66a9e9e5e22fdec36da8f53aaea958d634b94b90fbb3c8082284ba3eaf4.jpg?v=1786596780</t>
        </is>
      </c>
      <c r="D72" s="4" t="inlineStr">
        <is>
          <t>https://cdn.shopify.com/s/files/1/0792/5098/1063/files/229be66a9e9e5e22fdec36da8f53aaea958d634b94b90fbb3c8082284ba3eaf4.jpg?v=1786596780</t>
        </is>
      </c>
      <c r="E72" s="2" t="inlineStr">
        <is>
          <t>47830590914759</t>
        </is>
      </c>
      <c r="F72" s="2" t="inlineStr"/>
      <c r="G72" s="2" t="inlineStr">
        <is>
          <t>GALLERY</t>
        </is>
      </c>
      <c r="H72" s="2" t="inlineStr">
        <is>
          <t>DIRECT_DOWNLOADED_GALLERY_ASSET_REVIEW</t>
        </is>
      </c>
      <c r="I72" s="2" t="inlineStr">
        <is>
          <t>2026-09-08T09:23:07+07:00</t>
        </is>
      </c>
      <c r="J72" s="2" t="inlineStr">
        <is>
          <t>Feature panel showing machine washable, soft and warm, dense stitching and 260GSM fleece blanket.</t>
        </is>
      </c>
      <c r="K72" s="2" t="inlineStr">
        <is>
          <t>Feature panel showing machine washable, soft and warm, dense stitching and 260GSM fleece blanket.</t>
        </is>
      </c>
      <c r="L72" s="2" t="inlineStr">
        <is>
          <t>SET</t>
        </is>
      </c>
      <c r="M72" s="2" t="inlineStr">
        <is>
          <t>Scripture collage fleece feature panel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5">
        <f>IF(N72="FULL",40,IF(N72="PARTIAL",40/2,0))+IF(O72="FULL",30,IF(O72="PARTIAL",30/2,0))+IF(P72="FULL",20,IF(P72="PARTIAL",20/2,0))+IF(Q72="FULL",10,IF(Q72="PARTIAL",10/2,0))</f>
        <v/>
      </c>
      <c r="S72" s="5">
        <f>IF(N72="NOT_CHECKED",0,40)+IF(O72="NOT_CHECKED",0,30)+IF(P72="NOT_CHECKED",0,20)+IF(Q72="NOT_CHECKED",0,10)</f>
        <v/>
      </c>
      <c r="T72" s="5">
        <f>IF(S72=100,R72,"")</f>
        <v/>
      </c>
      <c r="U72" s="5">
        <f>R72</f>
        <v/>
      </c>
      <c r="V72" s="5">
        <f>R72+(100-S72)</f>
        <v/>
      </c>
      <c r="W72" s="2" t="inlineStr"/>
      <c r="X72" s="2" t="inlineStr">
        <is>
          <t>D:\Shopify_Workspace\jeminise_seo\seo_runs\jeminise.com\20260906_234129\qa\20260908_010000\images\100_06.jpg; seo_runs\jeminise.com\20260906_234129\evidence\images\100_custom-purple-floral-cross-with-butterflies-blanket-machi-design-14\image_06_47830590914759.jpg; seo_runs\jeminise.com\20260906_234129\evidence\contact_sheets\100_custom-purple-floral-cross-with-butterflies-blanket-machi-design-14.jpg</t>
        </is>
      </c>
    </row>
    <row r="73" ht="66" customHeight="1">
      <c r="A73" s="3" t="inlineStr">
        <is>
          <t>jeminise.com+custom-purple-floral-cross-with-butterflies-blanket-machi-design-14</t>
        </is>
      </c>
      <c r="B73" s="3" t="inlineStr">
        <is>
          <t>img_78a61f40cc5ddc71</t>
        </is>
      </c>
      <c r="C73" s="4" t="inlineStr">
        <is>
          <t>https://cdn.shopify.com/s/files/1/0792/5098/1063/files/c3a47e8ec44fb577496c4a89f94c907d6704a91509dd99a418f3dc0e038a4f3e.jpg?v=1786596780</t>
        </is>
      </c>
      <c r="D73" s="4" t="inlineStr">
        <is>
          <t>https://cdn.shopify.com/s/files/1/0792/5098/1063/files/c3a47e8ec44fb577496c4a89f94c907d6704a91509dd99a418f3dc0e038a4f3e.jpg?v=1786596780</t>
        </is>
      </c>
      <c r="E73" s="3" t="inlineStr">
        <is>
          <t>47830590947527</t>
        </is>
      </c>
      <c r="F73" s="3" t="inlineStr"/>
      <c r="G73" s="3" t="inlineStr">
        <is>
          <t>GALLERY</t>
        </is>
      </c>
      <c r="H73" s="3" t="inlineStr">
        <is>
          <t>DIRECT_DOWNLOADED_GALLERY_ASSET_REVIEW</t>
        </is>
      </c>
      <c r="I73" s="3" t="inlineStr">
        <is>
          <t>2026-09-08T09:23:07+07:00</t>
        </is>
      </c>
      <c r="J73" s="3" t="inlineStr">
        <is>
          <t>Fabric collage showing purple verse text, draped cross detail, butterfly artwork and white fleece.</t>
        </is>
      </c>
      <c r="K73" s="3" t="inlineStr">
        <is>
          <t>Fabric collage showing purple verse text, draped cross detail, butterfly artwork and white fleece.</t>
        </is>
      </c>
      <c r="L73" s="3" t="inlineStr">
        <is>
          <t>SET</t>
        </is>
      </c>
      <c r="M73" s="3" t="inlineStr">
        <is>
          <t>Close-up collage for scripture collage blanket</t>
        </is>
      </c>
      <c r="N73" s="3" t="inlineStr">
        <is>
          <t>FULL</t>
        </is>
      </c>
      <c r="O73" s="3" t="inlineStr">
        <is>
          <t>FULL</t>
        </is>
      </c>
      <c r="P73" s="3" t="inlineStr">
        <is>
          <t>FULL</t>
        </is>
      </c>
      <c r="Q73" s="3" t="inlineStr">
        <is>
          <t>FULL</t>
        </is>
      </c>
      <c r="R73" s="7">
        <f>IF(N73="FULL",40,IF(N73="PARTIAL",40/2,0))+IF(O73="FULL",30,IF(O73="PARTIAL",30/2,0))+IF(P73="FULL",20,IF(P73="PARTIAL",20/2,0))+IF(Q73="FULL",10,IF(Q73="PARTIAL",10/2,0))</f>
        <v/>
      </c>
      <c r="S73" s="7">
        <f>IF(N73="NOT_CHECKED",0,40)+IF(O73="NOT_CHECKED",0,30)+IF(P73="NOT_CHECKED",0,20)+IF(Q73="NOT_CHECKED",0,10)</f>
        <v/>
      </c>
      <c r="T73" s="7">
        <f>IF(S73=100,R73,"")</f>
        <v/>
      </c>
      <c r="U73" s="7">
        <f>R73</f>
        <v/>
      </c>
      <c r="V73" s="7">
        <f>R73+(100-S73)</f>
        <v/>
      </c>
      <c r="W73" s="3" t="inlineStr"/>
      <c r="X73" s="3" t="inlineStr">
        <is>
          <t>D:\Shopify_Workspace\jeminise_seo\seo_runs\jeminise.com\20260906_234129\qa\20260908_010000\images\100_07.jpg; seo_runs\jeminise.com\20260906_234129\evidence\images\100_custom-purple-floral-cross-with-butterflies-blanket-machi-design-14\image_07_47830590947527.jpg; seo_runs\jeminise.com\20260906_234129\evidence\contact_sheets\100_custom-purple-floral-cross-with-butterflies-blanket-machi-design-14.jpg</t>
        </is>
      </c>
    </row>
    <row r="74" ht="66" customHeight="1">
      <c r="A74" s="2" t="inlineStr">
        <is>
          <t>jeminise.com+custom-purple-floral-cross-with-butterflies-blanket-machi-design-14</t>
        </is>
      </c>
      <c r="B74" s="2" t="inlineStr">
        <is>
          <t>img_f687d0693e5cb481</t>
        </is>
      </c>
      <c r="C74" s="4" t="inlineStr">
        <is>
          <t>https://cdn.shopify.com/s/files/1/0792/5098/1063/files/fae8e2040b0e02cb6244f200a057209b7427bd45ced7b542a3836dde42c2e396.jpg?v=1786596780</t>
        </is>
      </c>
      <c r="D74" s="4" t="inlineStr">
        <is>
          <t>https://cdn.shopify.com/s/files/1/0792/5098/1063/files/fae8e2040b0e02cb6244f200a057209b7427bd45ced7b542a3836dde42c2e396.jpg?v=1786596780</t>
        </is>
      </c>
      <c r="E74" s="2" t="inlineStr">
        <is>
          <t>47830590980295</t>
        </is>
      </c>
      <c r="F74" s="2" t="inlineStr"/>
      <c r="G74" s="2" t="inlineStr">
        <is>
          <t>GALLERY</t>
        </is>
      </c>
      <c r="H74" s="2" t="inlineStr">
        <is>
          <t>DIRECT_DOWNLOADED_GALLERY_ASSET_REVIEW</t>
        </is>
      </c>
      <c r="I74" s="2" t="inlineStr">
        <is>
          <t>2026-09-08T09:23:07+07:00</t>
        </is>
      </c>
      <c r="J74" s="2" t="inlineStr">
        <is>
          <t>Use and size panel showing 80 by 60 blanket and travel, sleeping, reading, relaxing and camping icons.</t>
        </is>
      </c>
      <c r="K74" s="2" t="inlineStr">
        <is>
          <t>Use and size panel showing 80 by 60 blanket and travel, sleeping, reading, relaxing and camping icons.</t>
        </is>
      </c>
      <c r="L74" s="2" t="inlineStr">
        <is>
          <t>SET</t>
        </is>
      </c>
      <c r="M74" s="2" t="inlineStr">
        <is>
          <t>Scripture collage blanket size and use panel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5">
        <f>IF(N74="FULL",40,IF(N74="PARTIAL",40/2,0))+IF(O74="FULL",30,IF(O74="PARTIAL",30/2,0))+IF(P74="FULL",20,IF(P74="PARTIAL",20/2,0))+IF(Q74="FULL",10,IF(Q74="PARTIAL",10/2,0))</f>
        <v/>
      </c>
      <c r="S74" s="5">
        <f>IF(N74="NOT_CHECKED",0,40)+IF(O74="NOT_CHECKED",0,30)+IF(P74="NOT_CHECKED",0,20)+IF(Q74="NOT_CHECKED",0,10)</f>
        <v/>
      </c>
      <c r="T74" s="5">
        <f>IF(S74=100,R74,"")</f>
        <v/>
      </c>
      <c r="U74" s="5">
        <f>R74</f>
        <v/>
      </c>
      <c r="V74" s="5">
        <f>R74+(100-S74)</f>
        <v/>
      </c>
      <c r="W74" s="2" t="inlineStr"/>
      <c r="X74" s="2" t="inlineStr">
        <is>
          <t>D:\Shopify_Workspace\jeminise_seo\seo_runs\jeminise.com\20260906_234129\qa\20260908_010000\images\100_08.jpg; seo_runs\jeminise.com\20260906_234129\evidence\images\100_custom-purple-floral-cross-with-butterflies-blanket-machi-design-14\image_08_47830590980295.jpg; seo_runs\jeminise.com\20260906_234129\evidence\contact_sheets\100_custom-purple-floral-cross-with-butterflies-blanket-machi-design-14.jpg</t>
        </is>
      </c>
    </row>
  </sheetData>
  <autoFilter ref="A1:X74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  <hyperlink xmlns:r="http://schemas.openxmlformats.org/officeDocument/2006/relationships" ref="C74" r:id="rId145"/>
    <hyperlink xmlns:r="http://schemas.openxmlformats.org/officeDocument/2006/relationships" ref="D74" r:id="rId146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ISSUE-0001</t>
        </is>
      </c>
      <c r="B2" s="2" t="inlineStr">
        <is>
          <t>jeminise.com+custom-native-american-inspired-wolf-head-inside-circular-frame-comforter-d351b4bfe1-d351b4bfe1</t>
        </is>
      </c>
      <c r="C2" s="2" t="inlineStr"/>
      <c r="D2" s="2" t="inlineStr">
        <is>
          <t>LIMITATION</t>
        </is>
      </c>
      <c r="E2" s="2" t="inlineStr">
        <is>
          <t>keyword_evidence_level</t>
        </is>
      </c>
      <c r="F2" s="2" t="inlineStr">
        <is>
          <t>SERP_ONLY</t>
        </is>
      </c>
      <c r="G2" s="2" t="inlineStr">
        <is>
          <t>Two US public query records; no paid volume, Search Console or on-site search export.</t>
        </is>
      </c>
      <c r="H2" s="2" t="inlineStr">
        <is>
          <t>Demand evidence remains SERP_ONLY, so no demand/volume claim is warranted.</t>
        </is>
      </c>
      <c r="I2" s="2" t="inlineStr">
        <is>
          <t>Keep demand claims qualitative; attach first-party or paid keyword evidence when available.</t>
        </is>
      </c>
      <c r="J2" s="2" t="inlineStr">
        <is>
          <t>Two US public query records; no paid volume, Search Console or on-site search export.</t>
        </is>
      </c>
      <c r="K2" s="2" t="inlineStr">
        <is>
          <t>New evidence is linked in Keyword_Map.</t>
        </is>
      </c>
    </row>
    <row r="3" ht="84" customHeight="1">
      <c r="A3" s="3" t="inlineStr">
        <is>
          <t>ISSUE-0002</t>
        </is>
      </c>
      <c r="B3" s="3" t="inlineStr">
        <is>
          <t>jeminise.com+custom-neon-green-soccer-player-artwork-comforter-set-boys-room-decor</t>
        </is>
      </c>
      <c r="C3" s="3" t="inlineStr"/>
      <c r="D3" s="3" t="inlineStr">
        <is>
          <t>LIMITATION</t>
        </is>
      </c>
      <c r="E3" s="3" t="inlineStr">
        <is>
          <t>keyword_evidence_level</t>
        </is>
      </c>
      <c r="F3" s="3" t="inlineStr">
        <is>
          <t>SERP_ONLY</t>
        </is>
      </c>
      <c r="G3" s="3" t="inlineStr">
        <is>
          <t>Two US public query records; no paid volume, Search Console or on-site search export.</t>
        </is>
      </c>
      <c r="H3" s="3" t="inlineStr">
        <is>
          <t>Demand evidence remains SERP_ONLY, so no demand/volume claim is warranted.</t>
        </is>
      </c>
      <c r="I3" s="3" t="inlineStr">
        <is>
          <t>Keep demand claims qualitative; attach first-party or paid keyword evidence when available.</t>
        </is>
      </c>
      <c r="J3" s="3" t="inlineStr">
        <is>
          <t>Two US public query records; no paid volume, Search Console or on-site search export.</t>
        </is>
      </c>
      <c r="K3" s="3" t="inlineStr">
        <is>
          <t>New evidence is linked in Keyword_Map.</t>
        </is>
      </c>
    </row>
    <row r="4" ht="84" customHeight="1">
      <c r="A4" s="2" t="inlineStr">
        <is>
          <t>ISSUE-0003</t>
        </is>
      </c>
      <c r="B4" s="2" t="inlineStr">
        <is>
          <t>jeminise.com+custom-patriotic-semi-truck-on-american-flag-background-comforter-e664ba94f8-e664ba94f8</t>
        </is>
      </c>
      <c r="C4" s="2" t="inlineStr"/>
      <c r="D4" s="2" t="inlineStr">
        <is>
          <t>LIMITATION</t>
        </is>
      </c>
      <c r="E4" s="2" t="inlineStr">
        <is>
          <t>keyword_evidence_level</t>
        </is>
      </c>
      <c r="F4" s="2" t="inlineStr">
        <is>
          <t>SERP_ONLY</t>
        </is>
      </c>
      <c r="G4" s="2" t="inlineStr">
        <is>
          <t>Two US public query records; no paid volume, Search Console or on-site search export.</t>
        </is>
      </c>
      <c r="H4" s="2" t="inlineStr">
        <is>
          <t>Demand evidence remains SERP_ONLY, so no demand/volume claim is warranted.</t>
        </is>
      </c>
      <c r="I4" s="2" t="inlineStr">
        <is>
          <t>Keep demand claims qualitative; attach first-party or paid keyword evidence when available.</t>
        </is>
      </c>
      <c r="J4" s="2" t="inlineStr">
        <is>
          <t>Two US public query records; no paid volume, Search Console or on-site search export.</t>
        </is>
      </c>
      <c r="K4" s="2" t="inlineStr">
        <is>
          <t>New evidence is linked in Keyword_Map.</t>
        </is>
      </c>
    </row>
    <row r="5" ht="84" customHeight="1">
      <c r="A5" s="3" t="inlineStr">
        <is>
          <t>ISSUE-0004</t>
        </is>
      </c>
      <c r="B5" s="3" t="inlineStr">
        <is>
          <t>jeminise.com+custom-patriotic-semi-truck-with-waving-american-flag-comforter-e01f2755b2-e01f2755b2</t>
        </is>
      </c>
      <c r="C5" s="3" t="inlineStr"/>
      <c r="D5" s="3" t="inlineStr">
        <is>
          <t>LIMITATION</t>
        </is>
      </c>
      <c r="E5" s="3" t="inlineStr">
        <is>
          <t>keyword_evidence_level</t>
        </is>
      </c>
      <c r="F5" s="3" t="inlineStr">
        <is>
          <t>SERP_ONLY</t>
        </is>
      </c>
      <c r="G5" s="3" t="inlineStr">
        <is>
          <t>Two US public query records; no paid volume, Search Console or on-site search export.</t>
        </is>
      </c>
      <c r="H5" s="3" t="inlineStr">
        <is>
          <t>Demand evidence remains SERP_ONLY, so no demand/volume claim is warranted.</t>
        </is>
      </c>
      <c r="I5" s="3" t="inlineStr">
        <is>
          <t>Keep demand claims qualitative; attach first-party or paid keyword evidence when available.</t>
        </is>
      </c>
      <c r="J5" s="3" t="inlineStr">
        <is>
          <t>Two US public query records; no paid volume, Search Console or on-site search export.</t>
        </is>
      </c>
      <c r="K5" s="3" t="inlineStr">
        <is>
          <t>New evidence is linked in Keyword_Map.</t>
        </is>
      </c>
    </row>
    <row r="6" ht="84" customHeight="1">
      <c r="A6" s="2" t="inlineStr">
        <is>
          <t>ISSUE-0005</t>
        </is>
      </c>
      <c r="B6" s="2" t="inlineStr">
        <is>
          <t>jeminise.com+custom-patriotic-trucking-semi-truck-below-waving-american-flag-comforter-05c0cd8623-05c0cd8623</t>
        </is>
      </c>
      <c r="C6" s="2" t="inlineStr"/>
      <c r="D6" s="2" t="inlineStr">
        <is>
          <t>LIMITATION</t>
        </is>
      </c>
      <c r="E6" s="2" t="inlineStr">
        <is>
          <t>keyword_evidence_level</t>
        </is>
      </c>
      <c r="F6" s="2" t="inlineStr">
        <is>
          <t>SERP_ONLY</t>
        </is>
      </c>
      <c r="G6" s="2" t="inlineStr">
        <is>
          <t>Two US public query records; no paid volume, Search Console or on-site search export.</t>
        </is>
      </c>
      <c r="H6" s="2" t="inlineStr">
        <is>
          <t>Demand evidence remains SERP_ONLY, so no demand/volume claim is warranted.</t>
        </is>
      </c>
      <c r="I6" s="2" t="inlineStr">
        <is>
          <t>Keep demand claims qualitative; attach first-party or paid keyword evidence when available.</t>
        </is>
      </c>
      <c r="J6" s="2" t="inlineStr">
        <is>
          <t>Two US public query records; no paid volume, Search Console or on-site search export.</t>
        </is>
      </c>
      <c r="K6" s="2" t="inlineStr">
        <is>
          <t>New evidence is linked in Keyword_Map.</t>
        </is>
      </c>
    </row>
    <row r="7" ht="84" customHeight="1">
      <c r="A7" s="3" t="inlineStr">
        <is>
          <t>ISSUE-0006</t>
        </is>
      </c>
      <c r="B7" s="3" t="inlineStr">
        <is>
          <t>jeminise.com+custom-photo-quilt-bicycle-flowers-07e2c6fca1-07e2c6fca1</t>
        </is>
      </c>
      <c r="C7" s="3" t="inlineStr"/>
      <c r="D7" s="3" t="inlineStr">
        <is>
          <t>LIMITATION</t>
        </is>
      </c>
      <c r="E7" s="3" t="inlineStr">
        <is>
          <t>keyword_evidence_level</t>
        </is>
      </c>
      <c r="F7" s="3" t="inlineStr">
        <is>
          <t>SERP_ONLY</t>
        </is>
      </c>
      <c r="G7" s="3" t="inlineStr">
        <is>
          <t>Two US public query records; no paid volume, Search Console or on-site search export.</t>
        </is>
      </c>
      <c r="H7" s="3" t="inlineStr">
        <is>
          <t>Demand evidence remains SERP_ONLY, so no demand/volume claim is warranted.</t>
        </is>
      </c>
      <c r="I7" s="3" t="inlineStr">
        <is>
          <t>Keep demand claims qualitative; attach first-party or paid keyword evidence when available.</t>
        </is>
      </c>
      <c r="J7" s="3" t="inlineStr">
        <is>
          <t>Two US public query records; no paid volume, Search Console or on-site search export.</t>
        </is>
      </c>
      <c r="K7" s="3" t="inlineStr">
        <is>
          <t>New evidence is linked in Keyword_Map.</t>
        </is>
      </c>
    </row>
    <row r="8" ht="84" customHeight="1">
      <c r="A8" s="2" t="inlineStr">
        <is>
          <t>ISSUE-0007</t>
        </is>
      </c>
      <c r="B8" s="2" t="inlineStr">
        <is>
          <t>jeminise.com+custom-purple-butterflies-text-blanket-machine-washable-d7b</t>
        </is>
      </c>
      <c r="C8" s="2" t="inlineStr"/>
      <c r="D8" s="2" t="inlineStr">
        <is>
          <t>LIMITATION</t>
        </is>
      </c>
      <c r="E8" s="2" t="inlineStr">
        <is>
          <t>keyword_evidence_level</t>
        </is>
      </c>
      <c r="F8" s="2" t="inlineStr">
        <is>
          <t>SERP_ONLY</t>
        </is>
      </c>
      <c r="G8" s="2" t="inlineStr">
        <is>
          <t>Two US public query records; no paid volume, Search Console or on-site search export.</t>
        </is>
      </c>
      <c r="H8" s="2" t="inlineStr">
        <is>
          <t>Demand evidence remains SERP_ONLY, so no demand/volume claim is warranted.</t>
        </is>
      </c>
      <c r="I8" s="2" t="inlineStr">
        <is>
          <t>Keep demand claims qualitative; attach first-party or paid keyword evidence when available.</t>
        </is>
      </c>
      <c r="J8" s="2" t="inlineStr">
        <is>
          <t>Two US public query records; no paid volume, Search Console or on-site search export.</t>
        </is>
      </c>
      <c r="K8" s="2" t="inlineStr">
        <is>
          <t>New evidence is linked in Keyword_Map.</t>
        </is>
      </c>
    </row>
    <row r="9" ht="84" customHeight="1">
      <c r="A9" s="3" t="inlineStr">
        <is>
          <t>ISSUE-0008</t>
        </is>
      </c>
      <c r="B9" s="3" t="inlineStr">
        <is>
          <t>jeminise.com+custom-purple-butterfly-christian-blanket-machine-washable-d15</t>
        </is>
      </c>
      <c r="C9" s="3" t="inlineStr"/>
      <c r="D9" s="3" t="inlineStr">
        <is>
          <t>LIMITATION</t>
        </is>
      </c>
      <c r="E9" s="3" t="inlineStr">
        <is>
          <t>keyword_evidence_level</t>
        </is>
      </c>
      <c r="F9" s="3" t="inlineStr">
        <is>
          <t>SERP_ONLY</t>
        </is>
      </c>
      <c r="G9" s="3" t="inlineStr">
        <is>
          <t>Two US public query records; no paid volume, Search Console or on-site search export.</t>
        </is>
      </c>
      <c r="H9" s="3" t="inlineStr">
        <is>
          <t>Demand evidence remains SERP_ONLY, so no demand/volume claim is warranted.</t>
        </is>
      </c>
      <c r="I9" s="3" t="inlineStr">
        <is>
          <t>Keep demand claims qualitative; attach first-party or paid keyword evidence when available.</t>
        </is>
      </c>
      <c r="J9" s="3" t="inlineStr">
        <is>
          <t>Two US public query records; no paid volume, Search Console or on-site search export.</t>
        </is>
      </c>
      <c r="K9" s="3" t="inlineStr">
        <is>
          <t>New evidence is linked in Keyword_Map.</t>
        </is>
      </c>
    </row>
    <row r="10" ht="84" customHeight="1">
      <c r="A10" s="2" t="inlineStr">
        <is>
          <t>ISSUE-0009</t>
        </is>
      </c>
      <c r="B10" s="2" t="inlineStr">
        <is>
          <t>jeminise.com+custom-purple-floral-christian-cross-blanket-machine-washable-d2</t>
        </is>
      </c>
      <c r="C10" s="2" t="inlineStr"/>
      <c r="D10" s="2" t="inlineStr">
        <is>
          <t>LIMITATION</t>
        </is>
      </c>
      <c r="E10" s="2" t="inlineStr">
        <is>
          <t>keyword_evidence_level</t>
        </is>
      </c>
      <c r="F10" s="2" t="inlineStr">
        <is>
          <t>SERP_ONLY</t>
        </is>
      </c>
      <c r="G10" s="2" t="inlineStr">
        <is>
          <t>Two US public query records; no paid volume, Search Console or on-site search export.</t>
        </is>
      </c>
      <c r="H10" s="2" t="inlineStr">
        <is>
          <t>Demand evidence remains SERP_ONLY, so no demand/volume claim is warranted.</t>
        </is>
      </c>
      <c r="I10" s="2" t="inlineStr">
        <is>
          <t>Keep demand claims qualitative; attach first-party or paid keyword evidence when available.</t>
        </is>
      </c>
      <c r="J10" s="2" t="inlineStr">
        <is>
          <t>Two US public query records; no paid volume, Search Console or on-site search export.</t>
        </is>
      </c>
      <c r="K10" s="2" t="inlineStr">
        <is>
          <t>New evidence is linked in Keyword_Map.</t>
        </is>
      </c>
    </row>
    <row r="11" ht="84" customHeight="1">
      <c r="A11" s="3" t="inlineStr">
        <is>
          <t>ISSUE-0010</t>
        </is>
      </c>
      <c r="B11" s="3" t="inlineStr">
        <is>
          <t>jeminise.com+custom-purple-floral-cross-with-butterflies-blanket-machi-design-14</t>
        </is>
      </c>
      <c r="C11" s="3" t="inlineStr"/>
      <c r="D11" s="3" t="inlineStr">
        <is>
          <t>LIMITATION</t>
        </is>
      </c>
      <c r="E11" s="3" t="inlineStr">
        <is>
          <t>keyword_evidence_level</t>
        </is>
      </c>
      <c r="F11" s="3" t="inlineStr">
        <is>
          <t>SERP_ONLY</t>
        </is>
      </c>
      <c r="G11" s="3" t="inlineStr">
        <is>
          <t>Two US public query records; no paid volume, Search Console or on-site search export.</t>
        </is>
      </c>
      <c r="H11" s="3" t="inlineStr">
        <is>
          <t>Demand evidence remains SERP_ONLY, so no demand/volume claim is warranted.</t>
        </is>
      </c>
      <c r="I11" s="3" t="inlineStr">
        <is>
          <t>Keep demand claims qualitative; attach first-party or paid keyword evidence when available.</t>
        </is>
      </c>
      <c r="J11" s="3" t="inlineStr">
        <is>
          <t>Two US public query records; no paid volume, Search Console or on-site search export.</t>
        </is>
      </c>
      <c r="K11" s="3" t="inlineStr">
        <is>
          <t>New evidence is linked in Keyword_Map.</t>
        </is>
      </c>
    </row>
  </sheetData>
  <autoFilter ref="A1:K11"/>
  <conditionalFormatting sqref="D2:D11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2026-09-08T02:23:07Z</dcterms:created>
  <dcterms:modified xmlns:dcterms="http://purl.org/dc/terms/" xmlns:xsi="http://www.w3.org/2001/XMLSchema-instance" xsi:type="dcterms:W3CDTF">2026-09-08T02:23:07Z</dcterms:modified>
</cp:coreProperties>
</file>