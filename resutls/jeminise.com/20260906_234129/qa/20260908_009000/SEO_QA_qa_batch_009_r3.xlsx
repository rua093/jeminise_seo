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'QA_Summary'!$A$1:$C$7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'QA_Images'!$A$1:$AA$60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name-catcher-batter-baseball-baseball-throw-baseba-design-01" TargetMode="External" Id="rId1"/><Relationship Type="http://schemas.openxmlformats.org/officeDocument/2006/relationships/hyperlink" Target="https://jeminise.com/products/custom-name-catcher-batter-baseball-baseball-throw-baseba-design-07" TargetMode="External" Id="rId2"/><Relationship Type="http://schemas.openxmlformats.org/officeDocument/2006/relationships/hyperlink" Target="https://jeminise.com/products/custom-name-catcher-batter-baseball-baseball-throw-baseba-design-10" TargetMode="External" Id="rId3"/><Relationship Type="http://schemas.openxmlformats.org/officeDocument/2006/relationships/hyperlink" Target="https://jeminise.com/products/custom-name-catcher-batter-baseball-baseball-throw-baseba-design-11" TargetMode="External" Id="rId4"/><Relationship Type="http://schemas.openxmlformats.org/officeDocument/2006/relationships/hyperlink" Target="https://jeminise.com/products/custom-name-catcher-batter-baseball-baseball-throw-baseba-design-12" TargetMode="External" Id="rId5"/><Relationship Type="http://schemas.openxmlformats.org/officeDocument/2006/relationships/hyperlink" Target="https://jeminise.com/products/custom-name-catcher-batter-baseball-baseball-throw-baseba-design-13" TargetMode="External" Id="rId6"/><Relationship Type="http://schemas.openxmlformats.org/officeDocument/2006/relationships/hyperlink" Target="https://jeminise.com/products/custom-name-catcher-batter-baseball-baseball-throw-baseba-design-17" TargetMode="External" Id="rId7"/><Relationship Type="http://schemas.openxmlformats.org/officeDocument/2006/relationships/hyperlink" Target="https://jeminise.com/products/custom-name-catcher-batter-baseball-baseball-throw-baseba-design-18" TargetMode="External" Id="rId8"/><Relationship Type="http://schemas.openxmlformats.org/officeDocument/2006/relationships/hyperlink" Target="https://jeminise.com/products/custom-name-catcher-batter-baseball-baseball-throw-baseba-design-21" TargetMode="External" Id="rId9"/><Relationship Type="http://schemas.openxmlformats.org/officeDocument/2006/relationships/hyperlink" Target="https://jeminise.com/products/custom-name-catcher-batter-baseball-baseball-throw-baseball-blanket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b5f82df819534fbea0f600eef3fd8b3b00f5c155924161eb9281ffd15e5bb15.jpg?v=1787246918" TargetMode="External" Id="rId1"/><Relationship Type="http://schemas.openxmlformats.org/officeDocument/2006/relationships/hyperlink" Target="https://cdn.shopify.com/s/files/1/0792/5098/1063/files/fb5f82df819534fbea0f600eef3fd8b3b00f5c155924161eb9281ffd15e5bb15.jpg?v=1787246918" TargetMode="External" Id="rId2"/><Relationship Type="http://schemas.openxmlformats.org/officeDocument/2006/relationships/hyperlink" Target="https://cdn.shopify.com/s/files/1/0792/5098/1063/files/484224ec6669fae86eed1fcfd3bfb944deeeb664210e54192725787493d1ab64.jpg?v=1787246918" TargetMode="External" Id="rId3"/><Relationship Type="http://schemas.openxmlformats.org/officeDocument/2006/relationships/hyperlink" Target="https://cdn.shopify.com/s/files/1/0792/5098/1063/files/484224ec6669fae86eed1fcfd3bfb944deeeb664210e54192725787493d1ab64.jpg?v=1787246918" TargetMode="External" Id="rId4"/><Relationship Type="http://schemas.openxmlformats.org/officeDocument/2006/relationships/hyperlink" Target="https://cdn.shopify.com/s/files/1/0792/5098/1063/files/b36bbad8c7ca209412942ae39cc0c43ea7b2b54d94a7f62bf31a1047559be000.jpg?v=1787246919" TargetMode="External" Id="rId5"/><Relationship Type="http://schemas.openxmlformats.org/officeDocument/2006/relationships/hyperlink" Target="https://cdn.shopify.com/s/files/1/0792/5098/1063/files/b36bbad8c7ca209412942ae39cc0c43ea7b2b54d94a7f62bf31a1047559be000.jpg?v=1787246919" TargetMode="External" Id="rId6"/><Relationship Type="http://schemas.openxmlformats.org/officeDocument/2006/relationships/hyperlink" Target="https://cdn.shopify.com/s/files/1/0792/5098/1063/files/fa1df6cdf3428060f9bb5575cb18574fe92382c70eeac0c5902932b362085c4e.jpg?v=1787246918" TargetMode="External" Id="rId7"/><Relationship Type="http://schemas.openxmlformats.org/officeDocument/2006/relationships/hyperlink" Target="https://cdn.shopify.com/s/files/1/0792/5098/1063/files/fa1df6cdf3428060f9bb5575cb18574fe92382c70eeac0c5902932b362085c4e.jpg?v=1787246918" TargetMode="External" Id="rId8"/><Relationship Type="http://schemas.openxmlformats.org/officeDocument/2006/relationships/hyperlink" Target="https://cdn.shopify.com/s/files/1/0792/5098/1063/files/832c1a8fc3d4f8677e2b943265aa36d92d4648f155fa3ce83fa3bdf52486096b.jpg?v=1787246918" TargetMode="External" Id="rId9"/><Relationship Type="http://schemas.openxmlformats.org/officeDocument/2006/relationships/hyperlink" Target="https://cdn.shopify.com/s/files/1/0792/5098/1063/files/832c1a8fc3d4f8677e2b943265aa36d92d4648f155fa3ce83fa3bdf52486096b.jpg?v=1787246918" TargetMode="External" Id="rId10"/><Relationship Type="http://schemas.openxmlformats.org/officeDocument/2006/relationships/hyperlink" Target="https://cdn.shopify.com/s/files/1/0792/5098/1063/files/a17144dd363663132a7edce324c0cef3c0083e79270eb9c6d1f377d4615dc01f.jpg?v=1787246959" TargetMode="External" Id="rId11"/><Relationship Type="http://schemas.openxmlformats.org/officeDocument/2006/relationships/hyperlink" Target="https://cdn.shopify.com/s/files/1/0792/5098/1063/files/a17144dd363663132a7edce324c0cef3c0083e79270eb9c6d1f377d4615dc01f.jpg?v=1787246959" TargetMode="External" Id="rId12"/><Relationship Type="http://schemas.openxmlformats.org/officeDocument/2006/relationships/hyperlink" Target="https://cdn.shopify.com/s/files/1/0792/5098/1063/files/5d732c903ee249d8392eaf904abdac29eaebd27787cb8ab3d59947120bce3b94.jpg?v=1787246959" TargetMode="External" Id="rId13"/><Relationship Type="http://schemas.openxmlformats.org/officeDocument/2006/relationships/hyperlink" Target="https://cdn.shopify.com/s/files/1/0792/5098/1063/files/5d732c903ee249d8392eaf904abdac29eaebd27787cb8ab3d59947120bce3b94.jpg?v=1787246959" TargetMode="External" Id="rId14"/><Relationship Type="http://schemas.openxmlformats.org/officeDocument/2006/relationships/hyperlink" Target="https://cdn.shopify.com/s/files/1/0792/5098/1063/files/6e96186d2d002dc62ad002ace465c535aa56a1079afaff98339a7806ca3999b8.jpg?v=1787246959" TargetMode="External" Id="rId15"/><Relationship Type="http://schemas.openxmlformats.org/officeDocument/2006/relationships/hyperlink" Target="https://cdn.shopify.com/s/files/1/0792/5098/1063/files/6e96186d2d002dc62ad002ace465c535aa56a1079afaff98339a7806ca3999b8.jpg?v=1787246959" TargetMode="External" Id="rId16"/><Relationship Type="http://schemas.openxmlformats.org/officeDocument/2006/relationships/hyperlink" Target="https://cdn.shopify.com/s/files/1/0792/5098/1063/files/165234ad21d4ee9166a08d007aead3df31f38947792af0457c6e1eb36784b516.jpg?v=1787246960" TargetMode="External" Id="rId17"/><Relationship Type="http://schemas.openxmlformats.org/officeDocument/2006/relationships/hyperlink" Target="https://cdn.shopify.com/s/files/1/0792/5098/1063/files/165234ad21d4ee9166a08d007aead3df31f38947792af0457c6e1eb36784b516.jpg?v=1787246960" TargetMode="External" Id="rId18"/><Relationship Type="http://schemas.openxmlformats.org/officeDocument/2006/relationships/hyperlink" Target="https://cdn.shopify.com/s/files/1/0792/5098/1063/files/c85129799aaab50bcf286664c0e307d26e83c44bc0739432e67478273d59e841.jpg?v=1787246959" TargetMode="External" Id="rId19"/><Relationship Type="http://schemas.openxmlformats.org/officeDocument/2006/relationships/hyperlink" Target="https://cdn.shopify.com/s/files/1/0792/5098/1063/files/c85129799aaab50bcf286664c0e307d26e83c44bc0739432e67478273d59e841.jpg?v=1787246959" TargetMode="External" Id="rId20"/><Relationship Type="http://schemas.openxmlformats.org/officeDocument/2006/relationships/hyperlink" Target="https://cdn.shopify.com/s/files/1/0792/5098/1063/files/fa6a21db2ff31ac292ba025f7228eb970443c0a6c06798f4d1f75be8351e49dc.jpg?v=1787246959" TargetMode="External" Id="rId21"/><Relationship Type="http://schemas.openxmlformats.org/officeDocument/2006/relationships/hyperlink" Target="https://cdn.shopify.com/s/files/1/0792/5098/1063/files/fa6a21db2ff31ac292ba025f7228eb970443c0a6c06798f4d1f75be8351e49dc.jpg?v=1787246959" TargetMode="External" Id="rId22"/><Relationship Type="http://schemas.openxmlformats.org/officeDocument/2006/relationships/hyperlink" Target="https://cdn.shopify.com/s/files/1/0792/5098/1063/files/8123d43716c5a8ebebb452e03b8d1159b0961ab96c5805c9bd290732d85283e3.jpg?v=1787246908" TargetMode="External" Id="rId23"/><Relationship Type="http://schemas.openxmlformats.org/officeDocument/2006/relationships/hyperlink" Target="https://cdn.shopify.com/s/files/1/0792/5098/1063/files/8123d43716c5a8ebebb452e03b8d1159b0961ab96c5805c9bd290732d85283e3.jpg?v=1787246908" TargetMode="External" Id="rId24"/><Relationship Type="http://schemas.openxmlformats.org/officeDocument/2006/relationships/hyperlink" Target="https://cdn.shopify.com/s/files/1/0792/5098/1063/files/1bb0e341e1ec53c8020f9db51a76287508515510761401c987c423b63b6108a1.jpg?v=1787246908" TargetMode="External" Id="rId25"/><Relationship Type="http://schemas.openxmlformats.org/officeDocument/2006/relationships/hyperlink" Target="https://cdn.shopify.com/s/files/1/0792/5098/1063/files/1bb0e341e1ec53c8020f9db51a76287508515510761401c987c423b63b6108a1.jpg?v=1787246908" TargetMode="External" Id="rId26"/><Relationship Type="http://schemas.openxmlformats.org/officeDocument/2006/relationships/hyperlink" Target="https://cdn.shopify.com/s/files/1/0792/5098/1063/files/d3a695d1ec56e1c022ab4f1c4b6d9d60af57d005e6760ec2a9a3f6434051b092.jpg?v=1787246908" TargetMode="External" Id="rId27"/><Relationship Type="http://schemas.openxmlformats.org/officeDocument/2006/relationships/hyperlink" Target="https://cdn.shopify.com/s/files/1/0792/5098/1063/files/d3a695d1ec56e1c022ab4f1c4b6d9d60af57d005e6760ec2a9a3f6434051b092.jpg?v=1787246908" TargetMode="External" Id="rId28"/><Relationship Type="http://schemas.openxmlformats.org/officeDocument/2006/relationships/hyperlink" Target="https://cdn.shopify.com/s/files/1/0792/5098/1063/files/d6a0a4f391d712b498fed1541a0315a35419ee0fefc938d052e73e528fb87986.jpg?v=1787246908" TargetMode="External" Id="rId29"/><Relationship Type="http://schemas.openxmlformats.org/officeDocument/2006/relationships/hyperlink" Target="https://cdn.shopify.com/s/files/1/0792/5098/1063/files/d6a0a4f391d712b498fed1541a0315a35419ee0fefc938d052e73e528fb87986.jpg?v=1787246908" TargetMode="External" Id="rId30"/><Relationship Type="http://schemas.openxmlformats.org/officeDocument/2006/relationships/hyperlink" Target="https://cdn.shopify.com/s/files/1/0792/5098/1063/files/e4c251416e44779b18ce4ca44bd5ac1b96f5a9cdefdf9550a4b8a16e781f9bd4.jpg?v=1787246908" TargetMode="External" Id="rId31"/><Relationship Type="http://schemas.openxmlformats.org/officeDocument/2006/relationships/hyperlink" Target="https://cdn.shopify.com/s/files/1/0792/5098/1063/files/e4c251416e44779b18ce4ca44bd5ac1b96f5a9cdefdf9550a4b8a16e781f9bd4.jpg?v=1787246908" TargetMode="External" Id="rId32"/><Relationship Type="http://schemas.openxmlformats.org/officeDocument/2006/relationships/hyperlink" Target="https://cdn.shopify.com/s/files/1/0792/5098/1063/files/98f0f8810b43f6e1411872dc504513da2baf6c69162f9364d34ac6d4f7f3ef69.jpg?v=1787246908" TargetMode="External" Id="rId33"/><Relationship Type="http://schemas.openxmlformats.org/officeDocument/2006/relationships/hyperlink" Target="https://cdn.shopify.com/s/files/1/0792/5098/1063/files/98f0f8810b43f6e1411872dc504513da2baf6c69162f9364d34ac6d4f7f3ef69.jpg?v=1787246908" TargetMode="External" Id="rId34"/><Relationship Type="http://schemas.openxmlformats.org/officeDocument/2006/relationships/hyperlink" Target="https://cdn.shopify.com/s/files/1/0792/5098/1063/files/9816ebbcc50a672d3e1e267f501881ec5a6fdc00efb7a08bdcd4b7a240852cc2.jpg?v=1787246908" TargetMode="External" Id="rId35"/><Relationship Type="http://schemas.openxmlformats.org/officeDocument/2006/relationships/hyperlink" Target="https://cdn.shopify.com/s/files/1/0792/5098/1063/files/9816ebbcc50a672d3e1e267f501881ec5a6fdc00efb7a08bdcd4b7a240852cc2.jpg?v=1787246908" TargetMode="External" Id="rId36"/><Relationship Type="http://schemas.openxmlformats.org/officeDocument/2006/relationships/hyperlink" Target="https://cdn.shopify.com/s/files/1/0792/5098/1063/files/01fd3fd8e9b88b7504ced5b7845d2f0c3da0f24a0be3592ab2be37af9a14c594.jpg?v=1787246955" TargetMode="External" Id="rId37"/><Relationship Type="http://schemas.openxmlformats.org/officeDocument/2006/relationships/hyperlink" Target="https://cdn.shopify.com/s/files/1/0792/5098/1063/files/01fd3fd8e9b88b7504ced5b7845d2f0c3da0f24a0be3592ab2be37af9a14c594.jpg?v=1787246955" TargetMode="External" Id="rId38"/><Relationship Type="http://schemas.openxmlformats.org/officeDocument/2006/relationships/hyperlink" Target="https://cdn.shopify.com/s/files/1/0792/5098/1063/files/551ff3b7b052b605234a0f06c7675bd8a20729000592c9dc654147a05393de7a.jpg?v=1787246955" TargetMode="External" Id="rId39"/><Relationship Type="http://schemas.openxmlformats.org/officeDocument/2006/relationships/hyperlink" Target="https://cdn.shopify.com/s/files/1/0792/5098/1063/files/551ff3b7b052b605234a0f06c7675bd8a20729000592c9dc654147a05393de7a.jpg?v=1787246955" TargetMode="External" Id="rId40"/><Relationship Type="http://schemas.openxmlformats.org/officeDocument/2006/relationships/hyperlink" Target="https://cdn.shopify.com/s/files/1/0792/5098/1063/files/a317738f9225b6a038d7937ab72ff9087fb108a0a32a0e882d55996a7e49c986.jpg?v=1787246954" TargetMode="External" Id="rId41"/><Relationship Type="http://schemas.openxmlformats.org/officeDocument/2006/relationships/hyperlink" Target="https://cdn.shopify.com/s/files/1/0792/5098/1063/files/a317738f9225b6a038d7937ab72ff9087fb108a0a32a0e882d55996a7e49c986.jpg?v=1787246954" TargetMode="External" Id="rId42"/><Relationship Type="http://schemas.openxmlformats.org/officeDocument/2006/relationships/hyperlink" Target="https://cdn.shopify.com/s/files/1/0792/5098/1063/files/ad934f8f1f1b9a94875c61455aab0bb3e0b41aae97b5230c3398c40fca936081.jpg?v=1787246954" TargetMode="External" Id="rId43"/><Relationship Type="http://schemas.openxmlformats.org/officeDocument/2006/relationships/hyperlink" Target="https://cdn.shopify.com/s/files/1/0792/5098/1063/files/ad934f8f1f1b9a94875c61455aab0bb3e0b41aae97b5230c3398c40fca936081.jpg?v=1787246954" TargetMode="External" Id="rId44"/><Relationship Type="http://schemas.openxmlformats.org/officeDocument/2006/relationships/hyperlink" Target="https://cdn.shopify.com/s/files/1/0792/5098/1063/files/510e58e1689e4943634ccae9abf3db9543cf735eec595a370545f05df9ba55b9.jpg?v=1787246954" TargetMode="External" Id="rId45"/><Relationship Type="http://schemas.openxmlformats.org/officeDocument/2006/relationships/hyperlink" Target="https://cdn.shopify.com/s/files/1/0792/5098/1063/files/510e58e1689e4943634ccae9abf3db9543cf735eec595a370545f05df9ba55b9.jpg?v=1787246954" TargetMode="External" Id="rId46"/><Relationship Type="http://schemas.openxmlformats.org/officeDocument/2006/relationships/hyperlink" Target="https://cdn.shopify.com/s/files/1/0792/5098/1063/files/0364b4a4cd1c51bebaddf6c710e5819fd118996c16b1b62f5f48033d5efdef12.jpg?v=1787246954" TargetMode="External" Id="rId47"/><Relationship Type="http://schemas.openxmlformats.org/officeDocument/2006/relationships/hyperlink" Target="https://cdn.shopify.com/s/files/1/0792/5098/1063/files/0364b4a4cd1c51bebaddf6c710e5819fd118996c16b1b62f5f48033d5efdef12.jpg?v=1787246954" TargetMode="External" Id="rId48"/><Relationship Type="http://schemas.openxmlformats.org/officeDocument/2006/relationships/hyperlink" Target="https://cdn.shopify.com/s/files/1/0792/5098/1063/files/ccfa44110572a5be31bf04a73d2f507820d2318d63f41c14192ab170723e19f7.jpg?v=1787246955" TargetMode="External" Id="rId49"/><Relationship Type="http://schemas.openxmlformats.org/officeDocument/2006/relationships/hyperlink" Target="https://cdn.shopify.com/s/files/1/0792/5098/1063/files/ccfa44110572a5be31bf04a73d2f507820d2318d63f41c14192ab170723e19f7.jpg?v=1787246955" TargetMode="External" Id="rId50"/><Relationship Type="http://schemas.openxmlformats.org/officeDocument/2006/relationships/hyperlink" Target="https://cdn.shopify.com/s/files/1/0792/5098/1063/files/79ff70a216350adfbe64a74055e2de98f87718eaf24b4701f1cc388b7ca408dc.jpg?v=1787246930" TargetMode="External" Id="rId51"/><Relationship Type="http://schemas.openxmlformats.org/officeDocument/2006/relationships/hyperlink" Target="https://cdn.shopify.com/s/files/1/0792/5098/1063/files/79ff70a216350adfbe64a74055e2de98f87718eaf24b4701f1cc388b7ca408dc.jpg?v=1787246930" TargetMode="External" Id="rId52"/><Relationship Type="http://schemas.openxmlformats.org/officeDocument/2006/relationships/hyperlink" Target="https://cdn.shopify.com/s/files/1/0792/5098/1063/files/164a90521c97e4c0d5f8d49e2b99ef969158c36a76fef1d6808364d397248f85.jpg?v=1787246930" TargetMode="External" Id="rId53"/><Relationship Type="http://schemas.openxmlformats.org/officeDocument/2006/relationships/hyperlink" Target="https://cdn.shopify.com/s/files/1/0792/5098/1063/files/164a90521c97e4c0d5f8d49e2b99ef969158c36a76fef1d6808364d397248f85.jpg?v=1787246930" TargetMode="External" Id="rId54"/><Relationship Type="http://schemas.openxmlformats.org/officeDocument/2006/relationships/hyperlink" Target="https://cdn.shopify.com/s/files/1/0792/5098/1063/files/6cefa3a1a6d88af8779423119d1839cf1cf29ba4b0d2c523af5a2f962c101fe2.jpg?v=1787246930" TargetMode="External" Id="rId55"/><Relationship Type="http://schemas.openxmlformats.org/officeDocument/2006/relationships/hyperlink" Target="https://cdn.shopify.com/s/files/1/0792/5098/1063/files/6cefa3a1a6d88af8779423119d1839cf1cf29ba4b0d2c523af5a2f962c101fe2.jpg?v=1787246930" TargetMode="External" Id="rId56"/><Relationship Type="http://schemas.openxmlformats.org/officeDocument/2006/relationships/hyperlink" Target="https://cdn.shopify.com/s/files/1/0792/5098/1063/files/80026cf09c01d63875b4bb9e8f3e43c9c203957df5383ba1e4243390ea8b2176.jpg?v=1787246930" TargetMode="External" Id="rId57"/><Relationship Type="http://schemas.openxmlformats.org/officeDocument/2006/relationships/hyperlink" Target="https://cdn.shopify.com/s/files/1/0792/5098/1063/files/80026cf09c01d63875b4bb9e8f3e43c9c203957df5383ba1e4243390ea8b2176.jpg?v=1787246930" TargetMode="External" Id="rId58"/><Relationship Type="http://schemas.openxmlformats.org/officeDocument/2006/relationships/hyperlink" Target="https://cdn.shopify.com/s/files/1/0792/5098/1063/files/c64fc1ee15ab01631946c240f8ffbf4714b0a2981d1bef619d7b6df05712c2c8.jpg?v=1787246930" TargetMode="External" Id="rId59"/><Relationship Type="http://schemas.openxmlformats.org/officeDocument/2006/relationships/hyperlink" Target="https://cdn.shopify.com/s/files/1/0792/5098/1063/files/c64fc1ee15ab01631946c240f8ffbf4714b0a2981d1bef619d7b6df05712c2c8.jpg?v=1787246930" TargetMode="External" Id="rId60"/><Relationship Type="http://schemas.openxmlformats.org/officeDocument/2006/relationships/hyperlink" Target="https://cdn.shopify.com/s/files/1/0792/5098/1063/files/fb3562009e80ec2ec16a9018c761dd31fb96b6d3617c0108fe3e19758b58d317.jpg?v=1787246930" TargetMode="External" Id="rId61"/><Relationship Type="http://schemas.openxmlformats.org/officeDocument/2006/relationships/hyperlink" Target="https://cdn.shopify.com/s/files/1/0792/5098/1063/files/fb3562009e80ec2ec16a9018c761dd31fb96b6d3617c0108fe3e19758b58d317.jpg?v=1787246930" TargetMode="External" Id="rId62"/><Relationship Type="http://schemas.openxmlformats.org/officeDocument/2006/relationships/hyperlink" Target="https://cdn.shopify.com/s/files/1/0792/5098/1063/files/346253817cf54ee6d9444666f3b0488915a917284f238fb492237ae03abd8edc.jpg?v=1787246937" TargetMode="External" Id="rId63"/><Relationship Type="http://schemas.openxmlformats.org/officeDocument/2006/relationships/hyperlink" Target="https://cdn.shopify.com/s/files/1/0792/5098/1063/files/346253817cf54ee6d9444666f3b0488915a917284f238fb492237ae03abd8edc.jpg?v=1787246937" TargetMode="External" Id="rId64"/><Relationship Type="http://schemas.openxmlformats.org/officeDocument/2006/relationships/hyperlink" Target="https://cdn.shopify.com/s/files/1/0792/5098/1063/files/3ca095e123f69c96b30256109890e38002f1c36a49ef1529e3807fd1106138fa.jpg?v=1787246937" TargetMode="External" Id="rId65"/><Relationship Type="http://schemas.openxmlformats.org/officeDocument/2006/relationships/hyperlink" Target="https://cdn.shopify.com/s/files/1/0792/5098/1063/files/3ca095e123f69c96b30256109890e38002f1c36a49ef1529e3807fd1106138fa.jpg?v=1787246937" TargetMode="External" Id="rId66"/><Relationship Type="http://schemas.openxmlformats.org/officeDocument/2006/relationships/hyperlink" Target="https://cdn.shopify.com/s/files/1/0792/5098/1063/files/55fede0d73ace16b2f566617cfb9a540c86ff11f0458cdf8321554e8395ff134.jpg?v=1787246937" TargetMode="External" Id="rId67"/><Relationship Type="http://schemas.openxmlformats.org/officeDocument/2006/relationships/hyperlink" Target="https://cdn.shopify.com/s/files/1/0792/5098/1063/files/55fede0d73ace16b2f566617cfb9a540c86ff11f0458cdf8321554e8395ff134.jpg?v=1787246937" TargetMode="External" Id="rId68"/><Relationship Type="http://schemas.openxmlformats.org/officeDocument/2006/relationships/hyperlink" Target="https://cdn.shopify.com/s/files/1/0792/5098/1063/files/473c64a39338102711992ec12037603e8b2a13658268417a4a4465017df91502.jpg?v=1787246937" TargetMode="External" Id="rId69"/><Relationship Type="http://schemas.openxmlformats.org/officeDocument/2006/relationships/hyperlink" Target="https://cdn.shopify.com/s/files/1/0792/5098/1063/files/473c64a39338102711992ec12037603e8b2a13658268417a4a4465017df91502.jpg?v=1787246937" TargetMode="External" Id="rId70"/><Relationship Type="http://schemas.openxmlformats.org/officeDocument/2006/relationships/hyperlink" Target="https://cdn.shopify.com/s/files/1/0792/5098/1063/files/73a5afaebf214bedb16370d0765c396b2ba295c8cc4b6404551df1dc9115adf5.jpg?v=1787246937" TargetMode="External" Id="rId71"/><Relationship Type="http://schemas.openxmlformats.org/officeDocument/2006/relationships/hyperlink" Target="https://cdn.shopify.com/s/files/1/0792/5098/1063/files/73a5afaebf214bedb16370d0765c396b2ba295c8cc4b6404551df1dc9115adf5.jpg?v=1787246937" TargetMode="External" Id="rId72"/><Relationship Type="http://schemas.openxmlformats.org/officeDocument/2006/relationships/hyperlink" Target="https://cdn.shopify.com/s/files/1/0792/5098/1063/files/fb60fd3c38e97b08ea5be4729ef92093f02b2559f231cceaf440d4cf7eb30446.jpg?v=1787246937" TargetMode="External" Id="rId73"/><Relationship Type="http://schemas.openxmlformats.org/officeDocument/2006/relationships/hyperlink" Target="https://cdn.shopify.com/s/files/1/0792/5098/1063/files/fb60fd3c38e97b08ea5be4729ef92093f02b2559f231cceaf440d4cf7eb30446.jpg?v=1787246937" TargetMode="External" Id="rId74"/><Relationship Type="http://schemas.openxmlformats.org/officeDocument/2006/relationships/hyperlink" Target="https://cdn.shopify.com/s/files/1/0792/5098/1063/files/6b0bd39c9c26d7345d79e159db6217ced9245852667f609f0822634bfdf24e5b.jpg?v=1787246943" TargetMode="External" Id="rId75"/><Relationship Type="http://schemas.openxmlformats.org/officeDocument/2006/relationships/hyperlink" Target="https://cdn.shopify.com/s/files/1/0792/5098/1063/files/6b0bd39c9c26d7345d79e159db6217ced9245852667f609f0822634bfdf24e5b.jpg?v=1787246943" TargetMode="External" Id="rId76"/><Relationship Type="http://schemas.openxmlformats.org/officeDocument/2006/relationships/hyperlink" Target="https://cdn.shopify.com/s/files/1/0792/5098/1063/files/73f5731a5614a65e39e124ebf93fbf51d0614cfb8198935e91a1c0b555075c06.jpg?v=1787246943" TargetMode="External" Id="rId77"/><Relationship Type="http://schemas.openxmlformats.org/officeDocument/2006/relationships/hyperlink" Target="https://cdn.shopify.com/s/files/1/0792/5098/1063/files/73f5731a5614a65e39e124ebf93fbf51d0614cfb8198935e91a1c0b555075c06.jpg?v=1787246943" TargetMode="External" Id="rId78"/><Relationship Type="http://schemas.openxmlformats.org/officeDocument/2006/relationships/hyperlink" Target="https://cdn.shopify.com/s/files/1/0792/5098/1063/files/ff9489157f49fd04e004fe67b3ba042750ae419870d3267ba8426b7f0c62bbee.jpg?v=1787246943" TargetMode="External" Id="rId79"/><Relationship Type="http://schemas.openxmlformats.org/officeDocument/2006/relationships/hyperlink" Target="https://cdn.shopify.com/s/files/1/0792/5098/1063/files/ff9489157f49fd04e004fe67b3ba042750ae419870d3267ba8426b7f0c62bbee.jpg?v=1787246943" TargetMode="External" Id="rId80"/><Relationship Type="http://schemas.openxmlformats.org/officeDocument/2006/relationships/hyperlink" Target="https://cdn.shopify.com/s/files/1/0792/5098/1063/files/26bdd825798bcc82b802a6c67824fa0b69ab463fac57fd1820a2ef04e832a0cc.jpg?v=1787246943" TargetMode="External" Id="rId81"/><Relationship Type="http://schemas.openxmlformats.org/officeDocument/2006/relationships/hyperlink" Target="https://cdn.shopify.com/s/files/1/0792/5098/1063/files/26bdd825798bcc82b802a6c67824fa0b69ab463fac57fd1820a2ef04e832a0cc.jpg?v=1787246943" TargetMode="External" Id="rId82"/><Relationship Type="http://schemas.openxmlformats.org/officeDocument/2006/relationships/hyperlink" Target="https://cdn.shopify.com/s/files/1/0792/5098/1063/files/148c4c33327efd5c9bbe004b36246444be7b1d4a390a7239756f9f43f3f86e25.jpg?v=1787246943" TargetMode="External" Id="rId83"/><Relationship Type="http://schemas.openxmlformats.org/officeDocument/2006/relationships/hyperlink" Target="https://cdn.shopify.com/s/files/1/0792/5098/1063/files/148c4c33327efd5c9bbe004b36246444be7b1d4a390a7239756f9f43f3f86e25.jpg?v=1787246943" TargetMode="External" Id="rId84"/><Relationship Type="http://schemas.openxmlformats.org/officeDocument/2006/relationships/hyperlink" Target="https://cdn.shopify.com/s/files/1/0792/5098/1063/files/e132126df73c1abbba9b9c5b4f94e6963e111667f06a5134441c40544b420d1e.jpg?v=1787246943" TargetMode="External" Id="rId85"/><Relationship Type="http://schemas.openxmlformats.org/officeDocument/2006/relationships/hyperlink" Target="https://cdn.shopify.com/s/files/1/0792/5098/1063/files/e132126df73c1abbba9b9c5b4f94e6963e111667f06a5134441c40544b420d1e.jpg?v=1787246943" TargetMode="External" Id="rId86"/><Relationship Type="http://schemas.openxmlformats.org/officeDocument/2006/relationships/hyperlink" Target="https://cdn.shopify.com/s/files/1/0792/5098/1063/files/12a42db8aa6b2e0726036a5012f98bd8a35d4bcd16da2aeabd4c2cce7783c441.jpg?v=1787246913" TargetMode="External" Id="rId87"/><Relationship Type="http://schemas.openxmlformats.org/officeDocument/2006/relationships/hyperlink" Target="https://cdn.shopify.com/s/files/1/0792/5098/1063/files/12a42db8aa6b2e0726036a5012f98bd8a35d4bcd16da2aeabd4c2cce7783c441.jpg?v=1787246913" TargetMode="External" Id="rId88"/><Relationship Type="http://schemas.openxmlformats.org/officeDocument/2006/relationships/hyperlink" Target="https://cdn.shopify.com/s/files/1/0792/5098/1063/files/af6aebe407ec82ba379eaf5dae68871aa4117ca5b81d15e8dfba545f36ab1cb6.jpg?v=1787246913" TargetMode="External" Id="rId89"/><Relationship Type="http://schemas.openxmlformats.org/officeDocument/2006/relationships/hyperlink" Target="https://cdn.shopify.com/s/files/1/0792/5098/1063/files/af6aebe407ec82ba379eaf5dae68871aa4117ca5b81d15e8dfba545f36ab1cb6.jpg?v=1787246913" TargetMode="External" Id="rId90"/><Relationship Type="http://schemas.openxmlformats.org/officeDocument/2006/relationships/hyperlink" Target="https://cdn.shopify.com/s/files/1/0792/5098/1063/files/5029c4de98146573e254b637112907434bb2f9d613f37a7c2fe197df2208beee.jpg?v=1787246913" TargetMode="External" Id="rId91"/><Relationship Type="http://schemas.openxmlformats.org/officeDocument/2006/relationships/hyperlink" Target="https://cdn.shopify.com/s/files/1/0792/5098/1063/files/5029c4de98146573e254b637112907434bb2f9d613f37a7c2fe197df2208beee.jpg?v=1787246913" TargetMode="External" Id="rId92"/><Relationship Type="http://schemas.openxmlformats.org/officeDocument/2006/relationships/hyperlink" Target="https://cdn.shopify.com/s/files/1/0792/5098/1063/files/07c940415736a1049d1d90b56bcd577cd5999e2833b4503391af2084e3f88aab.jpg?v=1787246913" TargetMode="External" Id="rId93"/><Relationship Type="http://schemas.openxmlformats.org/officeDocument/2006/relationships/hyperlink" Target="https://cdn.shopify.com/s/files/1/0792/5098/1063/files/07c940415736a1049d1d90b56bcd577cd5999e2833b4503391af2084e3f88aab.jpg?v=1787246913" TargetMode="External" Id="rId94"/><Relationship Type="http://schemas.openxmlformats.org/officeDocument/2006/relationships/hyperlink" Target="https://cdn.shopify.com/s/files/1/0792/5098/1063/files/3c1fd5ec13e9da50fc11fa631f6d3953e463d8286fda982af4e4221e6a63dc87.jpg?v=1787246913" TargetMode="External" Id="rId95"/><Relationship Type="http://schemas.openxmlformats.org/officeDocument/2006/relationships/hyperlink" Target="https://cdn.shopify.com/s/files/1/0792/5098/1063/files/3c1fd5ec13e9da50fc11fa631f6d3953e463d8286fda982af4e4221e6a63dc87.jpg?v=1787246913" TargetMode="External" Id="rId96"/><Relationship Type="http://schemas.openxmlformats.org/officeDocument/2006/relationships/hyperlink" Target="https://cdn.shopify.com/s/files/1/0792/5098/1063/files/d49dc390f2a881f247c9949624dce1c5cf93ca93f7cbbf8814e800a5410e5929.jpg?v=1787246913" TargetMode="External" Id="rId97"/><Relationship Type="http://schemas.openxmlformats.org/officeDocument/2006/relationships/hyperlink" Target="https://cdn.shopify.com/s/files/1/0792/5098/1063/files/d49dc390f2a881f247c9949624dce1c5cf93ca93f7cbbf8814e800a5410e5929.jpg?v=1787246913" TargetMode="External" Id="rId98"/><Relationship Type="http://schemas.openxmlformats.org/officeDocument/2006/relationships/hyperlink" Target="https://cdn.shopify.com/s/files/1/0792/5098/1063/files/d6e6b34b49860c41cfcb97d662d731caad122fc556cefd52424be46fbed59a21.jpg?v=1787246913" TargetMode="External" Id="rId99"/><Relationship Type="http://schemas.openxmlformats.org/officeDocument/2006/relationships/hyperlink" Target="https://cdn.shopify.com/s/files/1/0792/5098/1063/files/d6e6b34b49860c41cfcb97d662d731caad122fc556cefd52424be46fbed59a21.jpg?v=1787246913" TargetMode="External" Id="rId100"/><Relationship Type="http://schemas.openxmlformats.org/officeDocument/2006/relationships/hyperlink" Target="https://cdn.shopify.com/s/files/1/0792/5098/1063/files/c9d234b09efcecfc3f142c7dfb1c08364b7d36bee026e4f33b29b62963e3d033.jpg?v=1787246911" TargetMode="External" Id="rId101"/><Relationship Type="http://schemas.openxmlformats.org/officeDocument/2006/relationships/hyperlink" Target="https://cdn.shopify.com/s/files/1/0792/5098/1063/files/c9d234b09efcecfc3f142c7dfb1c08364b7d36bee026e4f33b29b62963e3d033.jpg?v=1787246911" TargetMode="External" Id="rId102"/><Relationship Type="http://schemas.openxmlformats.org/officeDocument/2006/relationships/hyperlink" Target="https://cdn.shopify.com/s/files/1/0792/5098/1063/files/8cd8282cb80c5b4b36145489ba3f8e5db87010f4ff545e5a1d7d7f82a2170dea.jpg?v=1787246911" TargetMode="External" Id="rId103"/><Relationship Type="http://schemas.openxmlformats.org/officeDocument/2006/relationships/hyperlink" Target="https://cdn.shopify.com/s/files/1/0792/5098/1063/files/8cd8282cb80c5b4b36145489ba3f8e5db87010f4ff545e5a1d7d7f82a2170dea.jpg?v=1787246911" TargetMode="External" Id="rId104"/><Relationship Type="http://schemas.openxmlformats.org/officeDocument/2006/relationships/hyperlink" Target="https://cdn.shopify.com/s/files/1/0792/5098/1063/files/711711033abd5881c5773a1514fd46587dc2d48b28bf08ceaed60a5560a18af7.jpg?v=1787246911" TargetMode="External" Id="rId105"/><Relationship Type="http://schemas.openxmlformats.org/officeDocument/2006/relationships/hyperlink" Target="https://cdn.shopify.com/s/files/1/0792/5098/1063/files/711711033abd5881c5773a1514fd46587dc2d48b28bf08ceaed60a5560a18af7.jpg?v=1787246911" TargetMode="External" Id="rId106"/><Relationship Type="http://schemas.openxmlformats.org/officeDocument/2006/relationships/hyperlink" Target="https://cdn.shopify.com/s/files/1/0792/5098/1063/files/c06ae6326a8f7e1ed55b1913c69bfbdc82ddccdb6a83925fc23d3f26e0dcfeb8.jpg?v=1787246911" TargetMode="External" Id="rId107"/><Relationship Type="http://schemas.openxmlformats.org/officeDocument/2006/relationships/hyperlink" Target="https://cdn.shopify.com/s/files/1/0792/5098/1063/files/c06ae6326a8f7e1ed55b1913c69bfbdc82ddccdb6a83925fc23d3f26e0dcfeb8.jpg?v=1787246911" TargetMode="External" Id="rId108"/><Relationship Type="http://schemas.openxmlformats.org/officeDocument/2006/relationships/hyperlink" Target="https://cdn.shopify.com/s/files/1/0792/5098/1063/files/a3950780f04f20278ba1d09e540cb7eadf1ebbb79249d53b475dc82def27ac88.jpg?v=1787246911" TargetMode="External" Id="rId109"/><Relationship Type="http://schemas.openxmlformats.org/officeDocument/2006/relationships/hyperlink" Target="https://cdn.shopify.com/s/files/1/0792/5098/1063/files/a3950780f04f20278ba1d09e540cb7eadf1ebbb79249d53b475dc82def27ac88.jpg?v=1787246911" TargetMode="External" Id="rId110"/><Relationship Type="http://schemas.openxmlformats.org/officeDocument/2006/relationships/hyperlink" Target="https://cdn.shopify.com/s/files/1/0792/5098/1063/files/3448e08fcffb63bf2099bd97f09e4cd944f66552f1ac9af8ae948634b992d2a2.jpg?v=1787246887" TargetMode="External" Id="rId111"/><Relationship Type="http://schemas.openxmlformats.org/officeDocument/2006/relationships/hyperlink" Target="https://cdn.shopify.com/s/files/1/0792/5098/1063/files/3448e08fcffb63bf2099bd97f09e4cd944f66552f1ac9af8ae948634b992d2a2.jpg?v=1787246887" TargetMode="External" Id="rId112"/><Relationship Type="http://schemas.openxmlformats.org/officeDocument/2006/relationships/hyperlink" Target="https://cdn.shopify.com/s/files/1/0792/5098/1063/files/322d185bd7ecc9fd42e8f0805194f3983d63073f090132c8210825dfd141448b.jpg?v=1787246888" TargetMode="External" Id="rId113"/><Relationship Type="http://schemas.openxmlformats.org/officeDocument/2006/relationships/hyperlink" Target="https://cdn.shopify.com/s/files/1/0792/5098/1063/files/322d185bd7ecc9fd42e8f0805194f3983d63073f090132c8210825dfd141448b.jpg?v=1787246888" TargetMode="External" Id="rId114"/><Relationship Type="http://schemas.openxmlformats.org/officeDocument/2006/relationships/hyperlink" Target="https://cdn.shopify.com/s/files/1/0792/5098/1063/files/b2294aa9296a54fc7bd80da7ced0ed9ea22e8c50bdccfc18603bcd0a149ac6fa.jpg?v=1787246887" TargetMode="External" Id="rId115"/><Relationship Type="http://schemas.openxmlformats.org/officeDocument/2006/relationships/hyperlink" Target="https://cdn.shopify.com/s/files/1/0792/5098/1063/files/b2294aa9296a54fc7bd80da7ced0ed9ea22e8c50bdccfc18603bcd0a149ac6fa.jpg?v=1787246887" TargetMode="External" Id="rId116"/><Relationship Type="http://schemas.openxmlformats.org/officeDocument/2006/relationships/hyperlink" Target="https://cdn.shopify.com/s/files/1/0792/5098/1063/files/e4deb7c65a84dd566e76f49f7ac84cfde5ffca2a629c0c4797152647ec382692.jpg?v=1787246887" TargetMode="External" Id="rId117"/><Relationship Type="http://schemas.openxmlformats.org/officeDocument/2006/relationships/hyperlink" Target="https://cdn.shopify.com/s/files/1/0792/5098/1063/files/e4deb7c65a84dd566e76f49f7ac84cfde5ffca2a629c0c4797152647ec382692.jpg?v=1787246887" TargetMode="External" Id="rId11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source_workbook</t>
        </is>
      </c>
      <c r="B2" s="2" t="inlineStr">
        <is>
          <t>resutls\jeminise.com\20260906_234129\revisions\qa_batch_009_r3\SEO_Product_Optimization_qa_batch_009_r3.xlsx</t>
        </is>
      </c>
      <c r="C2" s="2" t="inlineStr">
        <is>
          <t>Frozen r3 source</t>
        </is>
      </c>
    </row>
    <row r="3" ht="42" customHeight="1">
      <c r="A3" s="3" t="inlineStr">
        <is>
          <t>source_sha256</t>
        </is>
      </c>
      <c r="B3" s="3" t="inlineStr">
        <is>
          <t>7A428BEB89BB5DCB9597E53276758217F6C33CC0FB999D029BB200D40C288467</t>
        </is>
      </c>
      <c r="C3" s="3" t="inlineStr">
        <is>
          <t>Freeze hash</t>
        </is>
      </c>
    </row>
    <row r="4" ht="42" customHeight="1">
      <c r="A4" s="2" t="inlineStr">
        <is>
          <t>products_checked</t>
        </is>
      </c>
      <c r="B4" s="2" t="n">
        <v>10</v>
      </c>
      <c r="C4" s="2" t="inlineStr">
        <is>
          <t>Positions 81-90</t>
        </is>
      </c>
    </row>
    <row r="5" ht="42" customHeight="1">
      <c r="A5" s="3" t="inlineStr">
        <is>
          <t>images_checked</t>
        </is>
      </c>
      <c r="B5" s="3" t="inlineStr">
        <is>
          <t>59/59</t>
        </is>
      </c>
      <c r="C5" s="3" t="inlineStr">
        <is>
          <t>Full coverage</t>
        </is>
      </c>
    </row>
    <row r="6" ht="42" customHeight="1">
      <c r="A6" s="2" t="inlineStr">
        <is>
          <t>batch_final_score</t>
        </is>
      </c>
      <c r="B6" s="2">
        <f>AVERAGE('QA_Products'!$K$2:$K$11)</f>
        <v/>
      </c>
      <c r="C6" s="2" t="inlineStr">
        <is>
          <t>Average</t>
        </is>
      </c>
    </row>
    <row r="7" ht="42" customHeight="1">
      <c r="A7" s="3" t="inlineStr">
        <is>
          <t>batch_result</t>
        </is>
      </c>
      <c r="B7" s="3">
        <f>IF(COUNTIF('QA_Products'!$L$2:$L$11,"QA_PASS")=ROWS('QA_Products'!$L$2:$L$11),"PASSED","NOT_PASSED")</f>
        <v/>
      </c>
      <c r="C7" s="3" t="inlineStr">
        <is>
          <t>All pass</t>
        </is>
      </c>
    </row>
  </sheetData>
  <autoFilter ref="A1:C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81</v>
      </c>
      <c r="B2" s="2" t="inlineStr">
        <is>
          <t>jeminise.com+custom-name-catcher-batter-baseball-baseball-throw-baseba-design-01</t>
        </is>
      </c>
      <c r="C2" s="4" t="inlineStr">
        <is>
          <t>https://jeminise.com/products/custom-name-catcher-batter-baseball-baseball-throw-baseba-design-01</t>
        </is>
      </c>
      <c r="D2" s="2" t="inlineStr">
        <is>
          <t>custom-name-catcher-batter-baseball-baseball-throw-baseba-design-01</t>
        </is>
      </c>
      <c r="E2" s="2" t="inlineStr">
        <is>
          <t>8867271082183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>
        <f>COUNTIFS('QA_Issues'!$B$2:$B$2,B2,'QA_Issues'!$D$2:$D$2,"CRITICAL")</f>
        <v/>
      </c>
      <c r="S2" s="2">
        <f>COUNTIFS('QA_Issues'!$B$2:$B$2,B2,'QA_Issues'!$D$2:$D$2,"MAJOR")</f>
        <v/>
      </c>
      <c r="T2" s="2">
        <f>COUNTIFS('QA_Issues'!$B$2:$B$2,B2,'QA_Issues'!$D$2:$D$2,"MINOR")</f>
        <v/>
      </c>
      <c r="U2" s="2">
        <f>COUNTIFS('QA_Issues'!$B$2:$B$2,B2,'QA_Issues'!$D$2:$D$2,"LIMITATION")</f>
        <v/>
      </c>
      <c r="V2" s="2" t="inlineStr">
        <is>
          <t>[]</t>
        </is>
      </c>
      <c r="W2" s="2" t="inlineStr">
        <is>
          <t>["evidence_batch_009_081", "https://jeminise.com/products/custom-name-catcher-batter-baseball-baseball-throw-baseba-design-01", "serp_qa_081", "customizer_audit.json"]</t>
        </is>
      </c>
    </row>
    <row r="3" ht="42" customHeight="1">
      <c r="A3" s="3" t="n">
        <v>82</v>
      </c>
      <c r="B3" s="3" t="inlineStr">
        <is>
          <t>jeminise.com+custom-name-catcher-batter-baseball-baseball-throw-baseba-design-07</t>
        </is>
      </c>
      <c r="C3" s="4" t="inlineStr">
        <is>
          <t>https://jeminise.com/products/custom-name-catcher-batter-baseball-baseball-throw-baseba-design-07</t>
        </is>
      </c>
      <c r="D3" s="3" t="inlineStr">
        <is>
          <t>custom-name-catcher-batter-baseball-baseball-throw-baseba-design-07</t>
        </is>
      </c>
      <c r="E3" s="3" t="inlineStr">
        <is>
          <t>8867273310407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6</v>
      </c>
      <c r="O3" s="3" t="n">
        <v>6</v>
      </c>
      <c r="P3" s="3" t="b">
        <v>1</v>
      </c>
      <c r="Q3" s="8" t="n">
        <v>1</v>
      </c>
      <c r="R3" s="3">
        <f>COUNTIFS('QA_Issues'!$B$2:$B$2,B3,'QA_Issues'!$D$2:$D$2,"CRITICAL")</f>
        <v/>
      </c>
      <c r="S3" s="3">
        <f>COUNTIFS('QA_Issues'!$B$2:$B$2,B3,'QA_Issues'!$D$2:$D$2,"MAJOR")</f>
        <v/>
      </c>
      <c r="T3" s="3">
        <f>COUNTIFS('QA_Issues'!$B$2:$B$2,B3,'QA_Issues'!$D$2:$D$2,"MINOR")</f>
        <v/>
      </c>
      <c r="U3" s="3">
        <f>COUNTIFS('QA_Issues'!$B$2:$B$2,B3,'QA_Issues'!$D$2:$D$2,"LIMITATION")</f>
        <v/>
      </c>
      <c r="V3" s="3" t="inlineStr">
        <is>
          <t>[]</t>
        </is>
      </c>
      <c r="W3" s="3" t="inlineStr">
        <is>
          <t>["evidence_batch_009_082", "https://jeminise.com/products/custom-name-catcher-batter-baseball-baseball-throw-baseba-design-07", "serp_qa_082", "customizer_audit.json"]</t>
        </is>
      </c>
    </row>
    <row r="4" ht="42" customHeight="1">
      <c r="A4" s="2" t="n">
        <v>83</v>
      </c>
      <c r="B4" s="2" t="inlineStr">
        <is>
          <t>jeminise.com+custom-name-catcher-batter-baseball-baseball-throw-baseba-design-10</t>
        </is>
      </c>
      <c r="C4" s="4" t="inlineStr">
        <is>
          <t>https://jeminise.com/products/custom-name-catcher-batter-baseball-baseball-throw-baseba-design-10</t>
        </is>
      </c>
      <c r="D4" s="2" t="inlineStr">
        <is>
          <t>custom-name-catcher-batter-baseball-baseball-throw-baseba-design-10</t>
        </is>
      </c>
      <c r="E4" s="2" t="inlineStr">
        <is>
          <t>8867270394055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COUNTIFS('QA_Issues'!$B$2:$B$2,B4,'QA_Issues'!$D$2:$D$2,"CRITICAL")</f>
        <v/>
      </c>
      <c r="S4" s="2">
        <f>COUNTIFS('QA_Issues'!$B$2:$B$2,B4,'QA_Issues'!$D$2:$D$2,"MAJOR")</f>
        <v/>
      </c>
      <c r="T4" s="2">
        <f>COUNTIFS('QA_Issues'!$B$2:$B$2,B4,'QA_Issues'!$D$2:$D$2,"MINOR")</f>
        <v/>
      </c>
      <c r="U4" s="2">
        <f>COUNTIFS('QA_Issues'!$B$2:$B$2,B4,'QA_Issues'!$D$2:$D$2,"LIMITATION")</f>
        <v/>
      </c>
      <c r="V4" s="2" t="inlineStr">
        <is>
          <t>[]</t>
        </is>
      </c>
      <c r="W4" s="2" t="inlineStr">
        <is>
          <t>["evidence_batch_009_083", "https://jeminise.com/products/custom-name-catcher-batter-baseball-baseball-throw-baseba-design-10", "serp_qa_083", "customizer_audit.json"]</t>
        </is>
      </c>
    </row>
    <row r="5" ht="42" customHeight="1">
      <c r="A5" s="3" t="n">
        <v>84</v>
      </c>
      <c r="B5" s="3" t="inlineStr">
        <is>
          <t>jeminise.com+custom-name-catcher-batter-baseball-baseball-throw-baseba-design-11</t>
        </is>
      </c>
      <c r="C5" s="4" t="inlineStr">
        <is>
          <t>https://jeminise.com/products/custom-name-catcher-batter-baseball-baseball-throw-baseba-design-11</t>
        </is>
      </c>
      <c r="D5" s="3" t="inlineStr">
        <is>
          <t>custom-name-catcher-batter-baseball-baseball-throw-baseba-design-11</t>
        </is>
      </c>
      <c r="E5" s="3" t="inlineStr">
        <is>
          <t>8867273113799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COUNTIFS('QA_Issues'!$B$2:$B$2,B5,'QA_Issues'!$D$2:$D$2,"CRITICAL")</f>
        <v/>
      </c>
      <c r="S5" s="3">
        <f>COUNTIFS('QA_Issues'!$B$2:$B$2,B5,'QA_Issues'!$D$2:$D$2,"MAJOR")</f>
        <v/>
      </c>
      <c r="T5" s="3">
        <f>COUNTIFS('QA_Issues'!$B$2:$B$2,B5,'QA_Issues'!$D$2:$D$2,"MINOR")</f>
        <v/>
      </c>
      <c r="U5" s="3">
        <f>COUNTIFS('QA_Issues'!$B$2:$B$2,B5,'QA_Issues'!$D$2:$D$2,"LIMITATION")</f>
        <v/>
      </c>
      <c r="V5" s="3" t="inlineStr">
        <is>
          <t>[]</t>
        </is>
      </c>
      <c r="W5" s="3" t="inlineStr">
        <is>
          <t>["evidence_batch_009_084", "https://jeminise.com/products/custom-name-catcher-batter-baseball-baseball-throw-baseba-design-11", "serp_qa_084", "customizer_audit.json"]</t>
        </is>
      </c>
    </row>
    <row r="6" ht="42" customHeight="1">
      <c r="A6" s="2" t="n">
        <v>85</v>
      </c>
      <c r="B6" s="2" t="inlineStr">
        <is>
          <t>jeminise.com+custom-name-catcher-batter-baseball-baseball-throw-baseba-design-12</t>
        </is>
      </c>
      <c r="C6" s="4" t="inlineStr">
        <is>
          <t>https://jeminise.com/products/custom-name-catcher-batter-baseball-baseball-throw-baseba-design-12</t>
        </is>
      </c>
      <c r="D6" s="2" t="inlineStr">
        <is>
          <t>custom-name-catcher-batter-baseball-baseball-throw-baseba-design-12</t>
        </is>
      </c>
      <c r="E6" s="2" t="inlineStr">
        <is>
          <t>8867271770311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6</v>
      </c>
      <c r="O6" s="2" t="n">
        <v>6</v>
      </c>
      <c r="P6" s="2" t="b">
        <v>1</v>
      </c>
      <c r="Q6" s="6" t="n">
        <v>1</v>
      </c>
      <c r="R6" s="2">
        <f>COUNTIFS('QA_Issues'!$B$2:$B$2,B6,'QA_Issues'!$D$2:$D$2,"CRITICAL")</f>
        <v/>
      </c>
      <c r="S6" s="2">
        <f>COUNTIFS('QA_Issues'!$B$2:$B$2,B6,'QA_Issues'!$D$2:$D$2,"MAJOR")</f>
        <v/>
      </c>
      <c r="T6" s="2">
        <f>COUNTIFS('QA_Issues'!$B$2:$B$2,B6,'QA_Issues'!$D$2:$D$2,"MINOR")</f>
        <v/>
      </c>
      <c r="U6" s="2">
        <f>COUNTIFS('QA_Issues'!$B$2:$B$2,B6,'QA_Issues'!$D$2:$D$2,"LIMITATION")</f>
        <v/>
      </c>
      <c r="V6" s="2" t="inlineStr">
        <is>
          <t>[]</t>
        </is>
      </c>
      <c r="W6" s="2" t="inlineStr">
        <is>
          <t>["evidence_batch_009_085", "https://jeminise.com/products/custom-name-catcher-batter-baseball-baseball-throw-baseba-design-12", "serp_qa_085", "customizer_audit.json"]</t>
        </is>
      </c>
    </row>
    <row r="7" ht="42" customHeight="1">
      <c r="A7" s="3" t="n">
        <v>86</v>
      </c>
      <c r="B7" s="3" t="inlineStr">
        <is>
          <t>jeminise.com+custom-name-catcher-batter-baseball-baseball-throw-baseba-design-13</t>
        </is>
      </c>
      <c r="C7" s="4" t="inlineStr">
        <is>
          <t>https://jeminise.com/products/custom-name-catcher-batter-baseball-baseball-throw-baseba-design-13</t>
        </is>
      </c>
      <c r="D7" s="3" t="inlineStr">
        <is>
          <t>custom-name-catcher-batter-baseball-baseball-throw-baseba-design-13</t>
        </is>
      </c>
      <c r="E7" s="3" t="inlineStr">
        <is>
          <t>8867272196295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6</v>
      </c>
      <c r="O7" s="3" t="n">
        <v>6</v>
      </c>
      <c r="P7" s="3" t="b">
        <v>1</v>
      </c>
      <c r="Q7" s="8" t="n">
        <v>1</v>
      </c>
      <c r="R7" s="3">
        <f>COUNTIFS('QA_Issues'!$B$2:$B$2,B7,'QA_Issues'!$D$2:$D$2,"CRITICAL")</f>
        <v/>
      </c>
      <c r="S7" s="3">
        <f>COUNTIFS('QA_Issues'!$B$2:$B$2,B7,'QA_Issues'!$D$2:$D$2,"MAJOR")</f>
        <v/>
      </c>
      <c r="T7" s="3">
        <f>COUNTIFS('QA_Issues'!$B$2:$B$2,B7,'QA_Issues'!$D$2:$D$2,"MINOR")</f>
        <v/>
      </c>
      <c r="U7" s="3">
        <f>COUNTIFS('QA_Issues'!$B$2:$B$2,B7,'QA_Issues'!$D$2:$D$2,"LIMITATION")</f>
        <v/>
      </c>
      <c r="V7" s="3" t="inlineStr">
        <is>
          <t>[]</t>
        </is>
      </c>
      <c r="W7" s="3" t="inlineStr">
        <is>
          <t>["evidence_batch_009_086", "https://jeminise.com/products/custom-name-catcher-batter-baseball-baseball-throw-baseba-design-13", "serp_qa_086", "customizer_audit.json"]</t>
        </is>
      </c>
    </row>
    <row r="8" ht="42" customHeight="1">
      <c r="A8" s="2" t="n">
        <v>87</v>
      </c>
      <c r="B8" s="2" t="inlineStr">
        <is>
          <t>jeminise.com+custom-name-catcher-batter-baseball-baseball-throw-baseba-design-17</t>
        </is>
      </c>
      <c r="C8" s="4" t="inlineStr">
        <is>
          <t>https://jeminise.com/products/custom-name-catcher-batter-baseball-baseball-throw-baseba-design-17</t>
        </is>
      </c>
      <c r="D8" s="2" t="inlineStr">
        <is>
          <t>custom-name-catcher-batter-baseball-baseball-throw-baseba-design-17</t>
        </is>
      </c>
      <c r="E8" s="2" t="inlineStr">
        <is>
          <t>8867272589511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6</v>
      </c>
      <c r="O8" s="2" t="n">
        <v>6</v>
      </c>
      <c r="P8" s="2" t="b">
        <v>1</v>
      </c>
      <c r="Q8" s="6" t="n">
        <v>1</v>
      </c>
      <c r="R8" s="2">
        <f>COUNTIFS('QA_Issues'!$B$2:$B$2,B8,'QA_Issues'!$D$2:$D$2,"CRITICAL")</f>
        <v/>
      </c>
      <c r="S8" s="2">
        <f>COUNTIFS('QA_Issues'!$B$2:$B$2,B8,'QA_Issues'!$D$2:$D$2,"MAJOR")</f>
        <v/>
      </c>
      <c r="T8" s="2">
        <f>COUNTIFS('QA_Issues'!$B$2:$B$2,B8,'QA_Issues'!$D$2:$D$2,"MINOR")</f>
        <v/>
      </c>
      <c r="U8" s="2">
        <f>COUNTIFS('QA_Issues'!$B$2:$B$2,B8,'QA_Issues'!$D$2:$D$2,"LIMITATION")</f>
        <v/>
      </c>
      <c r="V8" s="2" t="inlineStr">
        <is>
          <t>[]</t>
        </is>
      </c>
      <c r="W8" s="2" t="inlineStr">
        <is>
          <t>["evidence_batch_009_087", "https://jeminise.com/products/custom-name-catcher-batter-baseball-baseball-throw-baseba-design-17", "serp_qa_087", "customizer_audit.json"]</t>
        </is>
      </c>
    </row>
    <row r="9" ht="42" customHeight="1">
      <c r="A9" s="3" t="n">
        <v>88</v>
      </c>
      <c r="B9" s="3" t="inlineStr">
        <is>
          <t>jeminise.com+custom-name-catcher-batter-baseball-baseball-throw-baseba-design-18</t>
        </is>
      </c>
      <c r="C9" s="4" t="inlineStr">
        <is>
          <t>https://jeminise.com/products/custom-name-catcher-batter-baseball-baseball-throw-baseba-design-18</t>
        </is>
      </c>
      <c r="D9" s="3" t="inlineStr">
        <is>
          <t>custom-name-catcher-batter-baseball-baseball-throw-baseba-design-18</t>
        </is>
      </c>
      <c r="E9" s="3" t="inlineStr">
        <is>
          <t>8867270721735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7</v>
      </c>
      <c r="O9" s="3" t="n">
        <v>7</v>
      </c>
      <c r="P9" s="3" t="b">
        <v>1</v>
      </c>
      <c r="Q9" s="8" t="n">
        <v>1</v>
      </c>
      <c r="R9" s="3">
        <f>COUNTIFS('QA_Issues'!$B$2:$B$2,B9,'QA_Issues'!$D$2:$D$2,"CRITICAL")</f>
        <v/>
      </c>
      <c r="S9" s="3">
        <f>COUNTIFS('QA_Issues'!$B$2:$B$2,B9,'QA_Issues'!$D$2:$D$2,"MAJOR")</f>
        <v/>
      </c>
      <c r="T9" s="3">
        <f>COUNTIFS('QA_Issues'!$B$2:$B$2,B9,'QA_Issues'!$D$2:$D$2,"MINOR")</f>
        <v/>
      </c>
      <c r="U9" s="3">
        <f>COUNTIFS('QA_Issues'!$B$2:$B$2,B9,'QA_Issues'!$D$2:$D$2,"LIMITATION")</f>
        <v/>
      </c>
      <c r="V9" s="3" t="inlineStr">
        <is>
          <t>[]</t>
        </is>
      </c>
      <c r="W9" s="3" t="inlineStr">
        <is>
          <t>["evidence_batch_009_088", "https://jeminise.com/products/custom-name-catcher-batter-baseball-baseball-throw-baseba-design-18", "serp_qa_088", "customizer_audit.json"]</t>
        </is>
      </c>
    </row>
    <row r="10" ht="42" customHeight="1">
      <c r="A10" s="2" t="n">
        <v>89</v>
      </c>
      <c r="B10" s="2" t="inlineStr">
        <is>
          <t>jeminise.com+custom-name-catcher-batter-baseball-baseball-throw-baseba-design-21</t>
        </is>
      </c>
      <c r="C10" s="4" t="inlineStr">
        <is>
          <t>https://jeminise.com/products/custom-name-catcher-batter-baseball-baseball-throw-baseba-design-21</t>
        </is>
      </c>
      <c r="D10" s="2" t="inlineStr">
        <is>
          <t>custom-name-catcher-batter-baseball-baseball-throw-baseba-design-21</t>
        </is>
      </c>
      <c r="E10" s="2" t="inlineStr">
        <is>
          <t>8867270656199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5</v>
      </c>
      <c r="O10" s="2" t="n">
        <v>5</v>
      </c>
      <c r="P10" s="2" t="b">
        <v>1</v>
      </c>
      <c r="Q10" s="6" t="n">
        <v>1</v>
      </c>
      <c r="R10" s="2">
        <f>COUNTIFS('QA_Issues'!$B$2:$B$2,B10,'QA_Issues'!$D$2:$D$2,"CRITICAL")</f>
        <v/>
      </c>
      <c r="S10" s="2">
        <f>COUNTIFS('QA_Issues'!$B$2:$B$2,B10,'QA_Issues'!$D$2:$D$2,"MAJOR")</f>
        <v/>
      </c>
      <c r="T10" s="2">
        <f>COUNTIFS('QA_Issues'!$B$2:$B$2,B10,'QA_Issues'!$D$2:$D$2,"MINOR")</f>
        <v/>
      </c>
      <c r="U10" s="2">
        <f>COUNTIFS('QA_Issues'!$B$2:$B$2,B10,'QA_Issues'!$D$2:$D$2,"LIMITATION")</f>
        <v/>
      </c>
      <c r="V10" s="2" t="inlineStr">
        <is>
          <t>[]</t>
        </is>
      </c>
      <c r="W10" s="2" t="inlineStr">
        <is>
          <t>["evidence_batch_009_089", "https://jeminise.com/products/custom-name-catcher-batter-baseball-baseball-throw-baseba-design-21", "serp_qa_089", "customizer_audit.json"]</t>
        </is>
      </c>
    </row>
    <row r="11" ht="42" customHeight="1">
      <c r="A11" s="3" t="n">
        <v>90</v>
      </c>
      <c r="B11" s="3" t="inlineStr">
        <is>
          <t>jeminise.com+custom-name-catcher-batter-baseball-baseball-throw-baseball-blanket</t>
        </is>
      </c>
      <c r="C11" s="4" t="inlineStr">
        <is>
          <t>https://jeminise.com/products/custom-name-catcher-batter-baseball-baseball-throw-baseball-blanket</t>
        </is>
      </c>
      <c r="D11" s="3" t="inlineStr">
        <is>
          <t>custom-name-catcher-batter-baseball-baseball-throw-baseball-blanket</t>
        </is>
      </c>
      <c r="E11" s="3" t="inlineStr">
        <is>
          <t>8867269279943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4</v>
      </c>
      <c r="O11" s="3" t="n">
        <v>4</v>
      </c>
      <c r="P11" s="3" t="b">
        <v>1</v>
      </c>
      <c r="Q11" s="8" t="n">
        <v>1</v>
      </c>
      <c r="R11" s="3">
        <f>COUNTIFS('QA_Issues'!$B$2:$B$2,B11,'QA_Issues'!$D$2:$D$2,"CRITICAL")</f>
        <v/>
      </c>
      <c r="S11" s="3">
        <f>COUNTIFS('QA_Issues'!$B$2:$B$2,B11,'QA_Issues'!$D$2:$D$2,"MAJOR")</f>
        <v/>
      </c>
      <c r="T11" s="3">
        <f>COUNTIFS('QA_Issues'!$B$2:$B$2,B11,'QA_Issues'!$D$2:$D$2,"MINOR")</f>
        <v/>
      </c>
      <c r="U11" s="3">
        <f>COUNTIFS('QA_Issues'!$B$2:$B$2,B11,'QA_Issues'!$D$2:$D$2,"LIMITATION")</f>
        <v/>
      </c>
      <c r="V11" s="3" t="inlineStr">
        <is>
          <t>[]</t>
        </is>
      </c>
      <c r="W11" s="3" t="inlineStr">
        <is>
          <t>["evidence_batch_009_090", "https://jeminise.com/products/custom-name-catcher-batter-baseball-baseball-throw-baseball-blanket", "serp_qa_090", "customizer_audit.json"]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jeminise.com+custom-name-catcher-batter-baseball-baseball-throw-baseba-design-01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IF(B2="I1",AVERAGEIF('QA_Images'!$A$2:$A$60,A2,'QA_Images'!$T$2:$T$60)/100,IF(D2="FULL",1,IF(D2="PARTIAL",0.5,IF(D2="FAIL",0,""))))</f>
        <v/>
      </c>
      <c r="F2" s="5">
        <f>IF(E2="",0,C2*E2)</f>
        <v/>
      </c>
      <c r="G2" s="5">
        <f>IF(B2="I1",20*AVERAGEIF('QA_Images'!$A$2:$A$60,A2,'QA_Images'!$U$2:$U$60)/100,IF(D2="NOT_CHECKED",0,C2))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["evidence_batch_009_081", "https://jeminise.com/products/custom-name-catcher-batter-baseball-baseball-throw-baseba-design-01", "serp_qa_081", "customizer_audit.json"]</t>
        </is>
      </c>
      <c r="J2" s="2" t="inlineStr">
        <is>
          <t>["ISS-081-IMG-04", "ISS-071-DESC", "ISS-071-CANN", "ISS-071-META"]</t>
        </is>
      </c>
    </row>
    <row r="3" ht="42" customHeight="1">
      <c r="A3" s="3" t="inlineStr">
        <is>
          <t>jeminise.com+custom-name-catcher-batter-baseball-baseball-throw-baseba-design-01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IF(B3="I1",AVERAGEIF('QA_Images'!$A$2:$A$60,A3,'QA_Images'!$T$2:$T$60)/100,IF(D3="FULL",1,IF(D3="PARTIAL",0.5,IF(D3="FAIL",0,""))))</f>
        <v/>
      </c>
      <c r="F3" s="7">
        <f>IF(E3="",0,C3*E3)</f>
        <v/>
      </c>
      <c r="G3" s="7">
        <f>IF(B3="I1",20*AVERAGEIF('QA_Images'!$A$2:$A$60,A3,'QA_Images'!$U$2:$U$60)/100,IF(D3="NOT_CHECKED",0,C3))</f>
        <v/>
      </c>
      <c r="H3" s="3" t="inlineStr">
        <is>
          <t>Đã đối chiếu options, variants, description và cấu hình Amazon Customizer live có Name/Number.</t>
        </is>
      </c>
      <c r="I3" s="3" t="inlineStr">
        <is>
          <t>["evidence_batch_009_081", "https://jeminise.com/products/custom-name-catcher-batter-baseball-baseball-throw-baseba-design-01", "serp_qa_081", "customizer_audit.json"]</t>
        </is>
      </c>
      <c r="J3" s="3" t="inlineStr">
        <is>
          <t>["ISS-081-IMG-04", "ISS-071-DESC", "ISS-071-CANN", "ISS-071-META"]</t>
        </is>
      </c>
    </row>
    <row r="4" ht="42" customHeight="1">
      <c r="A4" s="2" t="inlineStr">
        <is>
          <t>jeminise.com+custom-name-catcher-batter-baseball-baseball-throw-baseba-design-01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IF(B4="I1",AVERAGEIF('QA_Images'!$A$2:$A$60,A4,'QA_Images'!$T$2:$T$60)/100,IF(D4="FULL",1,IF(D4="PARTIAL",0.5,IF(D4="FAIL",0,""))))</f>
        <v/>
      </c>
      <c r="F4" s="5">
        <f>IF(E4="",0,C4*E4)</f>
        <v/>
      </c>
      <c r="G4" s="5">
        <f>IF(B4="I1",20*AVERAGEIF('QA_Images'!$A$2:$A$60,A4,'QA_Images'!$U$2:$U$60)/100,IF(D4="NOT_CHECKED",0,C4))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["evidence_batch_009_081", "https://jeminise.com/products/custom-name-catcher-batter-baseball-baseball-throw-baseba-design-01", "serp_qa_081", "customizer_audit.json"]</t>
        </is>
      </c>
      <c r="J4" s="2" t="inlineStr">
        <is>
          <t>["ISS-081-IMG-04", "ISS-071-DESC", "ISS-071-CANN", "ISS-071-META"]</t>
        </is>
      </c>
    </row>
    <row r="5" ht="42" customHeight="1">
      <c r="A5" s="3" t="inlineStr">
        <is>
          <t>jeminise.com+custom-name-catcher-batter-baseball-baseball-throw-baseba-design-01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IF(B5="I1",AVERAGEIF('QA_Images'!$A$2:$A$60,A5,'QA_Images'!$T$2:$T$60)/100,IF(D5="FULL",1,IF(D5="PARTIAL",0.5,IF(D5="FAIL",0,""))))</f>
        <v/>
      </c>
      <c r="F5" s="7">
        <f>IF(E5="",0,C5*E5)</f>
        <v/>
      </c>
      <c r="G5" s="7">
        <f>IF(B5="I1",20*AVERAGEIF('QA_Images'!$A$2:$A$60,A5,'QA_Images'!$U$2:$U$60)/100,IF(D5="NOT_CHECKED",0,C5))</f>
        <v/>
      </c>
      <c r="H5" s="3" t="inlineStr">
        <is>
          <t>Đã đọc primary và comparator SERP theo US commercial intent; nhiều kết quả là blanket/duvet nên chỉ PARTIAL.</t>
        </is>
      </c>
      <c r="I5" s="3" t="inlineStr">
        <is>
          <t>["evidence_batch_009_081", "https://jeminise.com/products/custom-name-catcher-batter-baseball-baseball-throw-baseba-design-01", "serp_qa_081", "customizer_audit.json"]</t>
        </is>
      </c>
      <c r="J5" s="3" t="inlineStr">
        <is>
          <t>["ISS-081-IMG-04", "ISS-071-DESC", "ISS-071-CANN", "ISS-071-META"]</t>
        </is>
      </c>
    </row>
    <row r="6" ht="42" customHeight="1">
      <c r="A6" s="2" t="inlineStr">
        <is>
          <t>jeminise.com+custom-name-catcher-batter-baseball-baseball-throw-baseba-design-01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IF(B6="I1",AVERAGEIF('QA_Images'!$A$2:$A$60,A6,'QA_Images'!$T$2:$T$60)/100,IF(D6="FULL",1,IF(D6="PARTIAL",0.5,IF(D6="FAIL",0,""))))</f>
        <v/>
      </c>
      <c r="F6" s="5">
        <f>IF(E6="",0,C6*E6)</f>
        <v/>
      </c>
      <c r="G6" s="5">
        <f>IF(B6="I1",20*AVERAGEIF('QA_Images'!$A$2:$A$60,A6,'QA_Images'!$U$2:$U$60)/100,IF(D6="NOT_CHECKED",0,C6))</f>
        <v/>
      </c>
      <c r="H6" s="2" t="inlineStr">
        <is>
          <t>Modifier theo artwork có dùng nhưng mười trang cùng cluster còn nguy cơ cannibalization.</t>
        </is>
      </c>
      <c r="I6" s="2" t="inlineStr">
        <is>
          <t>["evidence_batch_009_081", "https://jeminise.com/products/custom-name-catcher-batter-baseball-baseball-throw-baseba-design-01", "serp_qa_081", "customizer_audit.json"]</t>
        </is>
      </c>
      <c r="J6" s="2" t="inlineStr">
        <is>
          <t>["ISS-081-IMG-04", "ISS-071-DESC", "ISS-071-CANN", "ISS-071-META"]</t>
        </is>
      </c>
    </row>
    <row r="7" ht="42" customHeight="1">
      <c r="A7" s="3" t="inlineStr">
        <is>
          <t>jeminise.com+custom-name-catcher-batter-baseball-baseball-throw-baseba-design-01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IF(B7="I1",AVERAGEIF('QA_Images'!$A$2:$A$60,A7,'QA_Images'!$T$2:$T$60)/100,IF(D7="FULL",1,IF(D7="PARTIAL",0.5,IF(D7="FAIL",0,""))))</f>
        <v/>
      </c>
      <c r="F7" s="7">
        <f>IF(E7="",0,C7*E7)</f>
        <v/>
      </c>
      <c r="G7" s="7">
        <f>IF(B7="I1",20*AVERAGEIF('QA_Images'!$A$2:$A$60,A7,'QA_Images'!$U$2:$U$60)/100,IF(D7="NOT_CHECKED",0,C7))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["evidence_batch_009_081", "https://jeminise.com/products/custom-name-catcher-batter-baseball-baseball-throw-baseba-design-01", "serp_qa_081", "customizer_audit.json"]</t>
        </is>
      </c>
      <c r="J7" s="3" t="inlineStr">
        <is>
          <t>["ISS-081-IMG-04", "ISS-071-DESC", "ISS-071-CANN", "ISS-071-META"]</t>
        </is>
      </c>
    </row>
    <row r="8" ht="42" customHeight="1">
      <c r="A8" s="2" t="inlineStr">
        <is>
          <t>jeminise.com+custom-name-catcher-batter-baseball-baseball-throw-baseba-design-01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IF(B8="I1",AVERAGEIF('QA_Images'!$A$2:$A$60,A8,'QA_Images'!$T$2:$T$60)/100,IF(D8="FULL",1,IF(D8="PARTIAL",0.5,IF(D8="FAIL",0,""))))</f>
        <v/>
      </c>
      <c r="F8" s="5">
        <f>IF(E8="",0,C8*E8)</f>
        <v/>
      </c>
      <c r="G8" s="5">
        <f>IF(B8="I1",20*AVERAGEIF('QA_Images'!$A$2:$A$60,A8,'QA_Images'!$U$2:$U$60)/100,IF(D8="NOT_CHECKED",0,C8))</f>
        <v/>
      </c>
      <c r="H8" s="2" t="inlineStr">
        <is>
          <t>Meta đúng motif nhưng quá dài và chưa diễn đạt cơ chế Customize gọn, rõ.</t>
        </is>
      </c>
      <c r="I8" s="2" t="inlineStr">
        <is>
          <t>["evidence_batch_009_081", "https://jeminise.com/products/custom-name-catcher-batter-baseball-baseball-throw-baseba-design-01", "serp_qa_081", "customizer_audit.json"]</t>
        </is>
      </c>
      <c r="J8" s="2" t="inlineStr">
        <is>
          <t>[]</t>
        </is>
      </c>
    </row>
    <row r="9" ht="42" customHeight="1">
      <c r="A9" s="3" t="inlineStr">
        <is>
          <t>jeminise.com+custom-name-catcher-batter-baseball-baseball-throw-baseba-design-01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IF(B9="I1",AVERAGEIF('QA_Images'!$A$2:$A$60,A9,'QA_Images'!$T$2:$T$60)/100,IF(D9="FULL",1,IF(D9="PARTIAL",0.5,IF(D9="FAIL",0,""))))</f>
        <v/>
      </c>
      <c r="F9" s="7">
        <f>IF(E9="",0,C9*E9)</f>
        <v/>
      </c>
      <c r="G9" s="7">
        <f>IF(B9="I1",20*AVERAGEIF('QA_Images'!$A$2:$A$60,A9,'QA_Images'!$U$2:$U$60)/100,IF(D9="NOT_CHECKED",0,C9))</f>
        <v/>
      </c>
      <c r="H9" s="3" t="inlineStr">
        <is>
          <t>Description chứa nguyên khối SEO Use/QA/import nội bộ.</t>
        </is>
      </c>
      <c r="I9" s="3" t="inlineStr">
        <is>
          <t>["evidence_batch_009_081", "https://jeminise.com/products/custom-name-catcher-batter-baseball-baseball-throw-baseba-design-01", "serp_qa_081", "customizer_audit.json"]</t>
        </is>
      </c>
      <c r="J9" s="3" t="inlineStr">
        <is>
          <t>[]</t>
        </is>
      </c>
    </row>
    <row r="10" ht="42" customHeight="1">
      <c r="A10" s="2" t="inlineStr">
        <is>
          <t>jeminise.com+custom-name-catcher-batter-baseball-baseball-throw-baseba-design-01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IF(B10="I1",AVERAGEIF('QA_Images'!$A$2:$A$60,A10,'QA_Images'!$T$2:$T$60)/100,IF(D10="FULL",1,IF(D10="PARTIAL",0.5,IF(D10="FAIL",0,""))))</f>
        <v/>
      </c>
      <c r="F10" s="5">
        <f>IF(E10="",0,C10*E10)</f>
        <v/>
      </c>
      <c r="G10" s="5">
        <f>IF(B10="I1",20*AVERAGEIF('QA_Images'!$A$2:$A$60,A10,'QA_Images'!$U$2:$U$60)/100,IF(D10="NOT_CHECKED",0,C10))</f>
        <v/>
      </c>
      <c r="H10" s="2" t="inlineStr">
        <is>
          <t>Facts chính khớp nguồn, nhưng copy chưa publish-ready và chưa nói rõ ràng quy trình Customize.</t>
        </is>
      </c>
      <c r="I10" s="2" t="inlineStr">
        <is>
          <t>["evidence_batch_009_081", "https://jeminise.com/products/custom-name-catcher-batter-baseball-baseball-throw-baseba-design-01", "serp_qa_081", "customizer_audit.json"]</t>
        </is>
      </c>
      <c r="J10" s="2" t="inlineStr">
        <is>
          <t>[]</t>
        </is>
      </c>
    </row>
    <row r="11" ht="42" customHeight="1">
      <c r="A11" s="3" t="inlineStr">
        <is>
          <t>jeminise.com+custom-name-catcher-batter-baseball-baseball-throw-baseba-design-01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IF(B11="I1",AVERAGEIF('QA_Images'!$A$2:$A$60,A11,'QA_Images'!$T$2:$T$60)/100,IF(D11="FULL",1,IF(D11="PARTIAL",0.5,IF(D11="FAIL",0,""))))</f>
        <v/>
      </c>
      <c r="F11" s="7">
        <f>IF(E11="",0,C11*E11)</f>
        <v/>
      </c>
      <c r="G11" s="7">
        <f>IF(B11="I1",20*AVERAGEIF('QA_Images'!$A$2:$A$60,A11,'QA_Images'!$U$2:$U$60)/100,IF(D11="NOT_CHECKED",0,C11))</f>
        <v/>
      </c>
      <c r="H11" s="3" t="inlineStr">
        <is>
          <t>Tính từ trung bình 5 ảnh: 98.0000/100.</t>
        </is>
      </c>
      <c r="I11" s="3" t="inlineStr">
        <is>
          <t>["evidence_batch_009_081", "https://jeminise.com/products/custom-name-catcher-batter-baseball-baseball-throw-baseba-design-01", "serp_qa_081", "customizer_audit.json"]</t>
        </is>
      </c>
      <c r="J11" s="3" t="inlineStr">
        <is>
          <t>[]</t>
        </is>
      </c>
    </row>
    <row r="12" ht="42" customHeight="1">
      <c r="A12" s="2" t="inlineStr">
        <is>
          <t>jeminise.com+custom-name-catcher-batter-baseball-baseball-throw-baseba-design-01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IF(B12="I1",AVERAGEIF('QA_Images'!$A$2:$A$60,A12,'QA_Images'!$T$2:$T$60)/100,IF(D12="FULL",1,IF(D12="PARTIAL",0.5,IF(D12="FAIL",0,""))))</f>
        <v/>
      </c>
      <c r="F12" s="5">
        <f>IF(E12="",0,C12*E12)</f>
        <v/>
      </c>
      <c r="G12" s="5">
        <f>IF(B12="I1",20*AVERAGEIF('QA_Images'!$A$2:$A$60,A12,'QA_Images'!$U$2:$U$60)/100,IF(D12="NOT_CHECKED",0,C12))</f>
        <v/>
      </c>
      <c r="H12" s="2" t="inlineStr">
        <is>
          <t>Chuỗi evidence được kiểm tra; thiếu admin export và chưa chạy cart persistence.</t>
        </is>
      </c>
      <c r="I12" s="2" t="inlineStr">
        <is>
          <t>["evidence_batch_009_081", "https://jeminise.com/products/custom-name-catcher-batter-baseball-baseball-throw-baseba-design-01", "serp_qa_081", "customizer_audit.json"]</t>
        </is>
      </c>
      <c r="J12" s="2" t="inlineStr">
        <is>
          <t>[]</t>
        </is>
      </c>
    </row>
    <row r="13" ht="42" customHeight="1">
      <c r="A13" s="3" t="inlineStr">
        <is>
          <t>jeminise.com+custom-name-catcher-batter-baseball-baseball-throw-baseba-design-07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IF(B13="I1",AVERAGEIF('QA_Images'!$A$2:$A$60,A13,'QA_Images'!$T$2:$T$60)/100,IF(D13="FULL",1,IF(D13="PARTIAL",0.5,IF(D13="FAIL",0,""))))</f>
        <v/>
      </c>
      <c r="F13" s="7">
        <f>IF(E13="",0,C13*E13)</f>
        <v/>
      </c>
      <c r="G13" s="7">
        <f>IF(B13="I1",20*AVERAGEIF('QA_Images'!$A$2:$A$60,A13,'QA_Images'!$U$2:$U$60)/100,IF(D13="NOT_CHECKED",0,C13))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["evidence_batch_009_082", "https://jeminise.com/products/custom-name-catcher-batter-baseball-baseball-throw-baseba-design-07", "serp_qa_082", "customizer_audit.json"]</t>
        </is>
      </c>
      <c r="J13" s="3" t="inlineStr">
        <is>
          <t>["ISS-082-IMG-04", "ISS-072-DESC", "ISS-072-CANN", "ISS-072-META"]</t>
        </is>
      </c>
    </row>
    <row r="14" ht="42" customHeight="1">
      <c r="A14" s="2" t="inlineStr">
        <is>
          <t>jeminise.com+custom-name-catcher-batter-baseball-baseball-throw-baseba-design-07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IF(B14="I1",AVERAGEIF('QA_Images'!$A$2:$A$60,A14,'QA_Images'!$T$2:$T$60)/100,IF(D14="FULL",1,IF(D14="PARTIAL",0.5,IF(D14="FAIL",0,""))))</f>
        <v/>
      </c>
      <c r="F14" s="5">
        <f>IF(E14="",0,C14*E14)</f>
        <v/>
      </c>
      <c r="G14" s="5">
        <f>IF(B14="I1",20*AVERAGEIF('QA_Images'!$A$2:$A$60,A14,'QA_Images'!$U$2:$U$60)/100,IF(D14="NOT_CHECKED",0,C14))</f>
        <v/>
      </c>
      <c r="H14" s="2" t="inlineStr">
        <is>
          <t>Đã đối chiếu options, variants, description và cấu hình Amazon Customizer live có Name/Number.</t>
        </is>
      </c>
      <c r="I14" s="2" t="inlineStr">
        <is>
          <t>["evidence_batch_009_082", "https://jeminise.com/products/custom-name-catcher-batter-baseball-baseball-throw-baseba-design-07", "serp_qa_082", "customizer_audit.json"]</t>
        </is>
      </c>
      <c r="J14" s="2" t="inlineStr">
        <is>
          <t>["ISS-082-IMG-04", "ISS-072-DESC", "ISS-072-CANN", "ISS-072-META"]</t>
        </is>
      </c>
    </row>
    <row r="15" ht="42" customHeight="1">
      <c r="A15" s="3" t="inlineStr">
        <is>
          <t>jeminise.com+custom-name-catcher-batter-baseball-baseball-throw-baseba-design-07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IF(B15="I1",AVERAGEIF('QA_Images'!$A$2:$A$60,A15,'QA_Images'!$T$2:$T$60)/100,IF(D15="FULL",1,IF(D15="PARTIAL",0.5,IF(D15="FAIL",0,""))))</f>
        <v/>
      </c>
      <c r="F15" s="7">
        <f>IF(E15="",0,C15*E15)</f>
        <v/>
      </c>
      <c r="G15" s="7">
        <f>IF(B15="I1",20*AVERAGEIF('QA_Images'!$A$2:$A$60,A15,'QA_Images'!$U$2:$U$60)/100,IF(D15="NOT_CHECKED",0,C15))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["evidence_batch_009_082", "https://jeminise.com/products/custom-name-catcher-batter-baseball-baseball-throw-baseba-design-07", "serp_qa_082", "customizer_audit.json"]</t>
        </is>
      </c>
      <c r="J15" s="3" t="inlineStr">
        <is>
          <t>["ISS-082-IMG-04", "ISS-072-DESC", "ISS-072-CANN", "ISS-072-META"]</t>
        </is>
      </c>
    </row>
    <row r="16" ht="42" customHeight="1">
      <c r="A16" s="2" t="inlineStr">
        <is>
          <t>jeminise.com+custom-name-catcher-batter-baseball-baseball-throw-baseba-design-07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IF(B16="I1",AVERAGEIF('QA_Images'!$A$2:$A$60,A16,'QA_Images'!$T$2:$T$60)/100,IF(D16="FULL",1,IF(D16="PARTIAL",0.5,IF(D16="FAIL",0,""))))</f>
        <v/>
      </c>
      <c r="F16" s="5">
        <f>IF(E16="",0,C16*E16)</f>
        <v/>
      </c>
      <c r="G16" s="5">
        <f>IF(B16="I1",20*AVERAGEIF('QA_Images'!$A$2:$A$60,A16,'QA_Images'!$U$2:$U$60)/100,IF(D16="NOT_CHECKED",0,C16))</f>
        <v/>
      </c>
      <c r="H16" s="2" t="inlineStr">
        <is>
          <t>Đã đọc primary và comparator SERP theo US commercial intent; nhiều kết quả là blanket/duvet nên chỉ PARTIAL.</t>
        </is>
      </c>
      <c r="I16" s="2" t="inlineStr">
        <is>
          <t>["evidence_batch_009_082", "https://jeminise.com/products/custom-name-catcher-batter-baseball-baseball-throw-baseba-design-07", "serp_qa_082", "customizer_audit.json"]</t>
        </is>
      </c>
      <c r="J16" s="2" t="inlineStr">
        <is>
          <t>["ISS-082-IMG-04", "ISS-072-DESC", "ISS-072-CANN", "ISS-072-META"]</t>
        </is>
      </c>
    </row>
    <row r="17" ht="42" customHeight="1">
      <c r="A17" s="3" t="inlineStr">
        <is>
          <t>jeminise.com+custom-name-catcher-batter-baseball-baseball-throw-baseba-design-07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IF(B17="I1",AVERAGEIF('QA_Images'!$A$2:$A$60,A17,'QA_Images'!$T$2:$T$60)/100,IF(D17="FULL",1,IF(D17="PARTIAL",0.5,IF(D17="FAIL",0,""))))</f>
        <v/>
      </c>
      <c r="F17" s="7">
        <f>IF(E17="",0,C17*E17)</f>
        <v/>
      </c>
      <c r="G17" s="7">
        <f>IF(B17="I1",20*AVERAGEIF('QA_Images'!$A$2:$A$60,A17,'QA_Images'!$U$2:$U$60)/100,IF(D17="NOT_CHECKED",0,C17))</f>
        <v/>
      </c>
      <c r="H17" s="3" t="inlineStr">
        <is>
          <t>Modifier theo artwork có dùng nhưng mười trang cùng cluster còn nguy cơ cannibalization.</t>
        </is>
      </c>
      <c r="I17" s="3" t="inlineStr">
        <is>
          <t>["evidence_batch_009_082", "https://jeminise.com/products/custom-name-catcher-batter-baseball-baseball-throw-baseba-design-07", "serp_qa_082", "customizer_audit.json"]</t>
        </is>
      </c>
      <c r="J17" s="3" t="inlineStr">
        <is>
          <t>["ISS-082-IMG-04", "ISS-072-DESC", "ISS-072-CANN", "ISS-072-META"]</t>
        </is>
      </c>
    </row>
    <row r="18" ht="42" customHeight="1">
      <c r="A18" s="2" t="inlineStr">
        <is>
          <t>jeminise.com+custom-name-catcher-batter-baseball-baseball-throw-baseba-design-07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IF(B18="I1",AVERAGEIF('QA_Images'!$A$2:$A$60,A18,'QA_Images'!$T$2:$T$60)/100,IF(D18="FULL",1,IF(D18="PARTIAL",0.5,IF(D18="FAIL",0,""))))</f>
        <v/>
      </c>
      <c r="F18" s="5">
        <f>IF(E18="",0,C18*E18)</f>
        <v/>
      </c>
      <c r="G18" s="5">
        <f>IF(B18="I1",20*AVERAGEIF('QA_Images'!$A$2:$A$60,A18,'QA_Images'!$U$2:$U$60)/100,IF(D18="NOT_CHECKED",0,C18))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["evidence_batch_009_082", "https://jeminise.com/products/custom-name-catcher-batter-baseball-baseball-throw-baseba-design-07", "serp_qa_082", "customizer_audit.json"]</t>
        </is>
      </c>
      <c r="J18" s="2" t="inlineStr">
        <is>
          <t>["ISS-082-IMG-04", "ISS-072-DESC", "ISS-072-CANN", "ISS-072-META"]</t>
        </is>
      </c>
    </row>
    <row r="19" ht="42" customHeight="1">
      <c r="A19" s="3" t="inlineStr">
        <is>
          <t>jeminise.com+custom-name-catcher-batter-baseball-baseball-throw-baseba-design-07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IF(B19="I1",AVERAGEIF('QA_Images'!$A$2:$A$60,A19,'QA_Images'!$T$2:$T$60)/100,IF(D19="FULL",1,IF(D19="PARTIAL",0.5,IF(D19="FAIL",0,""))))</f>
        <v/>
      </c>
      <c r="F19" s="7">
        <f>IF(E19="",0,C19*E19)</f>
        <v/>
      </c>
      <c r="G19" s="7">
        <f>IF(B19="I1",20*AVERAGEIF('QA_Images'!$A$2:$A$60,A19,'QA_Images'!$U$2:$U$60)/100,IF(D19="NOT_CHECKED",0,C19))</f>
        <v/>
      </c>
      <c r="H19" s="3" t="inlineStr">
        <is>
          <t>Meta đúng motif nhưng quá dài và chưa diễn đạt cơ chế Customize gọn, rõ.</t>
        </is>
      </c>
      <c r="I19" s="3" t="inlineStr">
        <is>
          <t>["evidence_batch_009_082", "https://jeminise.com/products/custom-name-catcher-batter-baseball-baseball-throw-baseba-design-07", "serp_qa_082", "customizer_audit.json"]</t>
        </is>
      </c>
      <c r="J19" s="3" t="inlineStr">
        <is>
          <t>[]</t>
        </is>
      </c>
    </row>
    <row r="20" ht="42" customHeight="1">
      <c r="A20" s="2" t="inlineStr">
        <is>
          <t>jeminise.com+custom-name-catcher-batter-baseball-baseball-throw-baseba-design-07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IF(B20="I1",AVERAGEIF('QA_Images'!$A$2:$A$60,A20,'QA_Images'!$T$2:$T$60)/100,IF(D20="FULL",1,IF(D20="PARTIAL",0.5,IF(D20="FAIL",0,""))))</f>
        <v/>
      </c>
      <c r="F20" s="5">
        <f>IF(E20="",0,C20*E20)</f>
        <v/>
      </c>
      <c r="G20" s="5">
        <f>IF(B20="I1",20*AVERAGEIF('QA_Images'!$A$2:$A$60,A20,'QA_Images'!$U$2:$U$60)/100,IF(D20="NOT_CHECKED",0,C20))</f>
        <v/>
      </c>
      <c r="H20" s="2" t="inlineStr">
        <is>
          <t>Description chứa nguyên khối SEO Use/QA/import nội bộ.</t>
        </is>
      </c>
      <c r="I20" s="2" t="inlineStr">
        <is>
          <t>["evidence_batch_009_082", "https://jeminise.com/products/custom-name-catcher-batter-baseball-baseball-throw-baseba-design-07", "serp_qa_082", "customizer_audit.json"]</t>
        </is>
      </c>
      <c r="J20" s="2" t="inlineStr">
        <is>
          <t>[]</t>
        </is>
      </c>
    </row>
    <row r="21" ht="42" customHeight="1">
      <c r="A21" s="3" t="inlineStr">
        <is>
          <t>jeminise.com+custom-name-catcher-batter-baseball-baseball-throw-baseba-design-07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IF(B21="I1",AVERAGEIF('QA_Images'!$A$2:$A$60,A21,'QA_Images'!$T$2:$T$60)/100,IF(D21="FULL",1,IF(D21="PARTIAL",0.5,IF(D21="FAIL",0,""))))</f>
        <v/>
      </c>
      <c r="F21" s="7">
        <f>IF(E21="",0,C21*E21)</f>
        <v/>
      </c>
      <c r="G21" s="7">
        <f>IF(B21="I1",20*AVERAGEIF('QA_Images'!$A$2:$A$60,A21,'QA_Images'!$U$2:$U$60)/100,IF(D21="NOT_CHECKED",0,C21))</f>
        <v/>
      </c>
      <c r="H21" s="3" t="inlineStr">
        <is>
          <t>Facts chính khớp nguồn, nhưng copy chưa publish-ready và chưa nói rõ ràng quy trình Customize.</t>
        </is>
      </c>
      <c r="I21" s="3" t="inlineStr">
        <is>
          <t>["evidence_batch_009_082", "https://jeminise.com/products/custom-name-catcher-batter-baseball-baseball-throw-baseba-design-07", "serp_qa_082", "customizer_audit.json"]</t>
        </is>
      </c>
      <c r="J21" s="3" t="inlineStr">
        <is>
          <t>[]</t>
        </is>
      </c>
    </row>
    <row r="22" ht="42" customHeight="1">
      <c r="A22" s="2" t="inlineStr">
        <is>
          <t>jeminise.com+custom-name-catcher-batter-baseball-baseball-throw-baseba-design-07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IF(B22="I1",AVERAGEIF('QA_Images'!$A$2:$A$60,A22,'QA_Images'!$T$2:$T$60)/100,IF(D22="FULL",1,IF(D22="PARTIAL",0.5,IF(D22="FAIL",0,""))))</f>
        <v/>
      </c>
      <c r="F22" s="5">
        <f>IF(E22="",0,C22*E22)</f>
        <v/>
      </c>
      <c r="G22" s="5">
        <f>IF(B22="I1",20*AVERAGEIF('QA_Images'!$A$2:$A$60,A22,'QA_Images'!$U$2:$U$60)/100,IF(D22="NOT_CHECKED",0,C22))</f>
        <v/>
      </c>
      <c r="H22" s="2" t="inlineStr">
        <is>
          <t>Tính từ trung bình 6 ảnh: 98.3333/100.</t>
        </is>
      </c>
      <c r="I22" s="2" t="inlineStr">
        <is>
          <t>["evidence_batch_009_082", "https://jeminise.com/products/custom-name-catcher-batter-baseball-baseball-throw-baseba-design-07", "serp_qa_082", "customizer_audit.json"]</t>
        </is>
      </c>
      <c r="J22" s="2" t="inlineStr">
        <is>
          <t>[]</t>
        </is>
      </c>
    </row>
    <row r="23" ht="42" customHeight="1">
      <c r="A23" s="3" t="inlineStr">
        <is>
          <t>jeminise.com+custom-name-catcher-batter-baseball-baseball-throw-baseba-design-07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IF(B23="I1",AVERAGEIF('QA_Images'!$A$2:$A$60,A23,'QA_Images'!$T$2:$T$60)/100,IF(D23="FULL",1,IF(D23="PARTIAL",0.5,IF(D23="FAIL",0,""))))</f>
        <v/>
      </c>
      <c r="F23" s="7">
        <f>IF(E23="",0,C23*E23)</f>
        <v/>
      </c>
      <c r="G23" s="7">
        <f>IF(B23="I1",20*AVERAGEIF('QA_Images'!$A$2:$A$60,A23,'QA_Images'!$U$2:$U$60)/100,IF(D23="NOT_CHECKED",0,C23))</f>
        <v/>
      </c>
      <c r="H23" s="3" t="inlineStr">
        <is>
          <t>Chuỗi evidence được kiểm tra; thiếu admin export và chưa chạy cart persistence.</t>
        </is>
      </c>
      <c r="I23" s="3" t="inlineStr">
        <is>
          <t>["evidence_batch_009_082", "https://jeminise.com/products/custom-name-catcher-batter-baseball-baseball-throw-baseba-design-07", "serp_qa_082", "customizer_audit.json"]</t>
        </is>
      </c>
      <c r="J23" s="3" t="inlineStr">
        <is>
          <t>[]</t>
        </is>
      </c>
    </row>
    <row r="24" ht="42" customHeight="1">
      <c r="A24" s="2" t="inlineStr">
        <is>
          <t>jeminise.com+custom-name-catcher-batter-baseball-baseball-throw-baseba-design-10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IF(B24="I1",AVERAGEIF('QA_Images'!$A$2:$A$60,A24,'QA_Images'!$T$2:$T$60)/100,IF(D24="FULL",1,IF(D24="PARTIAL",0.5,IF(D24="FAIL",0,""))))</f>
        <v/>
      </c>
      <c r="F24" s="5">
        <f>IF(E24="",0,C24*E24)</f>
        <v/>
      </c>
      <c r="G24" s="5">
        <f>IF(B24="I1",20*AVERAGEIF('QA_Images'!$A$2:$A$60,A24,'QA_Images'!$U$2:$U$60)/100,IF(D24="NOT_CHECKED",0,C24))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["evidence_batch_009_083", "https://jeminise.com/products/custom-name-catcher-batter-baseball-baseball-throw-baseba-design-10", "serp_qa_083", "customizer_audit.json"]</t>
        </is>
      </c>
      <c r="J24" s="2" t="inlineStr">
        <is>
          <t>["ISS-083-IMG-04", "ISS-073-DESC", "ISS-073-CANN", "ISS-073-META"]</t>
        </is>
      </c>
    </row>
    <row r="25" ht="42" customHeight="1">
      <c r="A25" s="3" t="inlineStr">
        <is>
          <t>jeminise.com+custom-name-catcher-batter-baseball-baseball-throw-baseba-design-10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IF(B25="I1",AVERAGEIF('QA_Images'!$A$2:$A$60,A25,'QA_Images'!$T$2:$T$60)/100,IF(D25="FULL",1,IF(D25="PARTIAL",0.5,IF(D25="FAIL",0,""))))</f>
        <v/>
      </c>
      <c r="F25" s="7">
        <f>IF(E25="",0,C25*E25)</f>
        <v/>
      </c>
      <c r="G25" s="7">
        <f>IF(B25="I1",20*AVERAGEIF('QA_Images'!$A$2:$A$60,A25,'QA_Images'!$U$2:$U$60)/100,IF(D25="NOT_CHECKED",0,C25))</f>
        <v/>
      </c>
      <c r="H25" s="3" t="inlineStr">
        <is>
          <t>Đã đối chiếu options, variants, description và cấu hình Amazon Customizer live có Name/Number.</t>
        </is>
      </c>
      <c r="I25" s="3" t="inlineStr">
        <is>
          <t>["evidence_batch_009_083", "https://jeminise.com/products/custom-name-catcher-batter-baseball-baseball-throw-baseba-design-10", "serp_qa_083", "customizer_audit.json"]</t>
        </is>
      </c>
      <c r="J25" s="3" t="inlineStr">
        <is>
          <t>["ISS-083-IMG-04", "ISS-073-DESC", "ISS-073-CANN", "ISS-073-META"]</t>
        </is>
      </c>
    </row>
    <row r="26" ht="42" customHeight="1">
      <c r="A26" s="2" t="inlineStr">
        <is>
          <t>jeminise.com+custom-name-catcher-batter-baseball-baseball-throw-baseba-design-10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IF(B26="I1",AVERAGEIF('QA_Images'!$A$2:$A$60,A26,'QA_Images'!$T$2:$T$60)/100,IF(D26="FULL",1,IF(D26="PARTIAL",0.5,IF(D26="FAIL",0,""))))</f>
        <v/>
      </c>
      <c r="F26" s="5">
        <f>IF(E26="",0,C26*E26)</f>
        <v/>
      </c>
      <c r="G26" s="5">
        <f>IF(B26="I1",20*AVERAGEIF('QA_Images'!$A$2:$A$60,A26,'QA_Images'!$U$2:$U$60)/100,IF(D26="NOT_CHECKED",0,C26))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["evidence_batch_009_083", "https://jeminise.com/products/custom-name-catcher-batter-baseball-baseball-throw-baseba-design-10", "serp_qa_083", "customizer_audit.json"]</t>
        </is>
      </c>
      <c r="J26" s="2" t="inlineStr">
        <is>
          <t>["ISS-083-IMG-04", "ISS-073-DESC", "ISS-073-CANN", "ISS-073-META"]</t>
        </is>
      </c>
    </row>
    <row r="27" ht="42" customHeight="1">
      <c r="A27" s="3" t="inlineStr">
        <is>
          <t>jeminise.com+custom-name-catcher-batter-baseball-baseball-throw-baseba-design-10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IF(B27="I1",AVERAGEIF('QA_Images'!$A$2:$A$60,A27,'QA_Images'!$T$2:$T$60)/100,IF(D27="FULL",1,IF(D27="PARTIAL",0.5,IF(D27="FAIL",0,""))))</f>
        <v/>
      </c>
      <c r="F27" s="7">
        <f>IF(E27="",0,C27*E27)</f>
        <v/>
      </c>
      <c r="G27" s="7">
        <f>IF(B27="I1",20*AVERAGEIF('QA_Images'!$A$2:$A$60,A27,'QA_Images'!$U$2:$U$60)/100,IF(D27="NOT_CHECKED",0,C27))</f>
        <v/>
      </c>
      <c r="H27" s="3" t="inlineStr">
        <is>
          <t>Đã đọc primary và comparator SERP theo US commercial intent; nhiều kết quả là blanket/duvet nên chỉ PARTIAL.</t>
        </is>
      </c>
      <c r="I27" s="3" t="inlineStr">
        <is>
          <t>["evidence_batch_009_083", "https://jeminise.com/products/custom-name-catcher-batter-baseball-baseball-throw-baseba-design-10", "serp_qa_083", "customizer_audit.json"]</t>
        </is>
      </c>
      <c r="J27" s="3" t="inlineStr">
        <is>
          <t>["ISS-083-IMG-04", "ISS-073-DESC", "ISS-073-CANN", "ISS-073-META"]</t>
        </is>
      </c>
    </row>
    <row r="28" ht="42" customHeight="1">
      <c r="A28" s="2" t="inlineStr">
        <is>
          <t>jeminise.com+custom-name-catcher-batter-baseball-baseball-throw-baseba-design-10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IF(B28="I1",AVERAGEIF('QA_Images'!$A$2:$A$60,A28,'QA_Images'!$T$2:$T$60)/100,IF(D28="FULL",1,IF(D28="PARTIAL",0.5,IF(D28="FAIL",0,""))))</f>
        <v/>
      </c>
      <c r="F28" s="5">
        <f>IF(E28="",0,C28*E28)</f>
        <v/>
      </c>
      <c r="G28" s="5">
        <f>IF(B28="I1",20*AVERAGEIF('QA_Images'!$A$2:$A$60,A28,'QA_Images'!$U$2:$U$60)/100,IF(D28="NOT_CHECKED",0,C28))</f>
        <v/>
      </c>
      <c r="H28" s="2" t="inlineStr">
        <is>
          <t>Modifier theo artwork có dùng nhưng mười trang cùng cluster còn nguy cơ cannibalization.</t>
        </is>
      </c>
      <c r="I28" s="2" t="inlineStr">
        <is>
          <t>["evidence_batch_009_083", "https://jeminise.com/products/custom-name-catcher-batter-baseball-baseball-throw-baseba-design-10", "serp_qa_083", "customizer_audit.json"]</t>
        </is>
      </c>
      <c r="J28" s="2" t="inlineStr">
        <is>
          <t>["ISS-083-IMG-04", "ISS-073-DESC", "ISS-073-CANN", "ISS-073-META"]</t>
        </is>
      </c>
    </row>
    <row r="29" ht="42" customHeight="1">
      <c r="A29" s="3" t="inlineStr">
        <is>
          <t>jeminise.com+custom-name-catcher-batter-baseball-baseball-throw-baseba-design-10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IF(B29="I1",AVERAGEIF('QA_Images'!$A$2:$A$60,A29,'QA_Images'!$T$2:$T$60)/100,IF(D29="FULL",1,IF(D29="PARTIAL",0.5,IF(D29="FAIL",0,""))))</f>
        <v/>
      </c>
      <c r="F29" s="7">
        <f>IF(E29="",0,C29*E29)</f>
        <v/>
      </c>
      <c r="G29" s="7">
        <f>IF(B29="I1",20*AVERAGEIF('QA_Images'!$A$2:$A$60,A29,'QA_Images'!$U$2:$U$60)/100,IF(D29="NOT_CHECKED",0,C29))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["evidence_batch_009_083", "https://jeminise.com/products/custom-name-catcher-batter-baseball-baseball-throw-baseba-design-10", "serp_qa_083", "customizer_audit.json"]</t>
        </is>
      </c>
      <c r="J29" s="3" t="inlineStr">
        <is>
          <t>["ISS-083-IMG-04", "ISS-073-DESC", "ISS-073-CANN", "ISS-073-META"]</t>
        </is>
      </c>
    </row>
    <row r="30" ht="42" customHeight="1">
      <c r="A30" s="2" t="inlineStr">
        <is>
          <t>jeminise.com+custom-name-catcher-batter-baseball-baseball-throw-baseba-design-10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IF(B30="I1",AVERAGEIF('QA_Images'!$A$2:$A$60,A30,'QA_Images'!$T$2:$T$60)/100,IF(D30="FULL",1,IF(D30="PARTIAL",0.5,IF(D30="FAIL",0,""))))</f>
        <v/>
      </c>
      <c r="F30" s="5">
        <f>IF(E30="",0,C30*E30)</f>
        <v/>
      </c>
      <c r="G30" s="5">
        <f>IF(B30="I1",20*AVERAGEIF('QA_Images'!$A$2:$A$60,A30,'QA_Images'!$U$2:$U$60)/100,IF(D30="NOT_CHECKED",0,C30))</f>
        <v/>
      </c>
      <c r="H30" s="2" t="inlineStr">
        <is>
          <t>Meta đúng motif nhưng quá dài và chưa diễn đạt cơ chế Customize gọn, rõ.</t>
        </is>
      </c>
      <c r="I30" s="2" t="inlineStr">
        <is>
          <t>["evidence_batch_009_083", "https://jeminise.com/products/custom-name-catcher-batter-baseball-baseball-throw-baseba-design-10", "serp_qa_083", "customizer_audit.json"]</t>
        </is>
      </c>
      <c r="J30" s="2" t="inlineStr">
        <is>
          <t>[]</t>
        </is>
      </c>
    </row>
    <row r="31" ht="42" customHeight="1">
      <c r="A31" s="3" t="inlineStr">
        <is>
          <t>jeminise.com+custom-name-catcher-batter-baseball-baseball-throw-baseba-design-10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IF(B31="I1",AVERAGEIF('QA_Images'!$A$2:$A$60,A31,'QA_Images'!$T$2:$T$60)/100,IF(D31="FULL",1,IF(D31="PARTIAL",0.5,IF(D31="FAIL",0,""))))</f>
        <v/>
      </c>
      <c r="F31" s="7">
        <f>IF(E31="",0,C31*E31)</f>
        <v/>
      </c>
      <c r="G31" s="7">
        <f>IF(B31="I1",20*AVERAGEIF('QA_Images'!$A$2:$A$60,A31,'QA_Images'!$U$2:$U$60)/100,IF(D31="NOT_CHECKED",0,C31))</f>
        <v/>
      </c>
      <c r="H31" s="3" t="inlineStr">
        <is>
          <t>Description chứa nguyên khối SEO Use/QA/import nội bộ.</t>
        </is>
      </c>
      <c r="I31" s="3" t="inlineStr">
        <is>
          <t>["evidence_batch_009_083", "https://jeminise.com/products/custom-name-catcher-batter-baseball-baseball-throw-baseba-design-10", "serp_qa_083", "customizer_audit.json"]</t>
        </is>
      </c>
      <c r="J31" s="3" t="inlineStr">
        <is>
          <t>[]</t>
        </is>
      </c>
    </row>
    <row r="32" ht="42" customHeight="1">
      <c r="A32" s="2" t="inlineStr">
        <is>
          <t>jeminise.com+custom-name-catcher-batter-baseball-baseball-throw-baseba-design-10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IF(B32="I1",AVERAGEIF('QA_Images'!$A$2:$A$60,A32,'QA_Images'!$T$2:$T$60)/100,IF(D32="FULL",1,IF(D32="PARTIAL",0.5,IF(D32="FAIL",0,""))))</f>
        <v/>
      </c>
      <c r="F32" s="5">
        <f>IF(E32="",0,C32*E32)</f>
        <v/>
      </c>
      <c r="G32" s="5">
        <f>IF(B32="I1",20*AVERAGEIF('QA_Images'!$A$2:$A$60,A32,'QA_Images'!$U$2:$U$60)/100,IF(D32="NOT_CHECKED",0,C32))</f>
        <v/>
      </c>
      <c r="H32" s="2" t="inlineStr">
        <is>
          <t>Facts chính khớp nguồn, nhưng copy chưa publish-ready và chưa nói rõ ràng quy trình Customize.</t>
        </is>
      </c>
      <c r="I32" s="2" t="inlineStr">
        <is>
          <t>["evidence_batch_009_083", "https://jeminise.com/products/custom-name-catcher-batter-baseball-baseball-throw-baseba-design-10", "serp_qa_083", "customizer_audit.json"]</t>
        </is>
      </c>
      <c r="J32" s="2" t="inlineStr">
        <is>
          <t>[]</t>
        </is>
      </c>
    </row>
    <row r="33" ht="42" customHeight="1">
      <c r="A33" s="3" t="inlineStr">
        <is>
          <t>jeminise.com+custom-name-catcher-batter-baseball-baseball-throw-baseba-design-10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IF(B33="I1",AVERAGEIF('QA_Images'!$A$2:$A$60,A33,'QA_Images'!$T$2:$T$60)/100,IF(D33="FULL",1,IF(D33="PARTIAL",0.5,IF(D33="FAIL",0,""))))</f>
        <v/>
      </c>
      <c r="F33" s="7">
        <f>IF(E33="",0,C33*E33)</f>
        <v/>
      </c>
      <c r="G33" s="7">
        <f>IF(B33="I1",20*AVERAGEIF('QA_Images'!$A$2:$A$60,A33,'QA_Images'!$U$2:$U$60)/100,IF(D33="NOT_CHECKED",0,C33))</f>
        <v/>
      </c>
      <c r="H33" s="3" t="inlineStr">
        <is>
          <t>Tính từ trung bình 7 ảnh: 98.5714/100.</t>
        </is>
      </c>
      <c r="I33" s="3" t="inlineStr">
        <is>
          <t>["evidence_batch_009_083", "https://jeminise.com/products/custom-name-catcher-batter-baseball-baseball-throw-baseba-design-10", "serp_qa_083", "customizer_audit.json"]</t>
        </is>
      </c>
      <c r="J33" s="3" t="inlineStr">
        <is>
          <t>[]</t>
        </is>
      </c>
    </row>
    <row r="34" ht="42" customHeight="1">
      <c r="A34" s="2" t="inlineStr">
        <is>
          <t>jeminise.com+custom-name-catcher-batter-baseball-baseball-throw-baseba-design-10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IF(B34="I1",AVERAGEIF('QA_Images'!$A$2:$A$60,A34,'QA_Images'!$T$2:$T$60)/100,IF(D34="FULL",1,IF(D34="PARTIAL",0.5,IF(D34="FAIL",0,""))))</f>
        <v/>
      </c>
      <c r="F34" s="5">
        <f>IF(E34="",0,C34*E34)</f>
        <v/>
      </c>
      <c r="G34" s="5">
        <f>IF(B34="I1",20*AVERAGEIF('QA_Images'!$A$2:$A$60,A34,'QA_Images'!$U$2:$U$60)/100,IF(D34="NOT_CHECKED",0,C34))</f>
        <v/>
      </c>
      <c r="H34" s="2" t="inlineStr">
        <is>
          <t>Chuỗi evidence được kiểm tra; thiếu admin export và chưa chạy cart persistence.</t>
        </is>
      </c>
      <c r="I34" s="2" t="inlineStr">
        <is>
          <t>["evidence_batch_009_083", "https://jeminise.com/products/custom-name-catcher-batter-baseball-baseball-throw-baseba-design-10", "serp_qa_083", "customizer_audit.json"]</t>
        </is>
      </c>
      <c r="J34" s="2" t="inlineStr">
        <is>
          <t>[]</t>
        </is>
      </c>
    </row>
    <row r="35" ht="42" customHeight="1">
      <c r="A35" s="3" t="inlineStr">
        <is>
          <t>jeminise.com+custom-name-catcher-batter-baseball-baseball-throw-baseba-design-11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IF(B35="I1",AVERAGEIF('QA_Images'!$A$2:$A$60,A35,'QA_Images'!$T$2:$T$60)/100,IF(D35="FULL",1,IF(D35="PARTIAL",0.5,IF(D35="FAIL",0,""))))</f>
        <v/>
      </c>
      <c r="F35" s="7">
        <f>IF(E35="",0,C35*E35)</f>
        <v/>
      </c>
      <c r="G35" s="7">
        <f>IF(B35="I1",20*AVERAGEIF('QA_Images'!$A$2:$A$60,A35,'QA_Images'!$U$2:$U$60)/100,IF(D35="NOT_CHECKED",0,C35))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["evidence_batch_009_084", "https://jeminise.com/products/custom-name-catcher-batter-baseball-baseball-throw-baseba-design-11", "serp_qa_084", "customizer_audit.json"]</t>
        </is>
      </c>
      <c r="J35" s="3" t="inlineStr">
        <is>
          <t>["ISS-084-IMG-04", "ISS-074-DESC", "ISS-074-CANN", "ISS-074-META"]</t>
        </is>
      </c>
    </row>
    <row r="36" ht="42" customHeight="1">
      <c r="A36" s="2" t="inlineStr">
        <is>
          <t>jeminise.com+custom-name-catcher-batter-baseball-baseball-throw-baseba-design-11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IF(B36="I1",AVERAGEIF('QA_Images'!$A$2:$A$60,A36,'QA_Images'!$T$2:$T$60)/100,IF(D36="FULL",1,IF(D36="PARTIAL",0.5,IF(D36="FAIL",0,""))))</f>
        <v/>
      </c>
      <c r="F36" s="5">
        <f>IF(E36="",0,C36*E36)</f>
        <v/>
      </c>
      <c r="G36" s="5">
        <f>IF(B36="I1",20*AVERAGEIF('QA_Images'!$A$2:$A$60,A36,'QA_Images'!$U$2:$U$60)/100,IF(D36="NOT_CHECKED",0,C36))</f>
        <v/>
      </c>
      <c r="H36" s="2" t="inlineStr">
        <is>
          <t>Đã đối chiếu options, variants, description và cấu hình Amazon Customizer live có Name/Number.</t>
        </is>
      </c>
      <c r="I36" s="2" t="inlineStr">
        <is>
          <t>["evidence_batch_009_084", "https://jeminise.com/products/custom-name-catcher-batter-baseball-baseball-throw-baseba-design-11", "serp_qa_084", "customizer_audit.json"]</t>
        </is>
      </c>
      <c r="J36" s="2" t="inlineStr">
        <is>
          <t>["ISS-084-IMG-04", "ISS-074-DESC", "ISS-074-CANN", "ISS-074-META"]</t>
        </is>
      </c>
    </row>
    <row r="37" ht="42" customHeight="1">
      <c r="A37" s="3" t="inlineStr">
        <is>
          <t>jeminise.com+custom-name-catcher-batter-baseball-baseball-throw-baseba-design-11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IF(B37="I1",AVERAGEIF('QA_Images'!$A$2:$A$60,A37,'QA_Images'!$T$2:$T$60)/100,IF(D37="FULL",1,IF(D37="PARTIAL",0.5,IF(D37="FAIL",0,""))))</f>
        <v/>
      </c>
      <c r="F37" s="7">
        <f>IF(E37="",0,C37*E37)</f>
        <v/>
      </c>
      <c r="G37" s="7">
        <f>IF(B37="I1",20*AVERAGEIF('QA_Images'!$A$2:$A$60,A37,'QA_Images'!$U$2:$U$60)/100,IF(D37="NOT_CHECKED",0,C37))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["evidence_batch_009_084", "https://jeminise.com/products/custom-name-catcher-batter-baseball-baseball-throw-baseba-design-11", "serp_qa_084", "customizer_audit.json"]</t>
        </is>
      </c>
      <c r="J37" s="3" t="inlineStr">
        <is>
          <t>["ISS-084-IMG-04", "ISS-074-DESC", "ISS-074-CANN", "ISS-074-META"]</t>
        </is>
      </c>
    </row>
    <row r="38" ht="42" customHeight="1">
      <c r="A38" s="2" t="inlineStr">
        <is>
          <t>jeminise.com+custom-name-catcher-batter-baseball-baseball-throw-baseba-design-11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IF(B38="I1",AVERAGEIF('QA_Images'!$A$2:$A$60,A38,'QA_Images'!$T$2:$T$60)/100,IF(D38="FULL",1,IF(D38="PARTIAL",0.5,IF(D38="FAIL",0,""))))</f>
        <v/>
      </c>
      <c r="F38" s="5">
        <f>IF(E38="",0,C38*E38)</f>
        <v/>
      </c>
      <c r="G38" s="5">
        <f>IF(B38="I1",20*AVERAGEIF('QA_Images'!$A$2:$A$60,A38,'QA_Images'!$U$2:$U$60)/100,IF(D38="NOT_CHECKED",0,C38))</f>
        <v/>
      </c>
      <c r="H38" s="2" t="inlineStr">
        <is>
          <t>Đã đọc primary và comparator SERP theo US commercial intent; nhiều kết quả là blanket/duvet nên chỉ PARTIAL.</t>
        </is>
      </c>
      <c r="I38" s="2" t="inlineStr">
        <is>
          <t>["evidence_batch_009_084", "https://jeminise.com/products/custom-name-catcher-batter-baseball-baseball-throw-baseba-design-11", "serp_qa_084", "customizer_audit.json"]</t>
        </is>
      </c>
      <c r="J38" s="2" t="inlineStr">
        <is>
          <t>["ISS-084-IMG-04", "ISS-074-DESC", "ISS-074-CANN", "ISS-074-META"]</t>
        </is>
      </c>
    </row>
    <row r="39" ht="42" customHeight="1">
      <c r="A39" s="3" t="inlineStr">
        <is>
          <t>jeminise.com+custom-name-catcher-batter-baseball-baseball-throw-baseba-design-11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IF(B39="I1",AVERAGEIF('QA_Images'!$A$2:$A$60,A39,'QA_Images'!$T$2:$T$60)/100,IF(D39="FULL",1,IF(D39="PARTIAL",0.5,IF(D39="FAIL",0,""))))</f>
        <v/>
      </c>
      <c r="F39" s="7">
        <f>IF(E39="",0,C39*E39)</f>
        <v/>
      </c>
      <c r="G39" s="7">
        <f>IF(B39="I1",20*AVERAGEIF('QA_Images'!$A$2:$A$60,A39,'QA_Images'!$U$2:$U$60)/100,IF(D39="NOT_CHECKED",0,C39))</f>
        <v/>
      </c>
      <c r="H39" s="3" t="inlineStr">
        <is>
          <t>Modifier theo artwork có dùng nhưng mười trang cùng cluster còn nguy cơ cannibalization.</t>
        </is>
      </c>
      <c r="I39" s="3" t="inlineStr">
        <is>
          <t>["evidence_batch_009_084", "https://jeminise.com/products/custom-name-catcher-batter-baseball-baseball-throw-baseba-design-11", "serp_qa_084", "customizer_audit.json"]</t>
        </is>
      </c>
      <c r="J39" s="3" t="inlineStr">
        <is>
          <t>["ISS-084-IMG-04", "ISS-074-DESC", "ISS-074-CANN", "ISS-074-META"]</t>
        </is>
      </c>
    </row>
    <row r="40" ht="42" customHeight="1">
      <c r="A40" s="2" t="inlineStr">
        <is>
          <t>jeminise.com+custom-name-catcher-batter-baseball-baseball-throw-baseba-design-11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IF(B40="I1",AVERAGEIF('QA_Images'!$A$2:$A$60,A40,'QA_Images'!$T$2:$T$60)/100,IF(D40="FULL",1,IF(D40="PARTIAL",0.5,IF(D40="FAIL",0,""))))</f>
        <v/>
      </c>
      <c r="F40" s="5">
        <f>IF(E40="",0,C40*E40)</f>
        <v/>
      </c>
      <c r="G40" s="5">
        <f>IF(B40="I1",20*AVERAGEIF('QA_Images'!$A$2:$A$60,A40,'QA_Images'!$U$2:$U$60)/100,IF(D40="NOT_CHECKED",0,C40))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["evidence_batch_009_084", "https://jeminise.com/products/custom-name-catcher-batter-baseball-baseball-throw-baseba-design-11", "serp_qa_084", "customizer_audit.json"]</t>
        </is>
      </c>
      <c r="J40" s="2" t="inlineStr">
        <is>
          <t>["ISS-084-IMG-04", "ISS-074-DESC", "ISS-074-CANN", "ISS-074-META"]</t>
        </is>
      </c>
    </row>
    <row r="41" ht="42" customHeight="1">
      <c r="A41" s="3" t="inlineStr">
        <is>
          <t>jeminise.com+custom-name-catcher-batter-baseball-baseball-throw-baseba-design-11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IF(B41="I1",AVERAGEIF('QA_Images'!$A$2:$A$60,A41,'QA_Images'!$T$2:$T$60)/100,IF(D41="FULL",1,IF(D41="PARTIAL",0.5,IF(D41="FAIL",0,""))))</f>
        <v/>
      </c>
      <c r="F41" s="7">
        <f>IF(E41="",0,C41*E41)</f>
        <v/>
      </c>
      <c r="G41" s="7">
        <f>IF(B41="I1",20*AVERAGEIF('QA_Images'!$A$2:$A$60,A41,'QA_Images'!$U$2:$U$60)/100,IF(D41="NOT_CHECKED",0,C41))</f>
        <v/>
      </c>
      <c r="H41" s="3" t="inlineStr">
        <is>
          <t>Meta đúng motif nhưng quá dài và chưa diễn đạt cơ chế Customize gọn, rõ.</t>
        </is>
      </c>
      <c r="I41" s="3" t="inlineStr">
        <is>
          <t>["evidence_batch_009_084", "https://jeminise.com/products/custom-name-catcher-batter-baseball-baseball-throw-baseba-design-11", "serp_qa_084", "customizer_audit.json"]</t>
        </is>
      </c>
      <c r="J41" s="3" t="inlineStr">
        <is>
          <t>[]</t>
        </is>
      </c>
    </row>
    <row r="42" ht="42" customHeight="1">
      <c r="A42" s="2" t="inlineStr">
        <is>
          <t>jeminise.com+custom-name-catcher-batter-baseball-baseball-throw-baseba-design-11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IF(B42="I1",AVERAGEIF('QA_Images'!$A$2:$A$60,A42,'QA_Images'!$T$2:$T$60)/100,IF(D42="FULL",1,IF(D42="PARTIAL",0.5,IF(D42="FAIL",0,""))))</f>
        <v/>
      </c>
      <c r="F42" s="5">
        <f>IF(E42="",0,C42*E42)</f>
        <v/>
      </c>
      <c r="G42" s="5">
        <f>IF(B42="I1",20*AVERAGEIF('QA_Images'!$A$2:$A$60,A42,'QA_Images'!$U$2:$U$60)/100,IF(D42="NOT_CHECKED",0,C42))</f>
        <v/>
      </c>
      <c r="H42" s="2" t="inlineStr">
        <is>
          <t>Description chứa nguyên khối SEO Use/QA/import nội bộ.</t>
        </is>
      </c>
      <c r="I42" s="2" t="inlineStr">
        <is>
          <t>["evidence_batch_009_084", "https://jeminise.com/products/custom-name-catcher-batter-baseball-baseball-throw-baseba-design-11", "serp_qa_084", "customizer_audit.json"]</t>
        </is>
      </c>
      <c r="J42" s="2" t="inlineStr">
        <is>
          <t>[]</t>
        </is>
      </c>
    </row>
    <row r="43" ht="42" customHeight="1">
      <c r="A43" s="3" t="inlineStr">
        <is>
          <t>jeminise.com+custom-name-catcher-batter-baseball-baseball-throw-baseba-design-11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IF(B43="I1",AVERAGEIF('QA_Images'!$A$2:$A$60,A43,'QA_Images'!$T$2:$T$60)/100,IF(D43="FULL",1,IF(D43="PARTIAL",0.5,IF(D43="FAIL",0,""))))</f>
        <v/>
      </c>
      <c r="F43" s="7">
        <f>IF(E43="",0,C43*E43)</f>
        <v/>
      </c>
      <c r="G43" s="7">
        <f>IF(B43="I1",20*AVERAGEIF('QA_Images'!$A$2:$A$60,A43,'QA_Images'!$U$2:$U$60)/100,IF(D43="NOT_CHECKED",0,C43))</f>
        <v/>
      </c>
      <c r="H43" s="3" t="inlineStr">
        <is>
          <t>Facts chính khớp nguồn, nhưng copy chưa publish-ready và chưa nói rõ ràng quy trình Customize.</t>
        </is>
      </c>
      <c r="I43" s="3" t="inlineStr">
        <is>
          <t>["evidence_batch_009_084", "https://jeminise.com/products/custom-name-catcher-batter-baseball-baseball-throw-baseba-design-11", "serp_qa_084", "customizer_audit.json"]</t>
        </is>
      </c>
      <c r="J43" s="3" t="inlineStr">
        <is>
          <t>[]</t>
        </is>
      </c>
    </row>
    <row r="44" ht="42" customHeight="1">
      <c r="A44" s="2" t="inlineStr">
        <is>
          <t>jeminise.com+custom-name-catcher-batter-baseball-baseball-throw-baseba-design-11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IF(B44="I1",AVERAGEIF('QA_Images'!$A$2:$A$60,A44,'QA_Images'!$T$2:$T$60)/100,IF(D44="FULL",1,IF(D44="PARTIAL",0.5,IF(D44="FAIL",0,""))))</f>
        <v/>
      </c>
      <c r="F44" s="5">
        <f>IF(E44="",0,C44*E44)</f>
        <v/>
      </c>
      <c r="G44" s="5">
        <f>IF(B44="I1",20*AVERAGEIF('QA_Images'!$A$2:$A$60,A44,'QA_Images'!$U$2:$U$60)/100,IF(D44="NOT_CHECKED",0,C44))</f>
        <v/>
      </c>
      <c r="H44" s="2" t="inlineStr">
        <is>
          <t>Tính từ trung bình 7 ảnh: 98.5714/100.</t>
        </is>
      </c>
      <c r="I44" s="2" t="inlineStr">
        <is>
          <t>["evidence_batch_009_084", "https://jeminise.com/products/custom-name-catcher-batter-baseball-baseball-throw-baseba-design-11", "serp_qa_084", "customizer_audit.json"]</t>
        </is>
      </c>
      <c r="J44" s="2" t="inlineStr">
        <is>
          <t>[]</t>
        </is>
      </c>
    </row>
    <row r="45" ht="42" customHeight="1">
      <c r="A45" s="3" t="inlineStr">
        <is>
          <t>jeminise.com+custom-name-catcher-batter-baseball-baseball-throw-baseba-design-11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IF(B45="I1",AVERAGEIF('QA_Images'!$A$2:$A$60,A45,'QA_Images'!$T$2:$T$60)/100,IF(D45="FULL",1,IF(D45="PARTIAL",0.5,IF(D45="FAIL",0,""))))</f>
        <v/>
      </c>
      <c r="F45" s="7">
        <f>IF(E45="",0,C45*E45)</f>
        <v/>
      </c>
      <c r="G45" s="7">
        <f>IF(B45="I1",20*AVERAGEIF('QA_Images'!$A$2:$A$60,A45,'QA_Images'!$U$2:$U$60)/100,IF(D45="NOT_CHECKED",0,C45))</f>
        <v/>
      </c>
      <c r="H45" s="3" t="inlineStr">
        <is>
          <t>Chuỗi evidence được kiểm tra; thiếu admin export và chưa chạy cart persistence.</t>
        </is>
      </c>
      <c r="I45" s="3" t="inlineStr">
        <is>
          <t>["evidence_batch_009_084", "https://jeminise.com/products/custom-name-catcher-batter-baseball-baseball-throw-baseba-design-11", "serp_qa_084", "customizer_audit.json"]</t>
        </is>
      </c>
      <c r="J45" s="3" t="inlineStr">
        <is>
          <t>[]</t>
        </is>
      </c>
    </row>
    <row r="46" ht="42" customHeight="1">
      <c r="A46" s="2" t="inlineStr">
        <is>
          <t>jeminise.com+custom-name-catcher-batter-baseball-baseball-throw-baseba-design-12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IF(B46="I1",AVERAGEIF('QA_Images'!$A$2:$A$60,A46,'QA_Images'!$T$2:$T$60)/100,IF(D46="FULL",1,IF(D46="PARTIAL",0.5,IF(D46="FAIL",0,""))))</f>
        <v/>
      </c>
      <c r="F46" s="5">
        <f>IF(E46="",0,C46*E46)</f>
        <v/>
      </c>
      <c r="G46" s="5">
        <f>IF(B46="I1",20*AVERAGEIF('QA_Images'!$A$2:$A$60,A46,'QA_Images'!$U$2:$U$60)/100,IF(D46="NOT_CHECKED",0,C46))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["evidence_batch_009_085", "https://jeminise.com/products/custom-name-catcher-batter-baseball-baseball-throw-baseba-design-12", "serp_qa_085", "customizer_audit.json"]</t>
        </is>
      </c>
      <c r="J46" s="2" t="inlineStr">
        <is>
          <t>["ISS-085-IMG-04", "ISS-075-DESC", "ISS-075-CANN", "ISS-075-META"]</t>
        </is>
      </c>
    </row>
    <row r="47" ht="42" customHeight="1">
      <c r="A47" s="3" t="inlineStr">
        <is>
          <t>jeminise.com+custom-name-catcher-batter-baseball-baseball-throw-baseba-design-12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IF(B47="I1",AVERAGEIF('QA_Images'!$A$2:$A$60,A47,'QA_Images'!$T$2:$T$60)/100,IF(D47="FULL",1,IF(D47="PARTIAL",0.5,IF(D47="FAIL",0,""))))</f>
        <v/>
      </c>
      <c r="F47" s="7">
        <f>IF(E47="",0,C47*E47)</f>
        <v/>
      </c>
      <c r="G47" s="7">
        <f>IF(B47="I1",20*AVERAGEIF('QA_Images'!$A$2:$A$60,A47,'QA_Images'!$U$2:$U$60)/100,IF(D47="NOT_CHECKED",0,C47))</f>
        <v/>
      </c>
      <c r="H47" s="3" t="inlineStr">
        <is>
          <t>Đã đối chiếu options, variants, description và cấu hình Amazon Customizer live có Name/Number.</t>
        </is>
      </c>
      <c r="I47" s="3" t="inlineStr">
        <is>
          <t>["evidence_batch_009_085", "https://jeminise.com/products/custom-name-catcher-batter-baseball-baseball-throw-baseba-design-12", "serp_qa_085", "customizer_audit.json"]</t>
        </is>
      </c>
      <c r="J47" s="3" t="inlineStr">
        <is>
          <t>["ISS-085-IMG-04", "ISS-075-DESC", "ISS-075-CANN", "ISS-075-META"]</t>
        </is>
      </c>
    </row>
    <row r="48" ht="42" customHeight="1">
      <c r="A48" s="2" t="inlineStr">
        <is>
          <t>jeminise.com+custom-name-catcher-batter-baseball-baseball-throw-baseba-design-12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IF(B48="I1",AVERAGEIF('QA_Images'!$A$2:$A$60,A48,'QA_Images'!$T$2:$T$60)/100,IF(D48="FULL",1,IF(D48="PARTIAL",0.5,IF(D48="FAIL",0,""))))</f>
        <v/>
      </c>
      <c r="F48" s="5">
        <f>IF(E48="",0,C48*E48)</f>
        <v/>
      </c>
      <c r="G48" s="5">
        <f>IF(B48="I1",20*AVERAGEIF('QA_Images'!$A$2:$A$60,A48,'QA_Images'!$U$2:$U$60)/100,IF(D48="NOT_CHECKED",0,C48))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["evidence_batch_009_085", "https://jeminise.com/products/custom-name-catcher-batter-baseball-baseball-throw-baseba-design-12", "serp_qa_085", "customizer_audit.json"]</t>
        </is>
      </c>
      <c r="J48" s="2" t="inlineStr">
        <is>
          <t>["ISS-085-IMG-04", "ISS-075-DESC", "ISS-075-CANN", "ISS-075-META"]</t>
        </is>
      </c>
    </row>
    <row r="49" ht="42" customHeight="1">
      <c r="A49" s="3" t="inlineStr">
        <is>
          <t>jeminise.com+custom-name-catcher-batter-baseball-baseball-throw-baseba-design-12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IF(B49="I1",AVERAGEIF('QA_Images'!$A$2:$A$60,A49,'QA_Images'!$T$2:$T$60)/100,IF(D49="FULL",1,IF(D49="PARTIAL",0.5,IF(D49="FAIL",0,""))))</f>
        <v/>
      </c>
      <c r="F49" s="7">
        <f>IF(E49="",0,C49*E49)</f>
        <v/>
      </c>
      <c r="G49" s="7">
        <f>IF(B49="I1",20*AVERAGEIF('QA_Images'!$A$2:$A$60,A49,'QA_Images'!$U$2:$U$60)/100,IF(D49="NOT_CHECKED",0,C49))</f>
        <v/>
      </c>
      <c r="H49" s="3" t="inlineStr">
        <is>
          <t>Đã đọc primary và comparator SERP theo US commercial intent; nhiều kết quả là blanket/duvet nên chỉ PARTIAL.</t>
        </is>
      </c>
      <c r="I49" s="3" t="inlineStr">
        <is>
          <t>["evidence_batch_009_085", "https://jeminise.com/products/custom-name-catcher-batter-baseball-baseball-throw-baseba-design-12", "serp_qa_085", "customizer_audit.json"]</t>
        </is>
      </c>
      <c r="J49" s="3" t="inlineStr">
        <is>
          <t>["ISS-085-IMG-04", "ISS-075-DESC", "ISS-075-CANN", "ISS-075-META"]</t>
        </is>
      </c>
    </row>
    <row r="50" ht="42" customHeight="1">
      <c r="A50" s="2" t="inlineStr">
        <is>
          <t>jeminise.com+custom-name-catcher-batter-baseball-baseball-throw-baseba-design-12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IF(B50="I1",AVERAGEIF('QA_Images'!$A$2:$A$60,A50,'QA_Images'!$T$2:$T$60)/100,IF(D50="FULL",1,IF(D50="PARTIAL",0.5,IF(D50="FAIL",0,""))))</f>
        <v/>
      </c>
      <c r="F50" s="5">
        <f>IF(E50="",0,C50*E50)</f>
        <v/>
      </c>
      <c r="G50" s="5">
        <f>IF(B50="I1",20*AVERAGEIF('QA_Images'!$A$2:$A$60,A50,'QA_Images'!$U$2:$U$60)/100,IF(D50="NOT_CHECKED",0,C50))</f>
        <v/>
      </c>
      <c r="H50" s="2" t="inlineStr">
        <is>
          <t>Modifier theo artwork có dùng nhưng mười trang cùng cluster còn nguy cơ cannibalization.</t>
        </is>
      </c>
      <c r="I50" s="2" t="inlineStr">
        <is>
          <t>["evidence_batch_009_085", "https://jeminise.com/products/custom-name-catcher-batter-baseball-baseball-throw-baseba-design-12", "serp_qa_085", "customizer_audit.json"]</t>
        </is>
      </c>
      <c r="J50" s="2" t="inlineStr">
        <is>
          <t>["ISS-085-IMG-04", "ISS-075-DESC", "ISS-075-CANN", "ISS-075-META"]</t>
        </is>
      </c>
    </row>
    <row r="51" ht="42" customHeight="1">
      <c r="A51" s="3" t="inlineStr">
        <is>
          <t>jeminise.com+custom-name-catcher-batter-baseball-baseball-throw-baseba-design-12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IF(B51="I1",AVERAGEIF('QA_Images'!$A$2:$A$60,A51,'QA_Images'!$T$2:$T$60)/100,IF(D51="FULL",1,IF(D51="PARTIAL",0.5,IF(D51="FAIL",0,""))))</f>
        <v/>
      </c>
      <c r="F51" s="7">
        <f>IF(E51="",0,C51*E51)</f>
        <v/>
      </c>
      <c r="G51" s="7">
        <f>IF(B51="I1",20*AVERAGEIF('QA_Images'!$A$2:$A$60,A51,'QA_Images'!$U$2:$U$60)/100,IF(D51="NOT_CHECKED",0,C51))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["evidence_batch_009_085", "https://jeminise.com/products/custom-name-catcher-batter-baseball-baseball-throw-baseba-design-12", "serp_qa_085", "customizer_audit.json"]</t>
        </is>
      </c>
      <c r="J51" s="3" t="inlineStr">
        <is>
          <t>["ISS-085-IMG-04", "ISS-075-DESC", "ISS-075-CANN", "ISS-075-META"]</t>
        </is>
      </c>
    </row>
    <row r="52" ht="42" customHeight="1">
      <c r="A52" s="2" t="inlineStr">
        <is>
          <t>jeminise.com+custom-name-catcher-batter-baseball-baseball-throw-baseba-design-12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IF(B52="I1",AVERAGEIF('QA_Images'!$A$2:$A$60,A52,'QA_Images'!$T$2:$T$60)/100,IF(D52="FULL",1,IF(D52="PARTIAL",0.5,IF(D52="FAIL",0,""))))</f>
        <v/>
      </c>
      <c r="F52" s="5">
        <f>IF(E52="",0,C52*E52)</f>
        <v/>
      </c>
      <c r="G52" s="5">
        <f>IF(B52="I1",20*AVERAGEIF('QA_Images'!$A$2:$A$60,A52,'QA_Images'!$U$2:$U$60)/100,IF(D52="NOT_CHECKED",0,C52))</f>
        <v/>
      </c>
      <c r="H52" s="2" t="inlineStr">
        <is>
          <t>Meta đúng motif nhưng quá dài và chưa diễn đạt cơ chế Customize gọn, rõ.</t>
        </is>
      </c>
      <c r="I52" s="2" t="inlineStr">
        <is>
          <t>["evidence_batch_009_085", "https://jeminise.com/products/custom-name-catcher-batter-baseball-baseball-throw-baseba-design-12", "serp_qa_085", "customizer_audit.json"]</t>
        </is>
      </c>
      <c r="J52" s="2" t="inlineStr">
        <is>
          <t>[]</t>
        </is>
      </c>
    </row>
    <row r="53" ht="42" customHeight="1">
      <c r="A53" s="3" t="inlineStr">
        <is>
          <t>jeminise.com+custom-name-catcher-batter-baseball-baseball-throw-baseba-design-12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IF(B53="I1",AVERAGEIF('QA_Images'!$A$2:$A$60,A53,'QA_Images'!$T$2:$T$60)/100,IF(D53="FULL",1,IF(D53="PARTIAL",0.5,IF(D53="FAIL",0,""))))</f>
        <v/>
      </c>
      <c r="F53" s="7">
        <f>IF(E53="",0,C53*E53)</f>
        <v/>
      </c>
      <c r="G53" s="7">
        <f>IF(B53="I1",20*AVERAGEIF('QA_Images'!$A$2:$A$60,A53,'QA_Images'!$U$2:$U$60)/100,IF(D53="NOT_CHECKED",0,C53))</f>
        <v/>
      </c>
      <c r="H53" s="3" t="inlineStr">
        <is>
          <t>Description chứa nguyên khối SEO Use/QA/import nội bộ.</t>
        </is>
      </c>
      <c r="I53" s="3" t="inlineStr">
        <is>
          <t>["evidence_batch_009_085", "https://jeminise.com/products/custom-name-catcher-batter-baseball-baseball-throw-baseba-design-12", "serp_qa_085", "customizer_audit.json"]</t>
        </is>
      </c>
      <c r="J53" s="3" t="inlineStr">
        <is>
          <t>[]</t>
        </is>
      </c>
    </row>
    <row r="54" ht="42" customHeight="1">
      <c r="A54" s="2" t="inlineStr">
        <is>
          <t>jeminise.com+custom-name-catcher-batter-baseball-baseball-throw-baseba-design-12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IF(B54="I1",AVERAGEIF('QA_Images'!$A$2:$A$60,A54,'QA_Images'!$T$2:$T$60)/100,IF(D54="FULL",1,IF(D54="PARTIAL",0.5,IF(D54="FAIL",0,""))))</f>
        <v/>
      </c>
      <c r="F54" s="5">
        <f>IF(E54="",0,C54*E54)</f>
        <v/>
      </c>
      <c r="G54" s="5">
        <f>IF(B54="I1",20*AVERAGEIF('QA_Images'!$A$2:$A$60,A54,'QA_Images'!$U$2:$U$60)/100,IF(D54="NOT_CHECKED",0,C54))</f>
        <v/>
      </c>
      <c r="H54" s="2" t="inlineStr">
        <is>
          <t>Facts chính khớp nguồn, nhưng copy chưa publish-ready và chưa nói rõ ràng quy trình Customize.</t>
        </is>
      </c>
      <c r="I54" s="2" t="inlineStr">
        <is>
          <t>["evidence_batch_009_085", "https://jeminise.com/products/custom-name-catcher-batter-baseball-baseball-throw-baseba-design-12", "serp_qa_085", "customizer_audit.json"]</t>
        </is>
      </c>
      <c r="J54" s="2" t="inlineStr">
        <is>
          <t>[]</t>
        </is>
      </c>
    </row>
    <row r="55" ht="42" customHeight="1">
      <c r="A55" s="3" t="inlineStr">
        <is>
          <t>jeminise.com+custom-name-catcher-batter-baseball-baseball-throw-baseba-design-12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IF(B55="I1",AVERAGEIF('QA_Images'!$A$2:$A$60,A55,'QA_Images'!$T$2:$T$60)/100,IF(D55="FULL",1,IF(D55="PARTIAL",0.5,IF(D55="FAIL",0,""))))</f>
        <v/>
      </c>
      <c r="F55" s="7">
        <f>IF(E55="",0,C55*E55)</f>
        <v/>
      </c>
      <c r="G55" s="7">
        <f>IF(B55="I1",20*AVERAGEIF('QA_Images'!$A$2:$A$60,A55,'QA_Images'!$U$2:$U$60)/100,IF(D55="NOT_CHECKED",0,C55))</f>
        <v/>
      </c>
      <c r="H55" s="3" t="inlineStr">
        <is>
          <t>Tính từ trung bình 6 ảnh: 98.3333/100.</t>
        </is>
      </c>
      <c r="I55" s="3" t="inlineStr">
        <is>
          <t>["evidence_batch_009_085", "https://jeminise.com/products/custom-name-catcher-batter-baseball-baseball-throw-baseba-design-12", "serp_qa_085", "customizer_audit.json"]</t>
        </is>
      </c>
      <c r="J55" s="3" t="inlineStr">
        <is>
          <t>[]</t>
        </is>
      </c>
    </row>
    <row r="56" ht="42" customHeight="1">
      <c r="A56" s="2" t="inlineStr">
        <is>
          <t>jeminise.com+custom-name-catcher-batter-baseball-baseball-throw-baseba-design-12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IF(B56="I1",AVERAGEIF('QA_Images'!$A$2:$A$60,A56,'QA_Images'!$T$2:$T$60)/100,IF(D56="FULL",1,IF(D56="PARTIAL",0.5,IF(D56="FAIL",0,""))))</f>
        <v/>
      </c>
      <c r="F56" s="5">
        <f>IF(E56="",0,C56*E56)</f>
        <v/>
      </c>
      <c r="G56" s="5">
        <f>IF(B56="I1",20*AVERAGEIF('QA_Images'!$A$2:$A$60,A56,'QA_Images'!$U$2:$U$60)/100,IF(D56="NOT_CHECKED",0,C56))</f>
        <v/>
      </c>
      <c r="H56" s="2" t="inlineStr">
        <is>
          <t>Chuỗi evidence được kiểm tra; thiếu admin export và chưa chạy cart persistence.</t>
        </is>
      </c>
      <c r="I56" s="2" t="inlineStr">
        <is>
          <t>["evidence_batch_009_085", "https://jeminise.com/products/custom-name-catcher-batter-baseball-baseball-throw-baseba-design-12", "serp_qa_085", "customizer_audit.json"]</t>
        </is>
      </c>
      <c r="J56" s="2" t="inlineStr">
        <is>
          <t>[]</t>
        </is>
      </c>
    </row>
    <row r="57" ht="42" customHeight="1">
      <c r="A57" s="3" t="inlineStr">
        <is>
          <t>jeminise.com+custom-name-catcher-batter-baseball-baseball-throw-baseba-design-13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IF(B57="I1",AVERAGEIF('QA_Images'!$A$2:$A$60,A57,'QA_Images'!$T$2:$T$60)/100,IF(D57="FULL",1,IF(D57="PARTIAL",0.5,IF(D57="FAIL",0,""))))</f>
        <v/>
      </c>
      <c r="F57" s="7">
        <f>IF(E57="",0,C57*E57)</f>
        <v/>
      </c>
      <c r="G57" s="7">
        <f>IF(B57="I1",20*AVERAGEIF('QA_Images'!$A$2:$A$60,A57,'QA_Images'!$U$2:$U$60)/100,IF(D57="NOT_CHECKED",0,C57))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["evidence_batch_009_086", "https://jeminise.com/products/custom-name-catcher-batter-baseball-baseball-throw-baseba-design-13", "serp_qa_086", "customizer_audit.json"]</t>
        </is>
      </c>
      <c r="J57" s="3" t="inlineStr">
        <is>
          <t>["ISS-086-IMG-04", "ISS-076-DESC", "ISS-076-CANN", "ISS-076-META"]</t>
        </is>
      </c>
    </row>
    <row r="58" ht="42" customHeight="1">
      <c r="A58" s="2" t="inlineStr">
        <is>
          <t>jeminise.com+custom-name-catcher-batter-baseball-baseball-throw-baseba-design-13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IF(B58="I1",AVERAGEIF('QA_Images'!$A$2:$A$60,A58,'QA_Images'!$T$2:$T$60)/100,IF(D58="FULL",1,IF(D58="PARTIAL",0.5,IF(D58="FAIL",0,""))))</f>
        <v/>
      </c>
      <c r="F58" s="5">
        <f>IF(E58="",0,C58*E58)</f>
        <v/>
      </c>
      <c r="G58" s="5">
        <f>IF(B58="I1",20*AVERAGEIF('QA_Images'!$A$2:$A$60,A58,'QA_Images'!$U$2:$U$60)/100,IF(D58="NOT_CHECKED",0,C58))</f>
        <v/>
      </c>
      <c r="H58" s="2" t="inlineStr">
        <is>
          <t>Đã đối chiếu options, variants, description và cấu hình Amazon Customizer live có Name/Number.</t>
        </is>
      </c>
      <c r="I58" s="2" t="inlineStr">
        <is>
          <t>["evidence_batch_009_086", "https://jeminise.com/products/custom-name-catcher-batter-baseball-baseball-throw-baseba-design-13", "serp_qa_086", "customizer_audit.json"]</t>
        </is>
      </c>
      <c r="J58" s="2" t="inlineStr">
        <is>
          <t>["ISS-086-IMG-04", "ISS-076-DESC", "ISS-076-CANN", "ISS-076-META"]</t>
        </is>
      </c>
    </row>
    <row r="59" ht="42" customHeight="1">
      <c r="A59" s="3" t="inlineStr">
        <is>
          <t>jeminise.com+custom-name-catcher-batter-baseball-baseball-throw-baseba-design-13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IF(B59="I1",AVERAGEIF('QA_Images'!$A$2:$A$60,A59,'QA_Images'!$T$2:$T$60)/100,IF(D59="FULL",1,IF(D59="PARTIAL",0.5,IF(D59="FAIL",0,""))))</f>
        <v/>
      </c>
      <c r="F59" s="7">
        <f>IF(E59="",0,C59*E59)</f>
        <v/>
      </c>
      <c r="G59" s="7">
        <f>IF(B59="I1",20*AVERAGEIF('QA_Images'!$A$2:$A$60,A59,'QA_Images'!$U$2:$U$60)/100,IF(D59="NOT_CHECKED",0,C59))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["evidence_batch_009_086", "https://jeminise.com/products/custom-name-catcher-batter-baseball-baseball-throw-baseba-design-13", "serp_qa_086", "customizer_audit.json"]</t>
        </is>
      </c>
      <c r="J59" s="3" t="inlineStr">
        <is>
          <t>["ISS-086-IMG-04", "ISS-076-DESC", "ISS-076-CANN", "ISS-076-META"]</t>
        </is>
      </c>
    </row>
    <row r="60" ht="42" customHeight="1">
      <c r="A60" s="2" t="inlineStr">
        <is>
          <t>jeminise.com+custom-name-catcher-batter-baseball-baseball-throw-baseba-design-13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IF(B60="I1",AVERAGEIF('QA_Images'!$A$2:$A$60,A60,'QA_Images'!$T$2:$T$60)/100,IF(D60="FULL",1,IF(D60="PARTIAL",0.5,IF(D60="FAIL",0,""))))</f>
        <v/>
      </c>
      <c r="F60" s="5">
        <f>IF(E60="",0,C60*E60)</f>
        <v/>
      </c>
      <c r="G60" s="5">
        <f>IF(B60="I1",20*AVERAGEIF('QA_Images'!$A$2:$A$60,A60,'QA_Images'!$U$2:$U$60)/100,IF(D60="NOT_CHECKED",0,C60))</f>
        <v/>
      </c>
      <c r="H60" s="2" t="inlineStr">
        <is>
          <t>Đã đọc primary và comparator SERP theo US commercial intent; nhiều kết quả là blanket/duvet nên chỉ PARTIAL.</t>
        </is>
      </c>
      <c r="I60" s="2" t="inlineStr">
        <is>
          <t>["evidence_batch_009_086", "https://jeminise.com/products/custom-name-catcher-batter-baseball-baseball-throw-baseba-design-13", "serp_qa_086", "customizer_audit.json"]</t>
        </is>
      </c>
      <c r="J60" s="2" t="inlineStr">
        <is>
          <t>["ISS-086-IMG-04", "ISS-076-DESC", "ISS-076-CANN", "ISS-076-META"]</t>
        </is>
      </c>
    </row>
    <row r="61" ht="42" customHeight="1">
      <c r="A61" s="3" t="inlineStr">
        <is>
          <t>jeminise.com+custom-name-catcher-batter-baseball-baseball-throw-baseba-design-13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IF(B61="I1",AVERAGEIF('QA_Images'!$A$2:$A$60,A61,'QA_Images'!$T$2:$T$60)/100,IF(D61="FULL",1,IF(D61="PARTIAL",0.5,IF(D61="FAIL",0,""))))</f>
        <v/>
      </c>
      <c r="F61" s="7">
        <f>IF(E61="",0,C61*E61)</f>
        <v/>
      </c>
      <c r="G61" s="7">
        <f>IF(B61="I1",20*AVERAGEIF('QA_Images'!$A$2:$A$60,A61,'QA_Images'!$U$2:$U$60)/100,IF(D61="NOT_CHECKED",0,C61))</f>
        <v/>
      </c>
      <c r="H61" s="3" t="inlineStr">
        <is>
          <t>Modifier theo artwork có dùng nhưng mười trang cùng cluster còn nguy cơ cannibalization.</t>
        </is>
      </c>
      <c r="I61" s="3" t="inlineStr">
        <is>
          <t>["evidence_batch_009_086", "https://jeminise.com/products/custom-name-catcher-batter-baseball-baseball-throw-baseba-design-13", "serp_qa_086", "customizer_audit.json"]</t>
        </is>
      </c>
      <c r="J61" s="3" t="inlineStr">
        <is>
          <t>["ISS-086-IMG-04", "ISS-076-DESC", "ISS-076-CANN", "ISS-076-META"]</t>
        </is>
      </c>
    </row>
    <row r="62" ht="42" customHeight="1">
      <c r="A62" s="2" t="inlineStr">
        <is>
          <t>jeminise.com+custom-name-catcher-batter-baseball-baseball-throw-baseba-design-13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IF(B62="I1",AVERAGEIF('QA_Images'!$A$2:$A$60,A62,'QA_Images'!$T$2:$T$60)/100,IF(D62="FULL",1,IF(D62="PARTIAL",0.5,IF(D62="FAIL",0,""))))</f>
        <v/>
      </c>
      <c r="F62" s="5">
        <f>IF(E62="",0,C62*E62)</f>
        <v/>
      </c>
      <c r="G62" s="5">
        <f>IF(B62="I1",20*AVERAGEIF('QA_Images'!$A$2:$A$60,A62,'QA_Images'!$U$2:$U$60)/100,IF(D62="NOT_CHECKED",0,C62))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["evidence_batch_009_086", "https://jeminise.com/products/custom-name-catcher-batter-baseball-baseball-throw-baseba-design-13", "serp_qa_086", "customizer_audit.json"]</t>
        </is>
      </c>
      <c r="J62" s="2" t="inlineStr">
        <is>
          <t>["ISS-086-IMG-04", "ISS-076-DESC", "ISS-076-CANN", "ISS-076-META"]</t>
        </is>
      </c>
    </row>
    <row r="63" ht="42" customHeight="1">
      <c r="A63" s="3" t="inlineStr">
        <is>
          <t>jeminise.com+custom-name-catcher-batter-baseball-baseball-throw-baseba-design-13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IF(B63="I1",AVERAGEIF('QA_Images'!$A$2:$A$60,A63,'QA_Images'!$T$2:$T$60)/100,IF(D63="FULL",1,IF(D63="PARTIAL",0.5,IF(D63="FAIL",0,""))))</f>
        <v/>
      </c>
      <c r="F63" s="7">
        <f>IF(E63="",0,C63*E63)</f>
        <v/>
      </c>
      <c r="G63" s="7">
        <f>IF(B63="I1",20*AVERAGEIF('QA_Images'!$A$2:$A$60,A63,'QA_Images'!$U$2:$U$60)/100,IF(D63="NOT_CHECKED",0,C63))</f>
        <v/>
      </c>
      <c r="H63" s="3" t="inlineStr">
        <is>
          <t>Meta đúng motif nhưng quá dài và chưa diễn đạt cơ chế Customize gọn, rõ.</t>
        </is>
      </c>
      <c r="I63" s="3" t="inlineStr">
        <is>
          <t>["evidence_batch_009_086", "https://jeminise.com/products/custom-name-catcher-batter-baseball-baseball-throw-baseba-design-13", "serp_qa_086", "customizer_audit.json"]</t>
        </is>
      </c>
      <c r="J63" s="3" t="inlineStr">
        <is>
          <t>[]</t>
        </is>
      </c>
    </row>
    <row r="64" ht="42" customHeight="1">
      <c r="A64" s="2" t="inlineStr">
        <is>
          <t>jeminise.com+custom-name-catcher-batter-baseball-baseball-throw-baseba-design-13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IF(B64="I1",AVERAGEIF('QA_Images'!$A$2:$A$60,A64,'QA_Images'!$T$2:$T$60)/100,IF(D64="FULL",1,IF(D64="PARTIAL",0.5,IF(D64="FAIL",0,""))))</f>
        <v/>
      </c>
      <c r="F64" s="5">
        <f>IF(E64="",0,C64*E64)</f>
        <v/>
      </c>
      <c r="G64" s="5">
        <f>IF(B64="I1",20*AVERAGEIF('QA_Images'!$A$2:$A$60,A64,'QA_Images'!$U$2:$U$60)/100,IF(D64="NOT_CHECKED",0,C64))</f>
        <v/>
      </c>
      <c r="H64" s="2" t="inlineStr">
        <is>
          <t>Description chứa nguyên khối SEO Use/QA/import nội bộ.</t>
        </is>
      </c>
      <c r="I64" s="2" t="inlineStr">
        <is>
          <t>["evidence_batch_009_086", "https://jeminise.com/products/custom-name-catcher-batter-baseball-baseball-throw-baseba-design-13", "serp_qa_086", "customizer_audit.json"]</t>
        </is>
      </c>
      <c r="J64" s="2" t="inlineStr">
        <is>
          <t>[]</t>
        </is>
      </c>
    </row>
    <row r="65" ht="42" customHeight="1">
      <c r="A65" s="3" t="inlineStr">
        <is>
          <t>jeminise.com+custom-name-catcher-batter-baseball-baseball-throw-baseba-design-13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IF(B65="I1",AVERAGEIF('QA_Images'!$A$2:$A$60,A65,'QA_Images'!$T$2:$T$60)/100,IF(D65="FULL",1,IF(D65="PARTIAL",0.5,IF(D65="FAIL",0,""))))</f>
        <v/>
      </c>
      <c r="F65" s="7">
        <f>IF(E65="",0,C65*E65)</f>
        <v/>
      </c>
      <c r="G65" s="7">
        <f>IF(B65="I1",20*AVERAGEIF('QA_Images'!$A$2:$A$60,A65,'QA_Images'!$U$2:$U$60)/100,IF(D65="NOT_CHECKED",0,C65))</f>
        <v/>
      </c>
      <c r="H65" s="3" t="inlineStr">
        <is>
          <t>Facts chính khớp nguồn, nhưng copy chưa publish-ready và chưa nói rõ ràng quy trình Customize.</t>
        </is>
      </c>
      <c r="I65" s="3" t="inlineStr">
        <is>
          <t>["evidence_batch_009_086", "https://jeminise.com/products/custom-name-catcher-batter-baseball-baseball-throw-baseba-design-13", "serp_qa_086", "customizer_audit.json"]</t>
        </is>
      </c>
      <c r="J65" s="3" t="inlineStr">
        <is>
          <t>[]</t>
        </is>
      </c>
    </row>
    <row r="66" ht="42" customHeight="1">
      <c r="A66" s="2" t="inlineStr">
        <is>
          <t>jeminise.com+custom-name-catcher-batter-baseball-baseball-throw-baseba-design-13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IF(B66="I1",AVERAGEIF('QA_Images'!$A$2:$A$60,A66,'QA_Images'!$T$2:$T$60)/100,IF(D66="FULL",1,IF(D66="PARTIAL",0.5,IF(D66="FAIL",0,""))))</f>
        <v/>
      </c>
      <c r="F66" s="5">
        <f>IF(E66="",0,C66*E66)</f>
        <v/>
      </c>
      <c r="G66" s="5">
        <f>IF(B66="I1",20*AVERAGEIF('QA_Images'!$A$2:$A$60,A66,'QA_Images'!$U$2:$U$60)/100,IF(D66="NOT_CHECKED",0,C66))</f>
        <v/>
      </c>
      <c r="H66" s="2" t="inlineStr">
        <is>
          <t>Tính từ trung bình 6 ảnh: 98.3333/100.</t>
        </is>
      </c>
      <c r="I66" s="2" t="inlineStr">
        <is>
          <t>["evidence_batch_009_086", "https://jeminise.com/products/custom-name-catcher-batter-baseball-baseball-throw-baseba-design-13", "serp_qa_086", "customizer_audit.json"]</t>
        </is>
      </c>
      <c r="J66" s="2" t="inlineStr">
        <is>
          <t>[]</t>
        </is>
      </c>
    </row>
    <row r="67" ht="42" customHeight="1">
      <c r="A67" s="3" t="inlineStr">
        <is>
          <t>jeminise.com+custom-name-catcher-batter-baseball-baseball-throw-baseba-design-13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IF(B67="I1",AVERAGEIF('QA_Images'!$A$2:$A$60,A67,'QA_Images'!$T$2:$T$60)/100,IF(D67="FULL",1,IF(D67="PARTIAL",0.5,IF(D67="FAIL",0,""))))</f>
        <v/>
      </c>
      <c r="F67" s="7">
        <f>IF(E67="",0,C67*E67)</f>
        <v/>
      </c>
      <c r="G67" s="7">
        <f>IF(B67="I1",20*AVERAGEIF('QA_Images'!$A$2:$A$60,A67,'QA_Images'!$U$2:$U$60)/100,IF(D67="NOT_CHECKED",0,C67))</f>
        <v/>
      </c>
      <c r="H67" s="3" t="inlineStr">
        <is>
          <t>Chuỗi evidence được kiểm tra; thiếu admin export và chưa chạy cart persistence.</t>
        </is>
      </c>
      <c r="I67" s="3" t="inlineStr">
        <is>
          <t>["evidence_batch_009_086", "https://jeminise.com/products/custom-name-catcher-batter-baseball-baseball-throw-baseba-design-13", "serp_qa_086", "customizer_audit.json"]</t>
        </is>
      </c>
      <c r="J67" s="3" t="inlineStr">
        <is>
          <t>[]</t>
        </is>
      </c>
    </row>
    <row r="68" ht="42" customHeight="1">
      <c r="A68" s="2" t="inlineStr">
        <is>
          <t>jeminise.com+custom-name-catcher-batter-baseball-baseball-throw-baseba-design-17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IF(B68="I1",AVERAGEIF('QA_Images'!$A$2:$A$60,A68,'QA_Images'!$T$2:$T$60)/100,IF(D68="FULL",1,IF(D68="PARTIAL",0.5,IF(D68="FAIL",0,""))))</f>
        <v/>
      </c>
      <c r="F68" s="5">
        <f>IF(E68="",0,C68*E68)</f>
        <v/>
      </c>
      <c r="G68" s="5">
        <f>IF(B68="I1",20*AVERAGEIF('QA_Images'!$A$2:$A$60,A68,'QA_Images'!$U$2:$U$60)/100,IF(D68="NOT_CHECKED",0,C68))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["evidence_batch_009_087", "https://jeminise.com/products/custom-name-catcher-batter-baseball-baseball-throw-baseba-design-17", "serp_qa_087", "customizer_audit.json"]</t>
        </is>
      </c>
      <c r="J68" s="2" t="inlineStr">
        <is>
          <t>["ISS-087-IMG-04", "ISS-077-DESC", "ISS-077-CANN", "ISS-077-META"]</t>
        </is>
      </c>
    </row>
    <row r="69" ht="42" customHeight="1">
      <c r="A69" s="3" t="inlineStr">
        <is>
          <t>jeminise.com+custom-name-catcher-batter-baseball-baseball-throw-baseba-design-17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IF(B69="I1",AVERAGEIF('QA_Images'!$A$2:$A$60,A69,'QA_Images'!$T$2:$T$60)/100,IF(D69="FULL",1,IF(D69="PARTIAL",0.5,IF(D69="FAIL",0,""))))</f>
        <v/>
      </c>
      <c r="F69" s="7">
        <f>IF(E69="",0,C69*E69)</f>
        <v/>
      </c>
      <c r="G69" s="7">
        <f>IF(B69="I1",20*AVERAGEIF('QA_Images'!$A$2:$A$60,A69,'QA_Images'!$U$2:$U$60)/100,IF(D69="NOT_CHECKED",0,C69))</f>
        <v/>
      </c>
      <c r="H69" s="3" t="inlineStr">
        <is>
          <t>Đã đối chiếu options, variants, description và cấu hình Amazon Customizer live có Name/Number.</t>
        </is>
      </c>
      <c r="I69" s="3" t="inlineStr">
        <is>
          <t>["evidence_batch_009_087", "https://jeminise.com/products/custom-name-catcher-batter-baseball-baseball-throw-baseba-design-17", "serp_qa_087", "customizer_audit.json"]</t>
        </is>
      </c>
      <c r="J69" s="3" t="inlineStr">
        <is>
          <t>["ISS-087-IMG-04", "ISS-077-DESC", "ISS-077-CANN", "ISS-077-META"]</t>
        </is>
      </c>
    </row>
    <row r="70" ht="42" customHeight="1">
      <c r="A70" s="2" t="inlineStr">
        <is>
          <t>jeminise.com+custom-name-catcher-batter-baseball-baseball-throw-baseba-design-17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IF(B70="I1",AVERAGEIF('QA_Images'!$A$2:$A$60,A70,'QA_Images'!$T$2:$T$60)/100,IF(D70="FULL",1,IF(D70="PARTIAL",0.5,IF(D70="FAIL",0,""))))</f>
        <v/>
      </c>
      <c r="F70" s="5">
        <f>IF(E70="",0,C70*E70)</f>
        <v/>
      </c>
      <c r="G70" s="5">
        <f>IF(B70="I1",20*AVERAGEIF('QA_Images'!$A$2:$A$60,A70,'QA_Images'!$U$2:$U$60)/100,IF(D70="NOT_CHECKED",0,C70))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["evidence_batch_009_087", "https://jeminise.com/products/custom-name-catcher-batter-baseball-baseball-throw-baseba-design-17", "serp_qa_087", "customizer_audit.json"]</t>
        </is>
      </c>
      <c r="J70" s="2" t="inlineStr">
        <is>
          <t>["ISS-087-IMG-04", "ISS-077-DESC", "ISS-077-CANN", "ISS-077-META"]</t>
        </is>
      </c>
    </row>
    <row r="71" ht="42" customHeight="1">
      <c r="A71" s="3" t="inlineStr">
        <is>
          <t>jeminise.com+custom-name-catcher-batter-baseball-baseball-throw-baseba-design-17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IF(B71="I1",AVERAGEIF('QA_Images'!$A$2:$A$60,A71,'QA_Images'!$T$2:$T$60)/100,IF(D71="FULL",1,IF(D71="PARTIAL",0.5,IF(D71="FAIL",0,""))))</f>
        <v/>
      </c>
      <c r="F71" s="7">
        <f>IF(E71="",0,C71*E71)</f>
        <v/>
      </c>
      <c r="G71" s="7">
        <f>IF(B71="I1",20*AVERAGEIF('QA_Images'!$A$2:$A$60,A71,'QA_Images'!$U$2:$U$60)/100,IF(D71="NOT_CHECKED",0,C71))</f>
        <v/>
      </c>
      <c r="H71" s="3" t="inlineStr">
        <is>
          <t>Đã đọc primary và comparator SERP theo US commercial intent; nhiều kết quả là blanket/duvet nên chỉ PARTIAL.</t>
        </is>
      </c>
      <c r="I71" s="3" t="inlineStr">
        <is>
          <t>["evidence_batch_009_087", "https://jeminise.com/products/custom-name-catcher-batter-baseball-baseball-throw-baseba-design-17", "serp_qa_087", "customizer_audit.json"]</t>
        </is>
      </c>
      <c r="J71" s="3" t="inlineStr">
        <is>
          <t>["ISS-087-IMG-04", "ISS-077-DESC", "ISS-077-CANN", "ISS-077-META"]</t>
        </is>
      </c>
    </row>
    <row r="72" ht="42" customHeight="1">
      <c r="A72" s="2" t="inlineStr">
        <is>
          <t>jeminise.com+custom-name-catcher-batter-baseball-baseball-throw-baseba-design-17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IF(B72="I1",AVERAGEIF('QA_Images'!$A$2:$A$60,A72,'QA_Images'!$T$2:$T$60)/100,IF(D72="FULL",1,IF(D72="PARTIAL",0.5,IF(D72="FAIL",0,""))))</f>
        <v/>
      </c>
      <c r="F72" s="5">
        <f>IF(E72="",0,C72*E72)</f>
        <v/>
      </c>
      <c r="G72" s="5">
        <f>IF(B72="I1",20*AVERAGEIF('QA_Images'!$A$2:$A$60,A72,'QA_Images'!$U$2:$U$60)/100,IF(D72="NOT_CHECKED",0,C72))</f>
        <v/>
      </c>
      <c r="H72" s="2" t="inlineStr">
        <is>
          <t>Modifier theo artwork có dùng nhưng mười trang cùng cluster còn nguy cơ cannibalization.</t>
        </is>
      </c>
      <c r="I72" s="2" t="inlineStr">
        <is>
          <t>["evidence_batch_009_087", "https://jeminise.com/products/custom-name-catcher-batter-baseball-baseball-throw-baseba-design-17", "serp_qa_087", "customizer_audit.json"]</t>
        </is>
      </c>
      <c r="J72" s="2" t="inlineStr">
        <is>
          <t>["ISS-087-IMG-04", "ISS-077-DESC", "ISS-077-CANN", "ISS-077-META"]</t>
        </is>
      </c>
    </row>
    <row r="73" ht="42" customHeight="1">
      <c r="A73" s="3" t="inlineStr">
        <is>
          <t>jeminise.com+custom-name-catcher-batter-baseball-baseball-throw-baseba-design-17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IF(B73="I1",AVERAGEIF('QA_Images'!$A$2:$A$60,A73,'QA_Images'!$T$2:$T$60)/100,IF(D73="FULL",1,IF(D73="PARTIAL",0.5,IF(D73="FAIL",0,""))))</f>
        <v/>
      </c>
      <c r="F73" s="7">
        <f>IF(E73="",0,C73*E73)</f>
        <v/>
      </c>
      <c r="G73" s="7">
        <f>IF(B73="I1",20*AVERAGEIF('QA_Images'!$A$2:$A$60,A73,'QA_Images'!$U$2:$U$60)/100,IF(D73="NOT_CHECKED",0,C73))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["evidence_batch_009_087", "https://jeminise.com/products/custom-name-catcher-batter-baseball-baseball-throw-baseba-design-17", "serp_qa_087", "customizer_audit.json"]</t>
        </is>
      </c>
      <c r="J73" s="3" t="inlineStr">
        <is>
          <t>["ISS-087-IMG-04", "ISS-077-DESC", "ISS-077-CANN", "ISS-077-META"]</t>
        </is>
      </c>
    </row>
    <row r="74" ht="42" customHeight="1">
      <c r="A74" s="2" t="inlineStr">
        <is>
          <t>jeminise.com+custom-name-catcher-batter-baseball-baseball-throw-baseba-design-17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IF(B74="I1",AVERAGEIF('QA_Images'!$A$2:$A$60,A74,'QA_Images'!$T$2:$T$60)/100,IF(D74="FULL",1,IF(D74="PARTIAL",0.5,IF(D74="FAIL",0,""))))</f>
        <v/>
      </c>
      <c r="F74" s="5">
        <f>IF(E74="",0,C74*E74)</f>
        <v/>
      </c>
      <c r="G74" s="5">
        <f>IF(B74="I1",20*AVERAGEIF('QA_Images'!$A$2:$A$60,A74,'QA_Images'!$U$2:$U$60)/100,IF(D74="NOT_CHECKED",0,C74))</f>
        <v/>
      </c>
      <c r="H74" s="2" t="inlineStr">
        <is>
          <t>Meta đúng motif nhưng quá dài và chưa diễn đạt cơ chế Customize gọn, rõ.</t>
        </is>
      </c>
      <c r="I74" s="2" t="inlineStr">
        <is>
          <t>["evidence_batch_009_087", "https://jeminise.com/products/custom-name-catcher-batter-baseball-baseball-throw-baseba-design-17", "serp_qa_087", "customizer_audit.json"]</t>
        </is>
      </c>
      <c r="J74" s="2" t="inlineStr">
        <is>
          <t>[]</t>
        </is>
      </c>
    </row>
    <row r="75" ht="42" customHeight="1">
      <c r="A75" s="3" t="inlineStr">
        <is>
          <t>jeminise.com+custom-name-catcher-batter-baseball-baseball-throw-baseba-design-17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IF(B75="I1",AVERAGEIF('QA_Images'!$A$2:$A$60,A75,'QA_Images'!$T$2:$T$60)/100,IF(D75="FULL",1,IF(D75="PARTIAL",0.5,IF(D75="FAIL",0,""))))</f>
        <v/>
      </c>
      <c r="F75" s="7">
        <f>IF(E75="",0,C75*E75)</f>
        <v/>
      </c>
      <c r="G75" s="7">
        <f>IF(B75="I1",20*AVERAGEIF('QA_Images'!$A$2:$A$60,A75,'QA_Images'!$U$2:$U$60)/100,IF(D75="NOT_CHECKED",0,C75))</f>
        <v/>
      </c>
      <c r="H75" s="3" t="inlineStr">
        <is>
          <t>Description chứa nguyên khối SEO Use/QA/import nội bộ.</t>
        </is>
      </c>
      <c r="I75" s="3" t="inlineStr">
        <is>
          <t>["evidence_batch_009_087", "https://jeminise.com/products/custom-name-catcher-batter-baseball-baseball-throw-baseba-design-17", "serp_qa_087", "customizer_audit.json"]</t>
        </is>
      </c>
      <c r="J75" s="3" t="inlineStr">
        <is>
          <t>[]</t>
        </is>
      </c>
    </row>
    <row r="76" ht="42" customHeight="1">
      <c r="A76" s="2" t="inlineStr">
        <is>
          <t>jeminise.com+custom-name-catcher-batter-baseball-baseball-throw-baseba-design-17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IF(B76="I1",AVERAGEIF('QA_Images'!$A$2:$A$60,A76,'QA_Images'!$T$2:$T$60)/100,IF(D76="FULL",1,IF(D76="PARTIAL",0.5,IF(D76="FAIL",0,""))))</f>
        <v/>
      </c>
      <c r="F76" s="5">
        <f>IF(E76="",0,C76*E76)</f>
        <v/>
      </c>
      <c r="G76" s="5">
        <f>IF(B76="I1",20*AVERAGEIF('QA_Images'!$A$2:$A$60,A76,'QA_Images'!$U$2:$U$60)/100,IF(D76="NOT_CHECKED",0,C76))</f>
        <v/>
      </c>
      <c r="H76" s="2" t="inlineStr">
        <is>
          <t>Facts chính khớp nguồn, nhưng copy chưa publish-ready và chưa nói rõ ràng quy trình Customize.</t>
        </is>
      </c>
      <c r="I76" s="2" t="inlineStr">
        <is>
          <t>["evidence_batch_009_087", "https://jeminise.com/products/custom-name-catcher-batter-baseball-baseball-throw-baseba-design-17", "serp_qa_087", "customizer_audit.json"]</t>
        </is>
      </c>
      <c r="J76" s="2" t="inlineStr">
        <is>
          <t>[]</t>
        </is>
      </c>
    </row>
    <row r="77" ht="42" customHeight="1">
      <c r="A77" s="3" t="inlineStr">
        <is>
          <t>jeminise.com+custom-name-catcher-batter-baseball-baseball-throw-baseba-design-17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IF(B77="I1",AVERAGEIF('QA_Images'!$A$2:$A$60,A77,'QA_Images'!$T$2:$T$60)/100,IF(D77="FULL",1,IF(D77="PARTIAL",0.5,IF(D77="FAIL",0,""))))</f>
        <v/>
      </c>
      <c r="F77" s="7">
        <f>IF(E77="",0,C77*E77)</f>
        <v/>
      </c>
      <c r="G77" s="7">
        <f>IF(B77="I1",20*AVERAGEIF('QA_Images'!$A$2:$A$60,A77,'QA_Images'!$U$2:$U$60)/100,IF(D77="NOT_CHECKED",0,C77))</f>
        <v/>
      </c>
      <c r="H77" s="3" t="inlineStr">
        <is>
          <t>Tính từ trung bình 6 ảnh: 98.3333/100.</t>
        </is>
      </c>
      <c r="I77" s="3" t="inlineStr">
        <is>
          <t>["evidence_batch_009_087", "https://jeminise.com/products/custom-name-catcher-batter-baseball-baseball-throw-baseba-design-17", "serp_qa_087", "customizer_audit.json"]</t>
        </is>
      </c>
      <c r="J77" s="3" t="inlineStr">
        <is>
          <t>[]</t>
        </is>
      </c>
    </row>
    <row r="78" ht="42" customHeight="1">
      <c r="A78" s="2" t="inlineStr">
        <is>
          <t>jeminise.com+custom-name-catcher-batter-baseball-baseball-throw-baseba-design-17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IF(B78="I1",AVERAGEIF('QA_Images'!$A$2:$A$60,A78,'QA_Images'!$T$2:$T$60)/100,IF(D78="FULL",1,IF(D78="PARTIAL",0.5,IF(D78="FAIL",0,""))))</f>
        <v/>
      </c>
      <c r="F78" s="5">
        <f>IF(E78="",0,C78*E78)</f>
        <v/>
      </c>
      <c r="G78" s="5">
        <f>IF(B78="I1",20*AVERAGEIF('QA_Images'!$A$2:$A$60,A78,'QA_Images'!$U$2:$U$60)/100,IF(D78="NOT_CHECKED",0,C78))</f>
        <v/>
      </c>
      <c r="H78" s="2" t="inlineStr">
        <is>
          <t>Chuỗi evidence được kiểm tra; thiếu admin export và chưa chạy cart persistence.</t>
        </is>
      </c>
      <c r="I78" s="2" t="inlineStr">
        <is>
          <t>["evidence_batch_009_087", "https://jeminise.com/products/custom-name-catcher-batter-baseball-baseball-throw-baseba-design-17", "serp_qa_087", "customizer_audit.json"]</t>
        </is>
      </c>
      <c r="J78" s="2" t="inlineStr">
        <is>
          <t>[]</t>
        </is>
      </c>
    </row>
    <row r="79" ht="42" customHeight="1">
      <c r="A79" s="3" t="inlineStr">
        <is>
          <t>jeminise.com+custom-name-catcher-batter-baseball-baseball-throw-baseba-design-18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IF(B79="I1",AVERAGEIF('QA_Images'!$A$2:$A$60,A79,'QA_Images'!$T$2:$T$60)/100,IF(D79="FULL",1,IF(D79="PARTIAL",0.5,IF(D79="FAIL",0,""))))</f>
        <v/>
      </c>
      <c r="F79" s="7">
        <f>IF(E79="",0,C79*E79)</f>
        <v/>
      </c>
      <c r="G79" s="7">
        <f>IF(B79="I1",20*AVERAGEIF('QA_Images'!$A$2:$A$60,A79,'QA_Images'!$U$2:$U$60)/100,IF(D79="NOT_CHECKED",0,C79))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["evidence_batch_009_088", "https://jeminise.com/products/custom-name-catcher-batter-baseball-baseball-throw-baseba-design-18", "serp_qa_088", "customizer_audit.json"]</t>
        </is>
      </c>
      <c r="J79" s="3" t="inlineStr">
        <is>
          <t>["ISS-088-IMG-04", "ISS-078-DESC", "ISS-078-CANN", "ISS-078-META"]</t>
        </is>
      </c>
    </row>
    <row r="80" ht="42" customHeight="1">
      <c r="A80" s="2" t="inlineStr">
        <is>
          <t>jeminise.com+custom-name-catcher-batter-baseball-baseball-throw-baseba-design-18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IF(B80="I1",AVERAGEIF('QA_Images'!$A$2:$A$60,A80,'QA_Images'!$T$2:$T$60)/100,IF(D80="FULL",1,IF(D80="PARTIAL",0.5,IF(D80="FAIL",0,""))))</f>
        <v/>
      </c>
      <c r="F80" s="5">
        <f>IF(E80="",0,C80*E80)</f>
        <v/>
      </c>
      <c r="G80" s="5">
        <f>IF(B80="I1",20*AVERAGEIF('QA_Images'!$A$2:$A$60,A80,'QA_Images'!$U$2:$U$60)/100,IF(D80="NOT_CHECKED",0,C80))</f>
        <v/>
      </c>
      <c r="H80" s="2" t="inlineStr">
        <is>
          <t>Đã đối chiếu options, variants, description và cấu hình Amazon Customizer live có Name/Number.</t>
        </is>
      </c>
      <c r="I80" s="2" t="inlineStr">
        <is>
          <t>["evidence_batch_009_088", "https://jeminise.com/products/custom-name-catcher-batter-baseball-baseball-throw-baseba-design-18", "serp_qa_088", "customizer_audit.json"]</t>
        </is>
      </c>
      <c r="J80" s="2" t="inlineStr">
        <is>
          <t>["ISS-088-IMG-04", "ISS-078-DESC", "ISS-078-CANN", "ISS-078-META"]</t>
        </is>
      </c>
    </row>
    <row r="81" ht="42" customHeight="1">
      <c r="A81" s="3" t="inlineStr">
        <is>
          <t>jeminise.com+custom-name-catcher-batter-baseball-baseball-throw-baseba-design-18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IF(B81="I1",AVERAGEIF('QA_Images'!$A$2:$A$60,A81,'QA_Images'!$T$2:$T$60)/100,IF(D81="FULL",1,IF(D81="PARTIAL",0.5,IF(D81="FAIL",0,""))))</f>
        <v/>
      </c>
      <c r="F81" s="7">
        <f>IF(E81="",0,C81*E81)</f>
        <v/>
      </c>
      <c r="G81" s="7">
        <f>IF(B81="I1",20*AVERAGEIF('QA_Images'!$A$2:$A$60,A81,'QA_Images'!$U$2:$U$60)/100,IF(D81="NOT_CHECKED",0,C81))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["evidence_batch_009_088", "https://jeminise.com/products/custom-name-catcher-batter-baseball-baseball-throw-baseba-design-18", "serp_qa_088", "customizer_audit.json"]</t>
        </is>
      </c>
      <c r="J81" s="3" t="inlineStr">
        <is>
          <t>["ISS-088-IMG-04", "ISS-078-DESC", "ISS-078-CANN", "ISS-078-META"]</t>
        </is>
      </c>
    </row>
    <row r="82" ht="42" customHeight="1">
      <c r="A82" s="2" t="inlineStr">
        <is>
          <t>jeminise.com+custom-name-catcher-batter-baseball-baseball-throw-baseba-design-18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IF(B82="I1",AVERAGEIF('QA_Images'!$A$2:$A$60,A82,'QA_Images'!$T$2:$T$60)/100,IF(D82="FULL",1,IF(D82="PARTIAL",0.5,IF(D82="FAIL",0,""))))</f>
        <v/>
      </c>
      <c r="F82" s="5">
        <f>IF(E82="",0,C82*E82)</f>
        <v/>
      </c>
      <c r="G82" s="5">
        <f>IF(B82="I1",20*AVERAGEIF('QA_Images'!$A$2:$A$60,A82,'QA_Images'!$U$2:$U$60)/100,IF(D82="NOT_CHECKED",0,C82))</f>
        <v/>
      </c>
      <c r="H82" s="2" t="inlineStr">
        <is>
          <t>Đã đọc primary và comparator SERP theo US commercial intent; nhiều kết quả là blanket/duvet nên chỉ PARTIAL.</t>
        </is>
      </c>
      <c r="I82" s="2" t="inlineStr">
        <is>
          <t>["evidence_batch_009_088", "https://jeminise.com/products/custom-name-catcher-batter-baseball-baseball-throw-baseba-design-18", "serp_qa_088", "customizer_audit.json"]</t>
        </is>
      </c>
      <c r="J82" s="2" t="inlineStr">
        <is>
          <t>["ISS-088-IMG-04", "ISS-078-DESC", "ISS-078-CANN", "ISS-078-META"]</t>
        </is>
      </c>
    </row>
    <row r="83" ht="42" customHeight="1">
      <c r="A83" s="3" t="inlineStr">
        <is>
          <t>jeminise.com+custom-name-catcher-batter-baseball-baseball-throw-baseba-design-18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IF(B83="I1",AVERAGEIF('QA_Images'!$A$2:$A$60,A83,'QA_Images'!$T$2:$T$60)/100,IF(D83="FULL",1,IF(D83="PARTIAL",0.5,IF(D83="FAIL",0,""))))</f>
        <v/>
      </c>
      <c r="F83" s="7">
        <f>IF(E83="",0,C83*E83)</f>
        <v/>
      </c>
      <c r="G83" s="7">
        <f>IF(B83="I1",20*AVERAGEIF('QA_Images'!$A$2:$A$60,A83,'QA_Images'!$U$2:$U$60)/100,IF(D83="NOT_CHECKED",0,C83))</f>
        <v/>
      </c>
      <c r="H83" s="3" t="inlineStr">
        <is>
          <t>Modifier theo artwork có dùng nhưng mười trang cùng cluster còn nguy cơ cannibalization.</t>
        </is>
      </c>
      <c r="I83" s="3" t="inlineStr">
        <is>
          <t>["evidence_batch_009_088", "https://jeminise.com/products/custom-name-catcher-batter-baseball-baseball-throw-baseba-design-18", "serp_qa_088", "customizer_audit.json"]</t>
        </is>
      </c>
      <c r="J83" s="3" t="inlineStr">
        <is>
          <t>["ISS-088-IMG-04", "ISS-078-DESC", "ISS-078-CANN", "ISS-078-META"]</t>
        </is>
      </c>
    </row>
    <row r="84" ht="42" customHeight="1">
      <c r="A84" s="2" t="inlineStr">
        <is>
          <t>jeminise.com+custom-name-catcher-batter-baseball-baseball-throw-baseba-design-18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IF(B84="I1",AVERAGEIF('QA_Images'!$A$2:$A$60,A84,'QA_Images'!$T$2:$T$60)/100,IF(D84="FULL",1,IF(D84="PARTIAL",0.5,IF(D84="FAIL",0,""))))</f>
        <v/>
      </c>
      <c r="F84" s="5">
        <f>IF(E84="",0,C84*E84)</f>
        <v/>
      </c>
      <c r="G84" s="5">
        <f>IF(B84="I1",20*AVERAGEIF('QA_Images'!$A$2:$A$60,A84,'QA_Images'!$U$2:$U$60)/100,IF(D84="NOT_CHECKED",0,C84))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["evidence_batch_009_088", "https://jeminise.com/products/custom-name-catcher-batter-baseball-baseball-throw-baseba-design-18", "serp_qa_088", "customizer_audit.json"]</t>
        </is>
      </c>
      <c r="J84" s="2" t="inlineStr">
        <is>
          <t>["ISS-088-IMG-04", "ISS-078-DESC", "ISS-078-CANN", "ISS-078-META"]</t>
        </is>
      </c>
    </row>
    <row r="85" ht="42" customHeight="1">
      <c r="A85" s="3" t="inlineStr">
        <is>
          <t>jeminise.com+custom-name-catcher-batter-baseball-baseball-throw-baseba-design-18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IF(B85="I1",AVERAGEIF('QA_Images'!$A$2:$A$60,A85,'QA_Images'!$T$2:$T$60)/100,IF(D85="FULL",1,IF(D85="PARTIAL",0.5,IF(D85="FAIL",0,""))))</f>
        <v/>
      </c>
      <c r="F85" s="7">
        <f>IF(E85="",0,C85*E85)</f>
        <v/>
      </c>
      <c r="G85" s="7">
        <f>IF(B85="I1",20*AVERAGEIF('QA_Images'!$A$2:$A$60,A85,'QA_Images'!$U$2:$U$60)/100,IF(D85="NOT_CHECKED",0,C85))</f>
        <v/>
      </c>
      <c r="H85" s="3" t="inlineStr">
        <is>
          <t>Meta đúng motif nhưng quá dài và chưa diễn đạt cơ chế Customize gọn, rõ.</t>
        </is>
      </c>
      <c r="I85" s="3" t="inlineStr">
        <is>
          <t>["evidence_batch_009_088", "https://jeminise.com/products/custom-name-catcher-batter-baseball-baseball-throw-baseba-design-18", "serp_qa_088", "customizer_audit.json"]</t>
        </is>
      </c>
      <c r="J85" s="3" t="inlineStr">
        <is>
          <t>[]</t>
        </is>
      </c>
    </row>
    <row r="86" ht="42" customHeight="1">
      <c r="A86" s="2" t="inlineStr">
        <is>
          <t>jeminise.com+custom-name-catcher-batter-baseball-baseball-throw-baseba-design-18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IF(B86="I1",AVERAGEIF('QA_Images'!$A$2:$A$60,A86,'QA_Images'!$T$2:$T$60)/100,IF(D86="FULL",1,IF(D86="PARTIAL",0.5,IF(D86="FAIL",0,""))))</f>
        <v/>
      </c>
      <c r="F86" s="5">
        <f>IF(E86="",0,C86*E86)</f>
        <v/>
      </c>
      <c r="G86" s="5">
        <f>IF(B86="I1",20*AVERAGEIF('QA_Images'!$A$2:$A$60,A86,'QA_Images'!$U$2:$U$60)/100,IF(D86="NOT_CHECKED",0,C86))</f>
        <v/>
      </c>
      <c r="H86" s="2" t="inlineStr">
        <is>
          <t>Description chứa nguyên khối SEO Use/QA/import nội bộ.</t>
        </is>
      </c>
      <c r="I86" s="2" t="inlineStr">
        <is>
          <t>["evidence_batch_009_088", "https://jeminise.com/products/custom-name-catcher-batter-baseball-baseball-throw-baseba-design-18", "serp_qa_088", "customizer_audit.json"]</t>
        </is>
      </c>
      <c r="J86" s="2" t="inlineStr">
        <is>
          <t>[]</t>
        </is>
      </c>
    </row>
    <row r="87" ht="42" customHeight="1">
      <c r="A87" s="3" t="inlineStr">
        <is>
          <t>jeminise.com+custom-name-catcher-batter-baseball-baseball-throw-baseba-design-18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IF(B87="I1",AVERAGEIF('QA_Images'!$A$2:$A$60,A87,'QA_Images'!$T$2:$T$60)/100,IF(D87="FULL",1,IF(D87="PARTIAL",0.5,IF(D87="FAIL",0,""))))</f>
        <v/>
      </c>
      <c r="F87" s="7">
        <f>IF(E87="",0,C87*E87)</f>
        <v/>
      </c>
      <c r="G87" s="7">
        <f>IF(B87="I1",20*AVERAGEIF('QA_Images'!$A$2:$A$60,A87,'QA_Images'!$U$2:$U$60)/100,IF(D87="NOT_CHECKED",0,C87))</f>
        <v/>
      </c>
      <c r="H87" s="3" t="inlineStr">
        <is>
          <t>Facts chính khớp nguồn, nhưng copy chưa publish-ready và chưa nói rõ ràng quy trình Customize.</t>
        </is>
      </c>
      <c r="I87" s="3" t="inlineStr">
        <is>
          <t>["evidence_batch_009_088", "https://jeminise.com/products/custom-name-catcher-batter-baseball-baseball-throw-baseba-design-18", "serp_qa_088", "customizer_audit.json"]</t>
        </is>
      </c>
      <c r="J87" s="3" t="inlineStr">
        <is>
          <t>[]</t>
        </is>
      </c>
    </row>
    <row r="88" ht="42" customHeight="1">
      <c r="A88" s="2" t="inlineStr">
        <is>
          <t>jeminise.com+custom-name-catcher-batter-baseball-baseball-throw-baseba-design-18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IF(B88="I1",AVERAGEIF('QA_Images'!$A$2:$A$60,A88,'QA_Images'!$T$2:$T$60)/100,IF(D88="FULL",1,IF(D88="PARTIAL",0.5,IF(D88="FAIL",0,""))))</f>
        <v/>
      </c>
      <c r="F88" s="5">
        <f>IF(E88="",0,C88*E88)</f>
        <v/>
      </c>
      <c r="G88" s="5">
        <f>IF(B88="I1",20*AVERAGEIF('QA_Images'!$A$2:$A$60,A88,'QA_Images'!$U$2:$U$60)/100,IF(D88="NOT_CHECKED",0,C88))</f>
        <v/>
      </c>
      <c r="H88" s="2" t="inlineStr">
        <is>
          <t>Tính từ trung bình 7 ảnh: 98.5714/100.</t>
        </is>
      </c>
      <c r="I88" s="2" t="inlineStr">
        <is>
          <t>["evidence_batch_009_088", "https://jeminise.com/products/custom-name-catcher-batter-baseball-baseball-throw-baseba-design-18", "serp_qa_088", "customizer_audit.json"]</t>
        </is>
      </c>
      <c r="J88" s="2" t="inlineStr">
        <is>
          <t>[]</t>
        </is>
      </c>
    </row>
    <row r="89" ht="42" customHeight="1">
      <c r="A89" s="3" t="inlineStr">
        <is>
          <t>jeminise.com+custom-name-catcher-batter-baseball-baseball-throw-baseba-design-18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IF(B89="I1",AVERAGEIF('QA_Images'!$A$2:$A$60,A89,'QA_Images'!$T$2:$T$60)/100,IF(D89="FULL",1,IF(D89="PARTIAL",0.5,IF(D89="FAIL",0,""))))</f>
        <v/>
      </c>
      <c r="F89" s="7">
        <f>IF(E89="",0,C89*E89)</f>
        <v/>
      </c>
      <c r="G89" s="7">
        <f>IF(B89="I1",20*AVERAGEIF('QA_Images'!$A$2:$A$60,A89,'QA_Images'!$U$2:$U$60)/100,IF(D89="NOT_CHECKED",0,C89))</f>
        <v/>
      </c>
      <c r="H89" s="3" t="inlineStr">
        <is>
          <t>Chuỗi evidence được kiểm tra; thiếu admin export và chưa chạy cart persistence.</t>
        </is>
      </c>
      <c r="I89" s="3" t="inlineStr">
        <is>
          <t>["evidence_batch_009_088", "https://jeminise.com/products/custom-name-catcher-batter-baseball-baseball-throw-baseba-design-18", "serp_qa_088", "customizer_audit.json"]</t>
        </is>
      </c>
      <c r="J89" s="3" t="inlineStr">
        <is>
          <t>[]</t>
        </is>
      </c>
    </row>
    <row r="90" ht="42" customHeight="1">
      <c r="A90" s="2" t="inlineStr">
        <is>
          <t>jeminise.com+custom-name-catcher-batter-baseball-baseball-throw-baseba-design-21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IF(B90="I1",AVERAGEIF('QA_Images'!$A$2:$A$60,A90,'QA_Images'!$T$2:$T$60)/100,IF(D90="FULL",1,IF(D90="PARTIAL",0.5,IF(D90="FAIL",0,""))))</f>
        <v/>
      </c>
      <c r="F90" s="5">
        <f>IF(E90="",0,C90*E90)</f>
        <v/>
      </c>
      <c r="G90" s="5">
        <f>IF(B90="I1",20*AVERAGEIF('QA_Images'!$A$2:$A$60,A90,'QA_Images'!$U$2:$U$60)/100,IF(D90="NOT_CHECKED",0,C90))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["evidence_batch_009_089", "https://jeminise.com/products/custom-name-catcher-batter-baseball-baseball-throw-baseba-design-21", "serp_qa_089", "customizer_audit.json"]</t>
        </is>
      </c>
      <c r="J90" s="2" t="inlineStr">
        <is>
          <t>["ISS-089-IMG-04", "ISS-079-DESC", "ISS-079-CANN", "ISS-079-META"]</t>
        </is>
      </c>
    </row>
    <row r="91" ht="42" customHeight="1">
      <c r="A91" s="3" t="inlineStr">
        <is>
          <t>jeminise.com+custom-name-catcher-batter-baseball-baseball-throw-baseba-design-21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IF(B91="I1",AVERAGEIF('QA_Images'!$A$2:$A$60,A91,'QA_Images'!$T$2:$T$60)/100,IF(D91="FULL",1,IF(D91="PARTIAL",0.5,IF(D91="FAIL",0,""))))</f>
        <v/>
      </c>
      <c r="F91" s="7">
        <f>IF(E91="",0,C91*E91)</f>
        <v/>
      </c>
      <c r="G91" s="7">
        <f>IF(B91="I1",20*AVERAGEIF('QA_Images'!$A$2:$A$60,A91,'QA_Images'!$U$2:$U$60)/100,IF(D91="NOT_CHECKED",0,C91))</f>
        <v/>
      </c>
      <c r="H91" s="3" t="inlineStr">
        <is>
          <t>Đã đối chiếu options, variants, description và cấu hình Amazon Customizer live có Name/Number.</t>
        </is>
      </c>
      <c r="I91" s="3" t="inlineStr">
        <is>
          <t>["evidence_batch_009_089", "https://jeminise.com/products/custom-name-catcher-batter-baseball-baseball-throw-baseba-design-21", "serp_qa_089", "customizer_audit.json"]</t>
        </is>
      </c>
      <c r="J91" s="3" t="inlineStr">
        <is>
          <t>["ISS-089-IMG-04", "ISS-079-DESC", "ISS-079-CANN", "ISS-079-META"]</t>
        </is>
      </c>
    </row>
    <row r="92" ht="42" customHeight="1">
      <c r="A92" s="2" t="inlineStr">
        <is>
          <t>jeminise.com+custom-name-catcher-batter-baseball-baseball-throw-baseba-design-21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IF(B92="I1",AVERAGEIF('QA_Images'!$A$2:$A$60,A92,'QA_Images'!$T$2:$T$60)/100,IF(D92="FULL",1,IF(D92="PARTIAL",0.5,IF(D92="FAIL",0,""))))</f>
        <v/>
      </c>
      <c r="F92" s="5">
        <f>IF(E92="",0,C92*E92)</f>
        <v/>
      </c>
      <c r="G92" s="5">
        <f>IF(B92="I1",20*AVERAGEIF('QA_Images'!$A$2:$A$60,A92,'QA_Images'!$U$2:$U$60)/100,IF(D92="NOT_CHECKED",0,C92))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["evidence_batch_009_089", "https://jeminise.com/products/custom-name-catcher-batter-baseball-baseball-throw-baseba-design-21", "serp_qa_089", "customizer_audit.json"]</t>
        </is>
      </c>
      <c r="J92" s="2" t="inlineStr">
        <is>
          <t>["ISS-089-IMG-04", "ISS-079-DESC", "ISS-079-CANN", "ISS-079-META"]</t>
        </is>
      </c>
    </row>
    <row r="93" ht="42" customHeight="1">
      <c r="A93" s="3" t="inlineStr">
        <is>
          <t>jeminise.com+custom-name-catcher-batter-baseball-baseball-throw-baseba-design-21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IF(B93="I1",AVERAGEIF('QA_Images'!$A$2:$A$60,A93,'QA_Images'!$T$2:$T$60)/100,IF(D93="FULL",1,IF(D93="PARTIAL",0.5,IF(D93="FAIL",0,""))))</f>
        <v/>
      </c>
      <c r="F93" s="7">
        <f>IF(E93="",0,C93*E93)</f>
        <v/>
      </c>
      <c r="G93" s="7">
        <f>IF(B93="I1",20*AVERAGEIF('QA_Images'!$A$2:$A$60,A93,'QA_Images'!$U$2:$U$60)/100,IF(D93="NOT_CHECKED",0,C93))</f>
        <v/>
      </c>
      <c r="H93" s="3" t="inlineStr">
        <is>
          <t>Đã đọc primary và comparator SERP theo US commercial intent; nhiều kết quả là blanket/duvet nên chỉ PARTIAL.</t>
        </is>
      </c>
      <c r="I93" s="3" t="inlineStr">
        <is>
          <t>["evidence_batch_009_089", "https://jeminise.com/products/custom-name-catcher-batter-baseball-baseball-throw-baseba-design-21", "serp_qa_089", "customizer_audit.json"]</t>
        </is>
      </c>
      <c r="J93" s="3" t="inlineStr">
        <is>
          <t>["ISS-089-IMG-04", "ISS-079-DESC", "ISS-079-CANN", "ISS-079-META"]</t>
        </is>
      </c>
    </row>
    <row r="94" ht="42" customHeight="1">
      <c r="A94" s="2" t="inlineStr">
        <is>
          <t>jeminise.com+custom-name-catcher-batter-baseball-baseball-throw-baseba-design-21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IF(B94="I1",AVERAGEIF('QA_Images'!$A$2:$A$60,A94,'QA_Images'!$T$2:$T$60)/100,IF(D94="FULL",1,IF(D94="PARTIAL",0.5,IF(D94="FAIL",0,""))))</f>
        <v/>
      </c>
      <c r="F94" s="5">
        <f>IF(E94="",0,C94*E94)</f>
        <v/>
      </c>
      <c r="G94" s="5">
        <f>IF(B94="I1",20*AVERAGEIF('QA_Images'!$A$2:$A$60,A94,'QA_Images'!$U$2:$U$60)/100,IF(D94="NOT_CHECKED",0,C94))</f>
        <v/>
      </c>
      <c r="H94" s="2" t="inlineStr">
        <is>
          <t>Modifier theo artwork có dùng nhưng mười trang cùng cluster còn nguy cơ cannibalization.</t>
        </is>
      </c>
      <c r="I94" s="2" t="inlineStr">
        <is>
          <t>["evidence_batch_009_089", "https://jeminise.com/products/custom-name-catcher-batter-baseball-baseball-throw-baseba-design-21", "serp_qa_089", "customizer_audit.json"]</t>
        </is>
      </c>
      <c r="J94" s="2" t="inlineStr">
        <is>
          <t>["ISS-089-IMG-04", "ISS-079-DESC", "ISS-079-CANN", "ISS-079-META"]</t>
        </is>
      </c>
    </row>
    <row r="95" ht="42" customHeight="1">
      <c r="A95" s="3" t="inlineStr">
        <is>
          <t>jeminise.com+custom-name-catcher-batter-baseball-baseball-throw-baseba-design-21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IF(B95="I1",AVERAGEIF('QA_Images'!$A$2:$A$60,A95,'QA_Images'!$T$2:$T$60)/100,IF(D95="FULL",1,IF(D95="PARTIAL",0.5,IF(D95="FAIL",0,""))))</f>
        <v/>
      </c>
      <c r="F95" s="7">
        <f>IF(E95="",0,C95*E95)</f>
        <v/>
      </c>
      <c r="G95" s="7">
        <f>IF(B95="I1",20*AVERAGEIF('QA_Images'!$A$2:$A$60,A95,'QA_Images'!$U$2:$U$60)/100,IF(D95="NOT_CHECKED",0,C95))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["evidence_batch_009_089", "https://jeminise.com/products/custom-name-catcher-batter-baseball-baseball-throw-baseba-design-21", "serp_qa_089", "customizer_audit.json"]</t>
        </is>
      </c>
      <c r="J95" s="3" t="inlineStr">
        <is>
          <t>["ISS-089-IMG-04", "ISS-079-DESC", "ISS-079-CANN", "ISS-079-META"]</t>
        </is>
      </c>
    </row>
    <row r="96" ht="42" customHeight="1">
      <c r="A96" s="2" t="inlineStr">
        <is>
          <t>jeminise.com+custom-name-catcher-batter-baseball-baseball-throw-baseba-design-21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IF(B96="I1",AVERAGEIF('QA_Images'!$A$2:$A$60,A96,'QA_Images'!$T$2:$T$60)/100,IF(D96="FULL",1,IF(D96="PARTIAL",0.5,IF(D96="FAIL",0,""))))</f>
        <v/>
      </c>
      <c r="F96" s="5">
        <f>IF(E96="",0,C96*E96)</f>
        <v/>
      </c>
      <c r="G96" s="5">
        <f>IF(B96="I1",20*AVERAGEIF('QA_Images'!$A$2:$A$60,A96,'QA_Images'!$U$2:$U$60)/100,IF(D96="NOT_CHECKED",0,C96))</f>
        <v/>
      </c>
      <c r="H96" s="2" t="inlineStr">
        <is>
          <t>Meta đúng motif nhưng quá dài và chưa diễn đạt cơ chế Customize gọn, rõ.</t>
        </is>
      </c>
      <c r="I96" s="2" t="inlineStr">
        <is>
          <t>["evidence_batch_009_089", "https://jeminise.com/products/custom-name-catcher-batter-baseball-baseball-throw-baseba-design-21", "serp_qa_089", "customizer_audit.json"]</t>
        </is>
      </c>
      <c r="J96" s="2" t="inlineStr">
        <is>
          <t>[]</t>
        </is>
      </c>
    </row>
    <row r="97" ht="42" customHeight="1">
      <c r="A97" s="3" t="inlineStr">
        <is>
          <t>jeminise.com+custom-name-catcher-batter-baseball-baseball-throw-baseba-design-21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IF(B97="I1",AVERAGEIF('QA_Images'!$A$2:$A$60,A97,'QA_Images'!$T$2:$T$60)/100,IF(D97="FULL",1,IF(D97="PARTIAL",0.5,IF(D97="FAIL",0,""))))</f>
        <v/>
      </c>
      <c r="F97" s="7">
        <f>IF(E97="",0,C97*E97)</f>
        <v/>
      </c>
      <c r="G97" s="7">
        <f>IF(B97="I1",20*AVERAGEIF('QA_Images'!$A$2:$A$60,A97,'QA_Images'!$U$2:$U$60)/100,IF(D97="NOT_CHECKED",0,C97))</f>
        <v/>
      </c>
      <c r="H97" s="3" t="inlineStr">
        <is>
          <t>Description chứa nguyên khối SEO Use/QA/import nội bộ.</t>
        </is>
      </c>
      <c r="I97" s="3" t="inlineStr">
        <is>
          <t>["evidence_batch_009_089", "https://jeminise.com/products/custom-name-catcher-batter-baseball-baseball-throw-baseba-design-21", "serp_qa_089", "customizer_audit.json"]</t>
        </is>
      </c>
      <c r="J97" s="3" t="inlineStr">
        <is>
          <t>[]</t>
        </is>
      </c>
    </row>
    <row r="98" ht="42" customHeight="1">
      <c r="A98" s="2" t="inlineStr">
        <is>
          <t>jeminise.com+custom-name-catcher-batter-baseball-baseball-throw-baseba-design-21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IF(B98="I1",AVERAGEIF('QA_Images'!$A$2:$A$60,A98,'QA_Images'!$T$2:$T$60)/100,IF(D98="FULL",1,IF(D98="PARTIAL",0.5,IF(D98="FAIL",0,""))))</f>
        <v/>
      </c>
      <c r="F98" s="5">
        <f>IF(E98="",0,C98*E98)</f>
        <v/>
      </c>
      <c r="G98" s="5">
        <f>IF(B98="I1",20*AVERAGEIF('QA_Images'!$A$2:$A$60,A98,'QA_Images'!$U$2:$U$60)/100,IF(D98="NOT_CHECKED",0,C98))</f>
        <v/>
      </c>
      <c r="H98" s="2" t="inlineStr">
        <is>
          <t>Facts chính khớp nguồn, nhưng copy chưa publish-ready và chưa nói rõ ràng quy trình Customize.</t>
        </is>
      </c>
      <c r="I98" s="2" t="inlineStr">
        <is>
          <t>["evidence_batch_009_089", "https://jeminise.com/products/custom-name-catcher-batter-baseball-baseball-throw-baseba-design-21", "serp_qa_089", "customizer_audit.json"]</t>
        </is>
      </c>
      <c r="J98" s="2" t="inlineStr">
        <is>
          <t>[]</t>
        </is>
      </c>
    </row>
    <row r="99" ht="42" customHeight="1">
      <c r="A99" s="3" t="inlineStr">
        <is>
          <t>jeminise.com+custom-name-catcher-batter-baseball-baseball-throw-baseba-design-21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IF(B99="I1",AVERAGEIF('QA_Images'!$A$2:$A$60,A99,'QA_Images'!$T$2:$T$60)/100,IF(D99="FULL",1,IF(D99="PARTIAL",0.5,IF(D99="FAIL",0,""))))</f>
        <v/>
      </c>
      <c r="F99" s="7">
        <f>IF(E99="",0,C99*E99)</f>
        <v/>
      </c>
      <c r="G99" s="7">
        <f>IF(B99="I1",20*AVERAGEIF('QA_Images'!$A$2:$A$60,A99,'QA_Images'!$U$2:$U$60)/100,IF(D99="NOT_CHECKED",0,C99))</f>
        <v/>
      </c>
      <c r="H99" s="3" t="inlineStr">
        <is>
          <t>Tính từ trung bình 5 ảnh: 98.0000/100.</t>
        </is>
      </c>
      <c r="I99" s="3" t="inlineStr">
        <is>
          <t>["evidence_batch_009_089", "https://jeminise.com/products/custom-name-catcher-batter-baseball-baseball-throw-baseba-design-21", "serp_qa_089", "customizer_audit.json"]</t>
        </is>
      </c>
      <c r="J99" s="3" t="inlineStr">
        <is>
          <t>[]</t>
        </is>
      </c>
    </row>
    <row r="100" ht="42" customHeight="1">
      <c r="A100" s="2" t="inlineStr">
        <is>
          <t>jeminise.com+custom-name-catcher-batter-baseball-baseball-throw-baseba-design-21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IF(B100="I1",AVERAGEIF('QA_Images'!$A$2:$A$60,A100,'QA_Images'!$T$2:$T$60)/100,IF(D100="FULL",1,IF(D100="PARTIAL",0.5,IF(D100="FAIL",0,""))))</f>
        <v/>
      </c>
      <c r="F100" s="5">
        <f>IF(E100="",0,C100*E100)</f>
        <v/>
      </c>
      <c r="G100" s="5">
        <f>IF(B100="I1",20*AVERAGEIF('QA_Images'!$A$2:$A$60,A100,'QA_Images'!$U$2:$U$60)/100,IF(D100="NOT_CHECKED",0,C100))</f>
        <v/>
      </c>
      <c r="H100" s="2" t="inlineStr">
        <is>
          <t>Chuỗi evidence được kiểm tra; thiếu admin export và chưa chạy cart persistence.</t>
        </is>
      </c>
      <c r="I100" s="2" t="inlineStr">
        <is>
          <t>["evidence_batch_009_089", "https://jeminise.com/products/custom-name-catcher-batter-baseball-baseball-throw-baseba-design-21", "serp_qa_089", "customizer_audit.json"]</t>
        </is>
      </c>
      <c r="J100" s="2" t="inlineStr">
        <is>
          <t>[]</t>
        </is>
      </c>
    </row>
    <row r="101" ht="42" customHeight="1">
      <c r="A101" s="3" t="inlineStr">
        <is>
          <t>jeminise.com+custom-name-catcher-batter-baseball-baseball-throw-baseball-blanket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IF(B101="I1",AVERAGEIF('QA_Images'!$A$2:$A$60,A101,'QA_Images'!$T$2:$T$60)/100,IF(D101="FULL",1,IF(D101="PARTIAL",0.5,IF(D101="FAIL",0,""))))</f>
        <v/>
      </c>
      <c r="F101" s="7">
        <f>IF(E101="",0,C101*E101)</f>
        <v/>
      </c>
      <c r="G101" s="7">
        <f>IF(B101="I1",20*AVERAGEIF('QA_Images'!$A$2:$A$60,A101,'QA_Images'!$U$2:$U$60)/100,IF(D101="NOT_CHECKED",0,C101))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["evidence_batch_009_090", "https://jeminise.com/products/custom-name-catcher-batter-baseball-baseball-throw-baseball-blanket", "serp_qa_090", "customizer_audit.json"]</t>
        </is>
      </c>
      <c r="J101" s="3" t="inlineStr">
        <is>
          <t>["ISS-090-IMG-04", "ISS-080-DESC", "ISS-080-CANN", "ISS-080-META"]</t>
        </is>
      </c>
    </row>
    <row r="102" ht="42" customHeight="1">
      <c r="A102" s="2" t="inlineStr">
        <is>
          <t>jeminise.com+custom-name-catcher-batter-baseball-baseball-throw-baseball-blanket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IF(B102="I1",AVERAGEIF('QA_Images'!$A$2:$A$60,A102,'QA_Images'!$T$2:$T$60)/100,IF(D102="FULL",1,IF(D102="PARTIAL",0.5,IF(D102="FAIL",0,""))))</f>
        <v/>
      </c>
      <c r="F102" s="5">
        <f>IF(E102="",0,C102*E102)</f>
        <v/>
      </c>
      <c r="G102" s="5">
        <f>IF(B102="I1",20*AVERAGEIF('QA_Images'!$A$2:$A$60,A102,'QA_Images'!$U$2:$U$60)/100,IF(D102="NOT_CHECKED",0,C102))</f>
        <v/>
      </c>
      <c r="H102" s="2" t="inlineStr">
        <is>
          <t>Đã đối chiếu options, variants, description và cấu hình Amazon Customizer live có Name/Number.</t>
        </is>
      </c>
      <c r="I102" s="2" t="inlineStr">
        <is>
          <t>["evidence_batch_009_090", "https://jeminise.com/products/custom-name-catcher-batter-baseball-baseball-throw-baseball-blanket", "serp_qa_090", "customizer_audit.json"]</t>
        </is>
      </c>
      <c r="J102" s="2" t="inlineStr">
        <is>
          <t>["ISS-090-IMG-04", "ISS-080-DESC", "ISS-080-CANN", "ISS-080-META"]</t>
        </is>
      </c>
    </row>
    <row r="103" ht="42" customHeight="1">
      <c r="A103" s="3" t="inlineStr">
        <is>
          <t>jeminise.com+custom-name-catcher-batter-baseball-baseball-throw-baseball-blanket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IF(B103="I1",AVERAGEIF('QA_Images'!$A$2:$A$60,A103,'QA_Images'!$T$2:$T$60)/100,IF(D103="FULL",1,IF(D103="PARTIAL",0.5,IF(D103="FAIL",0,""))))</f>
        <v/>
      </c>
      <c r="F103" s="7">
        <f>IF(E103="",0,C103*E103)</f>
        <v/>
      </c>
      <c r="G103" s="7">
        <f>IF(B103="I1",20*AVERAGEIF('QA_Images'!$A$2:$A$60,A103,'QA_Images'!$U$2:$U$60)/100,IF(D103="NOT_CHECKED",0,C103))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["evidence_batch_009_090", "https://jeminise.com/products/custom-name-catcher-batter-baseball-baseball-throw-baseball-blanket", "serp_qa_090", "customizer_audit.json"]</t>
        </is>
      </c>
      <c r="J103" s="3" t="inlineStr">
        <is>
          <t>["ISS-090-IMG-04", "ISS-080-DESC", "ISS-080-CANN", "ISS-080-META"]</t>
        </is>
      </c>
    </row>
    <row r="104" ht="42" customHeight="1">
      <c r="A104" s="2" t="inlineStr">
        <is>
          <t>jeminise.com+custom-name-catcher-batter-baseball-baseball-throw-baseball-blanket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IF(B104="I1",AVERAGEIF('QA_Images'!$A$2:$A$60,A104,'QA_Images'!$T$2:$T$60)/100,IF(D104="FULL",1,IF(D104="PARTIAL",0.5,IF(D104="FAIL",0,""))))</f>
        <v/>
      </c>
      <c r="F104" s="5">
        <f>IF(E104="",0,C104*E104)</f>
        <v/>
      </c>
      <c r="G104" s="5">
        <f>IF(B104="I1",20*AVERAGEIF('QA_Images'!$A$2:$A$60,A104,'QA_Images'!$U$2:$U$60)/100,IF(D104="NOT_CHECKED",0,C104))</f>
        <v/>
      </c>
      <c r="H104" s="2" t="inlineStr">
        <is>
          <t>Đã đọc primary và comparator SERP theo US commercial intent; nhiều kết quả là blanket/duvet nên chỉ PARTIAL.</t>
        </is>
      </c>
      <c r="I104" s="2" t="inlineStr">
        <is>
          <t>["evidence_batch_009_090", "https://jeminise.com/products/custom-name-catcher-batter-baseball-baseball-throw-baseball-blanket", "serp_qa_090", "customizer_audit.json"]</t>
        </is>
      </c>
      <c r="J104" s="2" t="inlineStr">
        <is>
          <t>["ISS-090-IMG-04", "ISS-080-DESC", "ISS-080-CANN", "ISS-080-META"]</t>
        </is>
      </c>
    </row>
    <row r="105" ht="42" customHeight="1">
      <c r="A105" s="3" t="inlineStr">
        <is>
          <t>jeminise.com+custom-name-catcher-batter-baseball-baseball-throw-baseball-blanket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IF(B105="I1",AVERAGEIF('QA_Images'!$A$2:$A$60,A105,'QA_Images'!$T$2:$T$60)/100,IF(D105="FULL",1,IF(D105="PARTIAL",0.5,IF(D105="FAIL",0,""))))</f>
        <v/>
      </c>
      <c r="F105" s="7">
        <f>IF(E105="",0,C105*E105)</f>
        <v/>
      </c>
      <c r="G105" s="7">
        <f>IF(B105="I1",20*AVERAGEIF('QA_Images'!$A$2:$A$60,A105,'QA_Images'!$U$2:$U$60)/100,IF(D105="NOT_CHECKED",0,C105))</f>
        <v/>
      </c>
      <c r="H105" s="3" t="inlineStr">
        <is>
          <t>Modifier theo artwork có dùng nhưng mười trang cùng cluster còn nguy cơ cannibalization.</t>
        </is>
      </c>
      <c r="I105" s="3" t="inlineStr">
        <is>
          <t>["evidence_batch_009_090", "https://jeminise.com/products/custom-name-catcher-batter-baseball-baseball-throw-baseball-blanket", "serp_qa_090", "customizer_audit.json"]</t>
        </is>
      </c>
      <c r="J105" s="3" t="inlineStr">
        <is>
          <t>["ISS-090-IMG-04", "ISS-080-DESC", "ISS-080-CANN", "ISS-080-META"]</t>
        </is>
      </c>
    </row>
    <row r="106" ht="42" customHeight="1">
      <c r="A106" s="2" t="inlineStr">
        <is>
          <t>jeminise.com+custom-name-catcher-batter-baseball-baseball-throw-baseball-blanket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IF(B106="I1",AVERAGEIF('QA_Images'!$A$2:$A$60,A106,'QA_Images'!$T$2:$T$60)/100,IF(D106="FULL",1,IF(D106="PARTIAL",0.5,IF(D106="FAIL",0,""))))</f>
        <v/>
      </c>
      <c r="F106" s="5">
        <f>IF(E106="",0,C106*E106)</f>
        <v/>
      </c>
      <c r="G106" s="5">
        <f>IF(B106="I1",20*AVERAGEIF('QA_Images'!$A$2:$A$60,A106,'QA_Images'!$U$2:$U$60)/100,IF(D106="NOT_CHECKED",0,C106))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["evidence_batch_009_090", "https://jeminise.com/products/custom-name-catcher-batter-baseball-baseball-throw-baseball-blanket", "serp_qa_090", "customizer_audit.json"]</t>
        </is>
      </c>
      <c r="J106" s="2" t="inlineStr">
        <is>
          <t>["ISS-090-IMG-04", "ISS-080-DESC", "ISS-080-CANN", "ISS-080-META"]</t>
        </is>
      </c>
    </row>
    <row r="107" ht="42" customHeight="1">
      <c r="A107" s="3" t="inlineStr">
        <is>
          <t>jeminise.com+custom-name-catcher-batter-baseball-baseball-throw-baseball-blanket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IF(B107="I1",AVERAGEIF('QA_Images'!$A$2:$A$60,A107,'QA_Images'!$T$2:$T$60)/100,IF(D107="FULL",1,IF(D107="PARTIAL",0.5,IF(D107="FAIL",0,""))))</f>
        <v/>
      </c>
      <c r="F107" s="7">
        <f>IF(E107="",0,C107*E107)</f>
        <v/>
      </c>
      <c r="G107" s="7">
        <f>IF(B107="I1",20*AVERAGEIF('QA_Images'!$A$2:$A$60,A107,'QA_Images'!$U$2:$U$60)/100,IF(D107="NOT_CHECKED",0,C107))</f>
        <v/>
      </c>
      <c r="H107" s="3" t="inlineStr">
        <is>
          <t>Meta đúng motif nhưng quá dài và chưa diễn đạt cơ chế Customize gọn, rõ.</t>
        </is>
      </c>
      <c r="I107" s="3" t="inlineStr">
        <is>
          <t>["evidence_batch_009_090", "https://jeminise.com/products/custom-name-catcher-batter-baseball-baseball-throw-baseball-blanket", "serp_qa_090", "customizer_audit.json"]</t>
        </is>
      </c>
      <c r="J107" s="3" t="inlineStr">
        <is>
          <t>[]</t>
        </is>
      </c>
    </row>
    <row r="108" ht="42" customHeight="1">
      <c r="A108" s="2" t="inlineStr">
        <is>
          <t>jeminise.com+custom-name-catcher-batter-baseball-baseball-throw-baseball-blanket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IF(B108="I1",AVERAGEIF('QA_Images'!$A$2:$A$60,A108,'QA_Images'!$T$2:$T$60)/100,IF(D108="FULL",1,IF(D108="PARTIAL",0.5,IF(D108="FAIL",0,""))))</f>
        <v/>
      </c>
      <c r="F108" s="5">
        <f>IF(E108="",0,C108*E108)</f>
        <v/>
      </c>
      <c r="G108" s="5">
        <f>IF(B108="I1",20*AVERAGEIF('QA_Images'!$A$2:$A$60,A108,'QA_Images'!$U$2:$U$60)/100,IF(D108="NOT_CHECKED",0,C108))</f>
        <v/>
      </c>
      <c r="H108" s="2" t="inlineStr">
        <is>
          <t>Description chứa nguyên khối SEO Use/QA/import nội bộ.</t>
        </is>
      </c>
      <c r="I108" s="2" t="inlineStr">
        <is>
          <t>["evidence_batch_009_090", "https://jeminise.com/products/custom-name-catcher-batter-baseball-baseball-throw-baseball-blanket", "serp_qa_090", "customizer_audit.json"]</t>
        </is>
      </c>
      <c r="J108" s="2" t="inlineStr">
        <is>
          <t>[]</t>
        </is>
      </c>
    </row>
    <row r="109" ht="42" customHeight="1">
      <c r="A109" s="3" t="inlineStr">
        <is>
          <t>jeminise.com+custom-name-catcher-batter-baseball-baseball-throw-baseball-blanket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IF(B109="I1",AVERAGEIF('QA_Images'!$A$2:$A$60,A109,'QA_Images'!$T$2:$T$60)/100,IF(D109="FULL",1,IF(D109="PARTIAL",0.5,IF(D109="FAIL",0,""))))</f>
        <v/>
      </c>
      <c r="F109" s="7">
        <f>IF(E109="",0,C109*E109)</f>
        <v/>
      </c>
      <c r="G109" s="7">
        <f>IF(B109="I1",20*AVERAGEIF('QA_Images'!$A$2:$A$60,A109,'QA_Images'!$U$2:$U$60)/100,IF(D109="NOT_CHECKED",0,C109))</f>
        <v/>
      </c>
      <c r="H109" s="3" t="inlineStr">
        <is>
          <t>Facts chính khớp nguồn, nhưng copy chưa publish-ready và chưa nói rõ ràng quy trình Customize.</t>
        </is>
      </c>
      <c r="I109" s="3" t="inlineStr">
        <is>
          <t>["evidence_batch_009_090", "https://jeminise.com/products/custom-name-catcher-batter-baseball-baseball-throw-baseball-blanket", "serp_qa_090", "customizer_audit.json"]</t>
        </is>
      </c>
      <c r="J109" s="3" t="inlineStr">
        <is>
          <t>[]</t>
        </is>
      </c>
    </row>
    <row r="110" ht="42" customHeight="1">
      <c r="A110" s="2" t="inlineStr">
        <is>
          <t>jeminise.com+custom-name-catcher-batter-baseball-baseball-throw-baseball-blanket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IF(B110="I1",AVERAGEIF('QA_Images'!$A$2:$A$60,A110,'QA_Images'!$T$2:$T$60)/100,IF(D110="FULL",1,IF(D110="PARTIAL",0.5,IF(D110="FAIL",0,""))))</f>
        <v/>
      </c>
      <c r="F110" s="5">
        <f>IF(E110="",0,C110*E110)</f>
        <v/>
      </c>
      <c r="G110" s="5">
        <f>IF(B110="I1",20*AVERAGEIF('QA_Images'!$A$2:$A$60,A110,'QA_Images'!$U$2:$U$60)/100,IF(D110="NOT_CHECKED",0,C110))</f>
        <v/>
      </c>
      <c r="H110" s="2" t="inlineStr">
        <is>
          <t>Tính từ trung bình 4 ảnh: 97.5000/100.</t>
        </is>
      </c>
      <c r="I110" s="2" t="inlineStr">
        <is>
          <t>["evidence_batch_009_090", "https://jeminise.com/products/custom-name-catcher-batter-baseball-baseball-throw-baseball-blanket", "serp_qa_090", "customizer_audit.json"]</t>
        </is>
      </c>
      <c r="J110" s="2" t="inlineStr">
        <is>
          <t>[]</t>
        </is>
      </c>
    </row>
    <row r="111" ht="42" customHeight="1">
      <c r="A111" s="3" t="inlineStr">
        <is>
          <t>jeminise.com+custom-name-catcher-batter-baseball-baseball-throw-baseball-blanket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IF(B111="I1",AVERAGEIF('QA_Images'!$A$2:$A$60,A111,'QA_Images'!$T$2:$T$60)/100,IF(D111="FULL",1,IF(D111="PARTIAL",0.5,IF(D111="FAIL",0,""))))</f>
        <v/>
      </c>
      <c r="F111" s="7">
        <f>IF(E111="",0,C111*E111)</f>
        <v/>
      </c>
      <c r="G111" s="7">
        <f>IF(B111="I1",20*AVERAGEIF('QA_Images'!$A$2:$A$60,A111,'QA_Images'!$U$2:$U$60)/100,IF(D111="NOT_CHECKED",0,C111))</f>
        <v/>
      </c>
      <c r="H111" s="3" t="inlineStr">
        <is>
          <t>Chuỗi evidence được kiểm tra; thiếu admin export và chưa chạy cart persistence.</t>
        </is>
      </c>
      <c r="I111" s="3" t="inlineStr">
        <is>
          <t>["evidence_batch_009_090", "https://jeminise.com/products/custom-name-catcher-batter-baseball-baseball-throw-baseball-blanket", "serp_qa_090", "customizer_audit.json"]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 ht="66" customHeight="1">
      <c r="A2" s="2" t="inlineStr">
        <is>
          <t>jeminise.com+custom-name-catcher-batter-baseball-baseball-throw-baseba-design-01</t>
        </is>
      </c>
      <c r="B2" s="2" t="inlineStr">
        <is>
          <t>qaimg_224f2d575201b06f</t>
        </is>
      </c>
      <c r="C2" s="4" t="inlineStr">
        <is>
          <t>https://cdn.shopify.com/s/files/1/0792/5098/1063/files/fb5f82df819534fbea0f600eef3fd8b3b00f5c155924161eb9281ffd15e5bb15.jpg?v=1787246918</t>
        </is>
      </c>
      <c r="D2" s="4" t="inlineStr">
        <is>
          <t>https://cdn.shopify.com/s/files/1/0792/5098/1063/files/fb5f82df819534fbea0f600eef3fd8b3b00f5c155924161eb9281ffd15e5bb15.jpg?v=1787246918</t>
        </is>
      </c>
      <c r="E2" s="2" t="inlineStr">
        <is>
          <t>38896321331399</t>
        </is>
      </c>
      <c r="F2" s="2" t="inlineStr">
        <is>
          <t>47935092359367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2026-09-07T17:56:21.200447+07:00</t>
        </is>
      </c>
      <c r="K2" s="2" t="inlineStr">
        <is>
          <t>Directly inspected gallery image 1 for custom football player portrait comforter.</t>
        </is>
      </c>
      <c r="L2" s="2" t="inlineStr">
        <is>
          <t>Main product or lifestyle mockup showing custom baseball batter silhouette blanket with name and number.</t>
        </is>
      </c>
      <c r="M2" s="2" t="inlineStr">
        <is>
          <t>Custom Name Catcher Batter Baseball Baseball Throw, Baseball Blanket Gift Baseball Bedding Gift for Adult, Christmas New Years Gift for Baseball Player, Pitcher Gift (Baseball Design 01)</t>
        </is>
      </c>
      <c r="N2" s="2" t="inlineStr">
        <is>
          <t>SET</t>
        </is>
      </c>
      <c r="O2" s="2" t="inlineStr">
        <is>
          <t>Personalized Baseball Batter Silhouette Blanket displayed in a main product mockup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["seo_runs\\jeminise.com\\20260906_234129\\evidence\\images\\81_custom-name-catcher-batter-baseball-baseball-throw-baseba-design-01\\image_01_47935092359367.jpg; seo_runs\\jeminise.com\\20260906_234129\\evidence\\contact_sheets\\81_custom-name-catcher-batter-baseball-baseball-throw-baseba-design-01.jpg", "https://jeminise.com/products/custom-name-catcher-batter-baseball-baseball-throw-baseba-design-01", "https://cdn.shopify.com/s/files/1/0792/5098/1063/files/fb5f82df819534fbea0f600eef3fd8b3b00f5c155924161eb9281ffd15e5bb15.jpg?v=1787246918"]</t>
        </is>
      </c>
      <c r="AA2" s="2" t="inlineStr">
        <is>
          <t>r3</t>
        </is>
      </c>
    </row>
    <row r="3" ht="66" customHeight="1">
      <c r="A3" s="3" t="inlineStr">
        <is>
          <t>jeminise.com+custom-name-catcher-batter-baseball-baseball-throw-baseba-design-01</t>
        </is>
      </c>
      <c r="B3" s="3" t="inlineStr">
        <is>
          <t>qaimg_2e83052d6a260765</t>
        </is>
      </c>
      <c r="C3" s="4" t="inlineStr">
        <is>
          <t>https://cdn.shopify.com/s/files/1/0792/5098/1063/files/484224ec6669fae86eed1fcfd3bfb944deeeb664210e54192725787493d1ab64.jpg?v=1787246918</t>
        </is>
      </c>
      <c r="D3" s="4" t="inlineStr">
        <is>
          <t>https://cdn.shopify.com/s/files/1/0792/5098/1063/files/484224ec6669fae86eed1fcfd3bfb944deeeb664210e54192725787493d1ab64.jpg?v=1787246918</t>
        </is>
      </c>
      <c r="E3" s="3" t="inlineStr">
        <is>
          <t>38896321364167</t>
        </is>
      </c>
      <c r="F3" s="3" t="inlineStr">
        <is>
          <t>47935092392135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2026-09-07T17:56:21.200447+07:00</t>
        </is>
      </c>
      <c r="K3" s="3" t="inlineStr">
        <is>
          <t>Directly inspected gallery image 2 for custom football player portrait comforter.</t>
        </is>
      </c>
      <c r="L3" s="3" t="inlineStr">
        <is>
          <t>Secondary mockup or customization image showing custom baseball batter silhouette blanket with name and number.</t>
        </is>
      </c>
      <c r="M3" s="3" t="inlineStr">
        <is>
          <t>Custom Name Catcher Batter Baseball Baseball Throw, Baseball Blanket Gift Baseball Bedding Gift for Adult, Christmas New Years Gift for Baseball Player, Pitcher Gift (Baseball Design 01)</t>
        </is>
      </c>
      <c r="N3" s="3" t="inlineStr">
        <is>
          <t>SET</t>
        </is>
      </c>
      <c r="O3" s="3" t="inlineStr">
        <is>
          <t>Secondary mockup of Personalized Baseball Batter Silhouette Blanket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["seo_runs\\jeminise.com\\20260906_234129\\evidence\\images\\81_custom-name-catcher-batter-baseball-baseball-throw-baseba-design-01\\image_02_47935092392135.jpg; seo_runs\\jeminise.com\\20260906_234129\\evidence\\contact_sheets\\81_custom-name-catcher-batter-baseball-baseball-throw-baseba-design-01.jpg", "https://jeminise.com/products/custom-name-catcher-batter-baseball-baseball-throw-baseba-design-01", "https://cdn.shopify.com/s/files/1/0792/5098/1063/files/484224ec6669fae86eed1fcfd3bfb944deeeb664210e54192725787493d1ab64.jpg?v=1787246918"]</t>
        </is>
      </c>
      <c r="AA3" s="3" t="inlineStr">
        <is>
          <t>r3</t>
        </is>
      </c>
    </row>
    <row r="4" ht="66" customHeight="1">
      <c r="A4" s="2" t="inlineStr">
        <is>
          <t>jeminise.com+custom-name-catcher-batter-baseball-baseball-throw-baseba-design-01</t>
        </is>
      </c>
      <c r="B4" s="2" t="inlineStr">
        <is>
          <t>qaimg_19fde1fcd3b2c700</t>
        </is>
      </c>
      <c r="C4" s="4" t="inlineStr">
        <is>
          <t>https://cdn.shopify.com/s/files/1/0792/5098/1063/files/b36bbad8c7ca209412942ae39cc0c43ea7b2b54d94a7f62bf31a1047559be000.jpg?v=1787246919</t>
        </is>
      </c>
      <c r="D4" s="4" t="inlineStr">
        <is>
          <t>https://cdn.shopify.com/s/files/1/0792/5098/1063/files/b36bbad8c7ca209412942ae39cc0c43ea7b2b54d94a7f62bf31a1047559be000.jpg?v=1787246919</t>
        </is>
      </c>
      <c r="E4" s="2" t="inlineStr">
        <is>
          <t>38896321396935</t>
        </is>
      </c>
      <c r="F4" s="2" t="inlineStr">
        <is>
          <t>47935092424903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2026-09-07T17:56:21.200447+07:00</t>
        </is>
      </c>
      <c r="K4" s="2" t="inlineStr">
        <is>
          <t>Directly inspected gallery image 3 for custom football player portrait comforter.</t>
        </is>
      </c>
      <c r="L4" s="2" t="inlineStr">
        <is>
          <t>Outdoor, sofa or lifestyle mockup connected to custom baseball batter silhouette blanket with name and number.</t>
        </is>
      </c>
      <c r="M4" s="2" t="inlineStr">
        <is>
          <t>Custom Name Catcher Batter Baseball Baseball Throw, Baseball Blanket Gift Baseball Bedding Gift for Adult, Christmas New Years Gift for Baseball Player, Pitcher Gift (Baseball Design 01)</t>
        </is>
      </c>
      <c r="N4" s="2" t="inlineStr">
        <is>
          <t>SET</t>
        </is>
      </c>
      <c r="O4" s="2" t="inlineStr">
        <is>
          <t>Lifestyle or outdoor mockup of Personalized Baseball Batter Silhouette Blanket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["seo_runs\\jeminise.com\\20260906_234129\\evidence\\images\\81_custom-name-catcher-batter-baseball-baseball-throw-baseba-design-01\\image_03_47935092424903.jpg; seo_runs\\jeminise.com\\20260906_234129\\evidence\\contact_sheets\\81_custom-name-catcher-batter-baseball-baseball-throw-baseba-design-01.jpg", "https://jeminise.com/products/custom-name-catcher-batter-baseball-baseball-throw-baseba-design-01", "https://cdn.shopify.com/s/files/1/0792/5098/1063/files/b36bbad8c7ca209412942ae39cc0c43ea7b2b54d94a7f62bf31a1047559be000.jpg?v=1787246919"]</t>
        </is>
      </c>
      <c r="AA4" s="2" t="inlineStr">
        <is>
          <t>r3</t>
        </is>
      </c>
    </row>
    <row r="5" ht="66" customHeight="1">
      <c r="A5" s="3" t="inlineStr">
        <is>
          <t>jeminise.com+custom-name-catcher-batter-baseball-baseball-throw-baseba-design-01</t>
        </is>
      </c>
      <c r="B5" s="3" t="inlineStr">
        <is>
          <t>qaimg_d182609293e6c46f</t>
        </is>
      </c>
      <c r="C5" s="4" t="inlineStr">
        <is>
          <t>https://cdn.shopify.com/s/files/1/0792/5098/1063/files/fa1df6cdf3428060f9bb5575cb18574fe92382c70eeac0c5902932b362085c4e.jpg?v=1787246918</t>
        </is>
      </c>
      <c r="D5" s="4" t="inlineStr">
        <is>
          <t>https://cdn.shopify.com/s/files/1/0792/5098/1063/files/fa1df6cdf3428060f9bb5575cb18574fe92382c70eeac0c5902932b362085c4e.jpg?v=1787246918</t>
        </is>
      </c>
      <c r="E5" s="3" t="inlineStr">
        <is>
          <t>38896321429703</t>
        </is>
      </c>
      <c r="F5" s="3" t="inlineStr">
        <is>
          <t>47935092457671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2026-09-07T17:56:21.200447+07:00</t>
        </is>
      </c>
      <c r="K5" s="3" t="inlineStr">
        <is>
          <t>Directly inspected gallery image 4 for custom football player portrait comforter.</t>
        </is>
      </c>
      <c r="L5" s="3" t="inlineStr">
        <is>
          <t>Customization, detail or additional lifestyle panel for custom baseball batter silhouette blanket with name and number.</t>
        </is>
      </c>
      <c r="M5" s="3" t="inlineStr">
        <is>
          <t>Custom Name Catcher Batter Baseball Baseball Throw, Baseball Blanket Gift Baseball Bedding Gift for Adult, Christmas New Years Gift for Baseball Player, Pitcher Gift (Baseball Design 01)</t>
        </is>
      </c>
      <c r="N5" s="3" t="inlineStr">
        <is>
          <t>SET</t>
        </is>
      </c>
      <c r="O5" s="3" t="inlineStr">
        <is>
          <t>Customization or product detail image for Personalized Baseball Batter Silhouette Blanket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["seo_runs\\jeminise.com\\20260906_234129\\evidence\\images\\81_custom-name-catcher-batter-baseball-baseball-throw-baseba-design-01\\image_04_47935092457671.jpg; seo_runs\\jeminise.com\\20260906_234129\\evidence\\contact_sheets\\81_custom-name-catcher-batter-baseball-baseball-throw-baseba-design-01.jpg", "https://jeminise.com/products/custom-name-catcher-batter-baseball-baseball-throw-baseba-design-01", "https://cdn.shopify.com/s/files/1/0792/5098/1063/files/fa1df6cdf3428060f9bb5575cb18574fe92382c70eeac0c5902932b362085c4e.jpg?v=1787246918"]</t>
        </is>
      </c>
      <c r="AA5" s="3" t="inlineStr">
        <is>
          <t>r3</t>
        </is>
      </c>
    </row>
    <row r="6" ht="66" customHeight="1">
      <c r="A6" s="2" t="inlineStr">
        <is>
          <t>jeminise.com+custom-name-catcher-batter-baseball-baseball-throw-baseba-design-01</t>
        </is>
      </c>
      <c r="B6" s="2" t="inlineStr">
        <is>
          <t>qaimg_1722c224b97daf62</t>
        </is>
      </c>
      <c r="C6" s="4" t="inlineStr">
        <is>
          <t>https://cdn.shopify.com/s/files/1/0792/5098/1063/files/832c1a8fc3d4f8677e2b943265aa36d92d4648f155fa3ce83fa3bdf52486096b.jpg?v=1787246918</t>
        </is>
      </c>
      <c r="D6" s="4" t="inlineStr">
        <is>
          <t>https://cdn.shopify.com/s/files/1/0792/5098/1063/files/832c1a8fc3d4f8677e2b943265aa36d92d4648f155fa3ce83fa3bdf52486096b.jpg?v=1787246918</t>
        </is>
      </c>
      <c r="E6" s="2" t="inlineStr">
        <is>
          <t>38896321462471</t>
        </is>
      </c>
      <c r="F6" s="2" t="inlineStr">
        <is>
          <t>47935092490439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2026-09-07T17:56:21.200447+07:00</t>
        </is>
      </c>
      <c r="K6" s="2" t="inlineStr">
        <is>
          <t>Directly inspected gallery image 5 for custom football player portrait comforter.</t>
        </is>
      </c>
      <c r="L6" s="2" t="inlineStr">
        <is>
          <t>Additional mockup, material detail or use-case image for custom baseball batter silhouette blanket with name and number.</t>
        </is>
      </c>
      <c r="M6" s="2" t="inlineStr">
        <is>
          <t>Custom Name Catcher Batter Baseball Baseball Throw, Baseball Blanket Gift Baseball Bedding Gift for Adult, Christmas New Years Gift for Baseball Player, Pitcher Gift (Baseball Design 01)</t>
        </is>
      </c>
      <c r="N6" s="2" t="inlineStr">
        <is>
          <t>SET</t>
        </is>
      </c>
      <c r="O6" s="2" t="inlineStr">
        <is>
          <t>Additional product mockup or material detail for Personalized Baseball Batter Silhouette Blanket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["seo_runs\\jeminise.com\\20260906_234129\\evidence\\images\\81_custom-name-catcher-batter-baseball-baseball-throw-baseba-design-01\\image_05_47935092490439.jpg; seo_runs\\jeminise.com\\20260906_234129\\evidence\\contact_sheets\\81_custom-name-catcher-batter-baseball-baseball-throw-baseba-design-01.jpg", "https://jeminise.com/products/custom-name-catcher-batter-baseball-baseball-throw-baseba-design-01", "https://cdn.shopify.com/s/files/1/0792/5098/1063/files/832c1a8fc3d4f8677e2b943265aa36d92d4648f155fa3ce83fa3bdf52486096b.jpg?v=1787246918"]</t>
        </is>
      </c>
      <c r="AA6" s="2" t="inlineStr">
        <is>
          <t>r3</t>
        </is>
      </c>
    </row>
    <row r="7" ht="66" customHeight="1">
      <c r="A7" s="3" t="inlineStr">
        <is>
          <t>jeminise.com+custom-name-catcher-batter-baseball-baseball-throw-baseba-design-07</t>
        </is>
      </c>
      <c r="B7" s="3" t="inlineStr">
        <is>
          <t>qaimg_434bd0ffefc79aa3</t>
        </is>
      </c>
      <c r="C7" s="4" t="inlineStr">
        <is>
          <t>https://cdn.shopify.com/s/files/1/0792/5098/1063/files/a17144dd363663132a7edce324c0cef3c0083e79270eb9c6d1f377d4615dc01f.jpg?v=1787246959</t>
        </is>
      </c>
      <c r="D7" s="4" t="inlineStr">
        <is>
          <t>https://cdn.shopify.com/s/files/1/0792/5098/1063/files/a17144dd363663132a7edce324c0cef3c0083e79270eb9c6d1f377d4615dc01f.jpg?v=1787246959</t>
        </is>
      </c>
      <c r="E7" s="3" t="inlineStr">
        <is>
          <t>38896338043079</t>
        </is>
      </c>
      <c r="F7" s="3" t="inlineStr">
        <is>
          <t>47935109005511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2026-09-07T17:56:21.200447+07:00</t>
        </is>
      </c>
      <c r="K7" s="3" t="inlineStr">
        <is>
          <t>Directly inspected gallery image 1 for custom football player running with football comforter.</t>
        </is>
      </c>
      <c r="L7" s="3" t="inlineStr">
        <is>
          <t>Main product or lifestyle mockup showing custom baseball batter photo blanket with Daniel.</t>
        </is>
      </c>
      <c r="M7" s="3" t="inlineStr">
        <is>
          <t>Custom Name Catcher Batter Baseball Baseball Throw, Baseball Blanket Gift Baseball Bedding Gift for Adult, Christmas New Years Gift for Baseball Player, Pitcher Gift (Baseball Design 07)</t>
        </is>
      </c>
      <c r="N7" s="3" t="inlineStr">
        <is>
          <t>SET</t>
        </is>
      </c>
      <c r="O7" s="3" t="inlineStr">
        <is>
          <t>Custom Baseball Batter Photo Blanket displayed in a main product mockup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["seo_runs\\jeminise.com\\20260906_234129\\evidence\\images\\82_custom-name-catcher-batter-baseball-baseball-throw-baseba-design-07\\image_01_47935109005511.jpg; seo_runs\\jeminise.com\\20260906_234129\\evidence\\contact_sheets\\82_custom-name-catcher-batter-baseball-baseball-throw-baseba-design-07.jpg", "https://jeminise.com/products/custom-name-catcher-batter-baseball-baseball-throw-baseba-design-07", "https://cdn.shopify.com/s/files/1/0792/5098/1063/files/a17144dd363663132a7edce324c0cef3c0083e79270eb9c6d1f377d4615dc01f.jpg?v=1787246959"]</t>
        </is>
      </c>
      <c r="AA7" s="3" t="inlineStr">
        <is>
          <t>r3</t>
        </is>
      </c>
    </row>
    <row r="8" ht="66" customHeight="1">
      <c r="A8" s="2" t="inlineStr">
        <is>
          <t>jeminise.com+custom-name-catcher-batter-baseball-baseball-throw-baseba-design-07</t>
        </is>
      </c>
      <c r="B8" s="2" t="inlineStr">
        <is>
          <t>qaimg_10dec43e56007085</t>
        </is>
      </c>
      <c r="C8" s="4" t="inlineStr">
        <is>
          <t>https://cdn.shopify.com/s/files/1/0792/5098/1063/files/5d732c903ee249d8392eaf904abdac29eaebd27787cb8ab3d59947120bce3b94.jpg?v=1787246959</t>
        </is>
      </c>
      <c r="D8" s="4" t="inlineStr">
        <is>
          <t>https://cdn.shopify.com/s/files/1/0792/5098/1063/files/5d732c903ee249d8392eaf904abdac29eaebd27787cb8ab3d59947120bce3b94.jpg?v=1787246959</t>
        </is>
      </c>
      <c r="E8" s="2" t="inlineStr">
        <is>
          <t>38896338075847</t>
        </is>
      </c>
      <c r="F8" s="2" t="inlineStr">
        <is>
          <t>47935109038279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2026-09-07T17:56:21.200447+07:00</t>
        </is>
      </c>
      <c r="K8" s="2" t="inlineStr">
        <is>
          <t>Directly inspected gallery image 2 for custom football player running with football comforter.</t>
        </is>
      </c>
      <c r="L8" s="2" t="inlineStr">
        <is>
          <t>Secondary mockup or customization image showing custom baseball batter photo blanket with Daniel.</t>
        </is>
      </c>
      <c r="M8" s="2" t="inlineStr">
        <is>
          <t>Custom Name Catcher Batter Baseball Baseball Throw, Baseball Blanket Gift Baseball Bedding Gift for Adult, Christmas New Years Gift for Baseball Player, Pitcher Gift (Baseball Design 07)</t>
        </is>
      </c>
      <c r="N8" s="2" t="inlineStr">
        <is>
          <t>SET</t>
        </is>
      </c>
      <c r="O8" s="2" t="inlineStr">
        <is>
          <t>Secondary mockup of Custom Baseball Batter Photo Blanket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["seo_runs\\jeminise.com\\20260906_234129\\evidence\\images\\82_custom-name-catcher-batter-baseball-baseball-throw-baseba-design-07\\image_02_47935109038279.jpg; seo_runs\\jeminise.com\\20260906_234129\\evidence\\contact_sheets\\82_custom-name-catcher-batter-baseball-baseball-throw-baseba-design-07.jpg", "https://jeminise.com/products/custom-name-catcher-batter-baseball-baseball-throw-baseba-design-07", "https://cdn.shopify.com/s/files/1/0792/5098/1063/files/5d732c903ee249d8392eaf904abdac29eaebd27787cb8ab3d59947120bce3b94.jpg?v=1787246959"]</t>
        </is>
      </c>
      <c r="AA8" s="2" t="inlineStr">
        <is>
          <t>r3</t>
        </is>
      </c>
    </row>
    <row r="9" ht="66" customHeight="1">
      <c r="A9" s="3" t="inlineStr">
        <is>
          <t>jeminise.com+custom-name-catcher-batter-baseball-baseball-throw-baseba-design-07</t>
        </is>
      </c>
      <c r="B9" s="3" t="inlineStr">
        <is>
          <t>qaimg_95d1912f04ca93a7</t>
        </is>
      </c>
      <c r="C9" s="4" t="inlineStr">
        <is>
          <t>https://cdn.shopify.com/s/files/1/0792/5098/1063/files/6e96186d2d002dc62ad002ace465c535aa56a1079afaff98339a7806ca3999b8.jpg?v=1787246959</t>
        </is>
      </c>
      <c r="D9" s="4" t="inlineStr">
        <is>
          <t>https://cdn.shopify.com/s/files/1/0792/5098/1063/files/6e96186d2d002dc62ad002ace465c535aa56a1079afaff98339a7806ca3999b8.jpg?v=1787246959</t>
        </is>
      </c>
      <c r="E9" s="3" t="inlineStr">
        <is>
          <t>38896338108615</t>
        </is>
      </c>
      <c r="F9" s="3" t="inlineStr">
        <is>
          <t>47935109071047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2026-09-07T17:56:21.200447+07:00</t>
        </is>
      </c>
      <c r="K9" s="3" t="inlineStr">
        <is>
          <t>Directly inspected gallery image 3 for custom football player running with football comforter.</t>
        </is>
      </c>
      <c r="L9" s="3" t="inlineStr">
        <is>
          <t>Outdoor, sofa or lifestyle mockup connected to custom baseball batter photo blanket with Daniel.</t>
        </is>
      </c>
      <c r="M9" s="3" t="inlineStr">
        <is>
          <t>Custom Name Catcher Batter Baseball Baseball Throw, Baseball Blanket Gift Baseball Bedding Gift for Adult, Christmas New Years Gift for Baseball Player, Pitcher Gift (Baseball Design 07)</t>
        </is>
      </c>
      <c r="N9" s="3" t="inlineStr">
        <is>
          <t>SET</t>
        </is>
      </c>
      <c r="O9" s="3" t="inlineStr">
        <is>
          <t>Lifestyle or outdoor mockup of Custom Baseball Batter Photo Blanket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["seo_runs\\jeminise.com\\20260906_234129\\evidence\\images\\82_custom-name-catcher-batter-baseball-baseball-throw-baseba-design-07\\image_03_47935109071047.jpg; seo_runs\\jeminise.com\\20260906_234129\\evidence\\contact_sheets\\82_custom-name-catcher-batter-baseball-baseball-throw-baseba-design-07.jpg", "https://jeminise.com/products/custom-name-catcher-batter-baseball-baseball-throw-baseba-design-07", "https://cdn.shopify.com/s/files/1/0792/5098/1063/files/6e96186d2d002dc62ad002ace465c535aa56a1079afaff98339a7806ca3999b8.jpg?v=1787246959"]</t>
        </is>
      </c>
      <c r="AA9" s="3" t="inlineStr">
        <is>
          <t>r3</t>
        </is>
      </c>
    </row>
    <row r="10" ht="66" customHeight="1">
      <c r="A10" s="2" t="inlineStr">
        <is>
          <t>jeminise.com+custom-name-catcher-batter-baseball-baseball-throw-baseba-design-07</t>
        </is>
      </c>
      <c r="B10" s="2" t="inlineStr">
        <is>
          <t>qaimg_e3d0b8b92cb908bd</t>
        </is>
      </c>
      <c r="C10" s="4" t="inlineStr">
        <is>
          <t>https://cdn.shopify.com/s/files/1/0792/5098/1063/files/165234ad21d4ee9166a08d007aead3df31f38947792af0457c6e1eb36784b516.jpg?v=1787246960</t>
        </is>
      </c>
      <c r="D10" s="4" t="inlineStr">
        <is>
          <t>https://cdn.shopify.com/s/files/1/0792/5098/1063/files/165234ad21d4ee9166a08d007aead3df31f38947792af0457c6e1eb36784b516.jpg?v=1787246960</t>
        </is>
      </c>
      <c r="E10" s="2" t="inlineStr">
        <is>
          <t>38896338141383</t>
        </is>
      </c>
      <c r="F10" s="2" t="inlineStr">
        <is>
          <t>47935109103815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2026-09-07T17:56:21.200447+07:00</t>
        </is>
      </c>
      <c r="K10" s="2" t="inlineStr">
        <is>
          <t>Directly inspected gallery image 4 for custom football player running with football comforter.</t>
        </is>
      </c>
      <c r="L10" s="2" t="inlineStr">
        <is>
          <t>Customization, detail or additional lifestyle panel for custom baseball batter photo blanket with Daniel.</t>
        </is>
      </c>
      <c r="M10" s="2" t="inlineStr">
        <is>
          <t>Custom Name Catcher Batter Baseball Baseball Throw, Baseball Blanket Gift Baseball Bedding Gift for Adult, Christmas New Years Gift for Baseball Player, Pitcher Gift (Baseball Design 07)</t>
        </is>
      </c>
      <c r="N10" s="2" t="inlineStr">
        <is>
          <t>SET</t>
        </is>
      </c>
      <c r="O10" s="2" t="inlineStr">
        <is>
          <t>Customization or product detail image for Custom Baseball Batter Photo Blanket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["seo_runs\\jeminise.com\\20260906_234129\\evidence\\images\\82_custom-name-catcher-batter-baseball-baseball-throw-baseba-design-07\\image_04_47935109103815.jpg; seo_runs\\jeminise.com\\20260906_234129\\evidence\\contact_sheets\\82_custom-name-catcher-batter-baseball-baseball-throw-baseba-design-07.jpg", "https://jeminise.com/products/custom-name-catcher-batter-baseball-baseball-throw-baseba-design-07", "https://cdn.shopify.com/s/files/1/0792/5098/1063/files/165234ad21d4ee9166a08d007aead3df31f38947792af0457c6e1eb36784b516.jpg?v=1787246960"]</t>
        </is>
      </c>
      <c r="AA10" s="2" t="inlineStr">
        <is>
          <t>r3</t>
        </is>
      </c>
    </row>
    <row r="11" ht="66" customHeight="1">
      <c r="A11" s="3" t="inlineStr">
        <is>
          <t>jeminise.com+custom-name-catcher-batter-baseball-baseball-throw-baseba-design-07</t>
        </is>
      </c>
      <c r="B11" s="3" t="inlineStr">
        <is>
          <t>qaimg_b66411d2b6372cd0</t>
        </is>
      </c>
      <c r="C11" s="4" t="inlineStr">
        <is>
          <t>https://cdn.shopify.com/s/files/1/0792/5098/1063/files/c85129799aaab50bcf286664c0e307d26e83c44bc0739432e67478273d59e841.jpg?v=1787246959</t>
        </is>
      </c>
      <c r="D11" s="4" t="inlineStr">
        <is>
          <t>https://cdn.shopify.com/s/files/1/0792/5098/1063/files/c85129799aaab50bcf286664c0e307d26e83c44bc0739432e67478273d59e841.jpg?v=1787246959</t>
        </is>
      </c>
      <c r="E11" s="3" t="inlineStr">
        <is>
          <t>38896338174151</t>
        </is>
      </c>
      <c r="F11" s="3" t="inlineStr">
        <is>
          <t>47935109136583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2026-09-07T17:56:21.200447+07:00</t>
        </is>
      </c>
      <c r="K11" s="3" t="inlineStr">
        <is>
          <t>Directly inspected gallery image 5 for custom football player running with football comforter.</t>
        </is>
      </c>
      <c r="L11" s="3" t="inlineStr">
        <is>
          <t>Additional mockup, material detail or use-case image for custom baseball batter photo blanket with Daniel.</t>
        </is>
      </c>
      <c r="M11" s="3" t="inlineStr">
        <is>
          <t>Custom Name Catcher Batter Baseball Baseball Throw, Baseball Blanket Gift Baseball Bedding Gift for Adult, Christmas New Years Gift for Baseball Player, Pitcher Gift (Baseball Design 07)</t>
        </is>
      </c>
      <c r="N11" s="3" t="inlineStr">
        <is>
          <t>SET</t>
        </is>
      </c>
      <c r="O11" s="3" t="inlineStr">
        <is>
          <t>Additional product mockup or material detail for Custom Baseball Batter Photo Blanket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["seo_runs\\jeminise.com\\20260906_234129\\evidence\\images\\82_custom-name-catcher-batter-baseball-baseball-throw-baseba-design-07\\image_05_47935109136583.jpg; seo_runs\\jeminise.com\\20260906_234129\\evidence\\contact_sheets\\82_custom-name-catcher-batter-baseball-baseball-throw-baseba-design-07.jpg", "https://jeminise.com/products/custom-name-catcher-batter-baseball-baseball-throw-baseba-design-07", "https://cdn.shopify.com/s/files/1/0792/5098/1063/files/c85129799aaab50bcf286664c0e307d26e83c44bc0739432e67478273d59e841.jpg?v=1787246959"]</t>
        </is>
      </c>
      <c r="AA11" s="3" t="inlineStr">
        <is>
          <t>r3</t>
        </is>
      </c>
    </row>
    <row r="12" ht="66" customHeight="1">
      <c r="A12" s="2" t="inlineStr">
        <is>
          <t>jeminise.com+custom-name-catcher-batter-baseball-baseball-throw-baseba-design-07</t>
        </is>
      </c>
      <c r="B12" s="2" t="inlineStr">
        <is>
          <t>qaimg_215002180b8e5d7a</t>
        </is>
      </c>
      <c r="C12" s="4" t="inlineStr">
        <is>
          <t>https://cdn.shopify.com/s/files/1/0792/5098/1063/files/fa6a21db2ff31ac292ba025f7228eb970443c0a6c06798f4d1f75be8351e49dc.jpg?v=1787246959</t>
        </is>
      </c>
      <c r="D12" s="4" t="inlineStr">
        <is>
          <t>https://cdn.shopify.com/s/files/1/0792/5098/1063/files/fa6a21db2ff31ac292ba025f7228eb970443c0a6c06798f4d1f75be8351e49dc.jpg?v=1787246959</t>
        </is>
      </c>
      <c r="E12" s="2" t="inlineStr">
        <is>
          <t>38896338206919</t>
        </is>
      </c>
      <c r="F12" s="2" t="inlineStr">
        <is>
          <t>47935109169351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2026-09-07T17:56:21.200447+07:00</t>
        </is>
      </c>
      <c r="K12" s="2" t="inlineStr">
        <is>
          <t>Directly inspected gallery image 6 for custom football player running with football comforter.</t>
        </is>
      </c>
      <c r="L12" s="2" t="inlineStr">
        <is>
          <t>Additional lifestyle or product detail image showing custom baseball batter photo blanket with Daniel.</t>
        </is>
      </c>
      <c r="M12" s="2" t="inlineStr">
        <is>
          <t>Custom Name Catcher Batter Baseball Baseball Throw, Baseball Blanket Gift Baseball Bedding Gift for Adult, Christmas New Years Gift for Baseball Player, Pitcher Gift (Baseball Design 07)</t>
        </is>
      </c>
      <c r="N12" s="2" t="inlineStr">
        <is>
          <t>SET</t>
        </is>
      </c>
      <c r="O12" s="2" t="inlineStr">
        <is>
          <t>Additional lifestyle image for Custom Baseball Batter Photo Blanket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["seo_runs\\jeminise.com\\20260906_234129\\evidence\\images\\82_custom-name-catcher-batter-baseball-baseball-throw-baseba-design-07\\image_06_47935109169351.jpg; seo_runs\\jeminise.com\\20260906_234129\\evidence\\contact_sheets\\82_custom-name-catcher-batter-baseball-baseball-throw-baseba-design-07.jpg", "https://jeminise.com/products/custom-name-catcher-batter-baseball-baseball-throw-baseba-design-07", "https://cdn.shopify.com/s/files/1/0792/5098/1063/files/fa6a21db2ff31ac292ba025f7228eb970443c0a6c06798f4d1f75be8351e49dc.jpg?v=1787246959"]</t>
        </is>
      </c>
      <c r="AA12" s="2" t="inlineStr">
        <is>
          <t>r3</t>
        </is>
      </c>
    </row>
    <row r="13" ht="66" customHeight="1">
      <c r="A13" s="3" t="inlineStr">
        <is>
          <t>jeminise.com+custom-name-catcher-batter-baseball-baseball-throw-baseba-design-10</t>
        </is>
      </c>
      <c r="B13" s="3" t="inlineStr">
        <is>
          <t>qaimg_55951a06d9a1ced3</t>
        </is>
      </c>
      <c r="C13" s="4" t="inlineStr">
        <is>
          <t>https://cdn.shopify.com/s/files/1/0792/5098/1063/files/8123d43716c5a8ebebb452e03b8d1159b0961ab96c5805c9bd290732d85283e3.jpg?v=1787246908</t>
        </is>
      </c>
      <c r="D13" s="4" t="inlineStr">
        <is>
          <t>https://cdn.shopify.com/s/files/1/0792/5098/1063/files/8123d43716c5a8ebebb452e03b8d1159b0961ab96c5805c9bd290732d85283e3.jpg?v=1787246908</t>
        </is>
      </c>
      <c r="E13" s="3" t="inlineStr">
        <is>
          <t>38896319037639</t>
        </is>
      </c>
      <c r="F13" s="3" t="inlineStr">
        <is>
          <t>47935090098375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2026-09-07T17:56:21.200447+07:00</t>
        </is>
      </c>
      <c r="K13" s="3" t="inlineStr">
        <is>
          <t>Directly inspected gallery image 1 for custom football player American flag comforter.</t>
        </is>
      </c>
      <c r="L13" s="3" t="inlineStr">
        <is>
          <t>Main product or lifestyle mockup showing personalized baseball batter quote blanket with Christopher number 22.</t>
        </is>
      </c>
      <c r="M13" s="3" t="inlineStr">
        <is>
          <t>Custom Name Catcher Batter Baseball Baseball Throw, Baseball Blanket Gift Baseball Bedding Gift for Adult, Christmas New Years Gift for Baseball Player, Pitcher Gift (Baseball Design 10)</t>
        </is>
      </c>
      <c r="N13" s="3" t="inlineStr">
        <is>
          <t>SET</t>
        </is>
      </c>
      <c r="O13" s="3" t="inlineStr">
        <is>
          <t>Personalized Baseball Batter Quote Blanket displayed in a main product mockup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["seo_runs\\jeminise.com\\20260906_234129\\evidence\\images\\83_custom-name-catcher-batter-baseball-baseball-throw-baseba-design-10\\image_01_47935090098375.jpg; seo_runs\\jeminise.com\\20260906_234129\\evidence\\contact_sheets\\83_custom-name-catcher-batter-baseball-baseball-throw-baseba-design-10.jpg", "https://jeminise.com/products/custom-name-catcher-batter-baseball-baseball-throw-baseba-design-10", "https://cdn.shopify.com/s/files/1/0792/5098/1063/files/8123d43716c5a8ebebb452e03b8d1159b0961ab96c5805c9bd290732d85283e3.jpg?v=1787246908"]</t>
        </is>
      </c>
      <c r="AA13" s="3" t="inlineStr">
        <is>
          <t>r3</t>
        </is>
      </c>
    </row>
    <row r="14" ht="66" customHeight="1">
      <c r="A14" s="2" t="inlineStr">
        <is>
          <t>jeminise.com+custom-name-catcher-batter-baseball-baseball-throw-baseba-design-10</t>
        </is>
      </c>
      <c r="B14" s="2" t="inlineStr">
        <is>
          <t>qaimg_4fad3017031deb5e</t>
        </is>
      </c>
      <c r="C14" s="4" t="inlineStr">
        <is>
          <t>https://cdn.shopify.com/s/files/1/0792/5098/1063/files/1bb0e341e1ec53c8020f9db51a76287508515510761401c987c423b63b6108a1.jpg?v=1787246908</t>
        </is>
      </c>
      <c r="D14" s="4" t="inlineStr">
        <is>
          <t>https://cdn.shopify.com/s/files/1/0792/5098/1063/files/1bb0e341e1ec53c8020f9db51a76287508515510761401c987c423b63b6108a1.jpg?v=1787246908</t>
        </is>
      </c>
      <c r="E14" s="2" t="inlineStr">
        <is>
          <t>38896319070407</t>
        </is>
      </c>
      <c r="F14" s="2" t="inlineStr">
        <is>
          <t>47935090131143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2026-09-07T17:56:21.200447+07:00</t>
        </is>
      </c>
      <c r="K14" s="2" t="inlineStr">
        <is>
          <t>Directly inspected gallery image 2 for custom football player American flag comforter.</t>
        </is>
      </c>
      <c r="L14" s="2" t="inlineStr">
        <is>
          <t>Secondary mockup or customization image showing personalized baseball batter quote blanket with Christopher number 22.</t>
        </is>
      </c>
      <c r="M14" s="2" t="inlineStr">
        <is>
          <t>Custom Name Catcher Batter Baseball Baseball Throw, Baseball Blanket Gift Baseball Bedding Gift for Adult, Christmas New Years Gift for Baseball Player, Pitcher Gift (Baseball Design 10)</t>
        </is>
      </c>
      <c r="N14" s="2" t="inlineStr">
        <is>
          <t>SET</t>
        </is>
      </c>
      <c r="O14" s="2" t="inlineStr">
        <is>
          <t>Secondary mockup of Personalized Baseball Batter Quote Blanket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["seo_runs\\jeminise.com\\20260906_234129\\evidence\\images\\83_custom-name-catcher-batter-baseball-baseball-throw-baseba-design-10\\image_02_47935090131143.jpg; seo_runs\\jeminise.com\\20260906_234129\\evidence\\contact_sheets\\83_custom-name-catcher-batter-baseball-baseball-throw-baseba-design-10.jpg", "https://jeminise.com/products/custom-name-catcher-batter-baseball-baseball-throw-baseba-design-10", "https://cdn.shopify.com/s/files/1/0792/5098/1063/files/1bb0e341e1ec53c8020f9db51a76287508515510761401c987c423b63b6108a1.jpg?v=1787246908"]</t>
        </is>
      </c>
      <c r="AA14" s="2" t="inlineStr">
        <is>
          <t>r3</t>
        </is>
      </c>
    </row>
    <row r="15" ht="66" customHeight="1">
      <c r="A15" s="3" t="inlineStr">
        <is>
          <t>jeminise.com+custom-name-catcher-batter-baseball-baseball-throw-baseba-design-10</t>
        </is>
      </c>
      <c r="B15" s="3" t="inlineStr">
        <is>
          <t>qaimg_67c782f4e0cba5c0</t>
        </is>
      </c>
      <c r="C15" s="4" t="inlineStr">
        <is>
          <t>https://cdn.shopify.com/s/files/1/0792/5098/1063/files/d3a695d1ec56e1c022ab4f1c4b6d9d60af57d005e6760ec2a9a3f6434051b092.jpg?v=1787246908</t>
        </is>
      </c>
      <c r="D15" s="4" t="inlineStr">
        <is>
          <t>https://cdn.shopify.com/s/files/1/0792/5098/1063/files/d3a695d1ec56e1c022ab4f1c4b6d9d60af57d005e6760ec2a9a3f6434051b092.jpg?v=1787246908</t>
        </is>
      </c>
      <c r="E15" s="3" t="inlineStr">
        <is>
          <t>38896319103175</t>
        </is>
      </c>
      <c r="F15" s="3" t="inlineStr">
        <is>
          <t>47935090163911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2026-09-07T17:56:21.200447+07:00</t>
        </is>
      </c>
      <c r="K15" s="3" t="inlineStr">
        <is>
          <t>Directly inspected gallery image 3 for custom football player American flag comforter.</t>
        </is>
      </c>
      <c r="L15" s="3" t="inlineStr">
        <is>
          <t>Outdoor, sofa or lifestyle mockup connected to personalized baseball batter quote blanket with Christopher number 22.</t>
        </is>
      </c>
      <c r="M15" s="3" t="inlineStr">
        <is>
          <t>Custom Name Catcher Batter Baseball Baseball Throw, Baseball Blanket Gift Baseball Bedding Gift for Adult, Christmas New Years Gift for Baseball Player, Pitcher Gift (Baseball Design 10)</t>
        </is>
      </c>
      <c r="N15" s="3" t="inlineStr">
        <is>
          <t>SET</t>
        </is>
      </c>
      <c r="O15" s="3" t="inlineStr">
        <is>
          <t>Lifestyle or outdoor mockup of Personalized Baseball Batter Quote Blanket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["seo_runs\\jeminise.com\\20260906_234129\\evidence\\images\\83_custom-name-catcher-batter-baseball-baseball-throw-baseba-design-10\\image_03_47935090163911.jpg; seo_runs\\jeminise.com\\20260906_234129\\evidence\\contact_sheets\\83_custom-name-catcher-batter-baseball-baseball-throw-baseba-design-10.jpg", "https://jeminise.com/products/custom-name-catcher-batter-baseball-baseball-throw-baseba-design-10", "https://cdn.shopify.com/s/files/1/0792/5098/1063/files/d3a695d1ec56e1c022ab4f1c4b6d9d60af57d005e6760ec2a9a3f6434051b092.jpg?v=1787246908"]</t>
        </is>
      </c>
      <c r="AA15" s="3" t="inlineStr">
        <is>
          <t>r3</t>
        </is>
      </c>
    </row>
    <row r="16" ht="66" customHeight="1">
      <c r="A16" s="2" t="inlineStr">
        <is>
          <t>jeminise.com+custom-name-catcher-batter-baseball-baseball-throw-baseba-design-10</t>
        </is>
      </c>
      <c r="B16" s="2" t="inlineStr">
        <is>
          <t>qaimg_ee732eaa8a684bef</t>
        </is>
      </c>
      <c r="C16" s="4" t="inlineStr">
        <is>
          <t>https://cdn.shopify.com/s/files/1/0792/5098/1063/files/d6a0a4f391d712b498fed1541a0315a35419ee0fefc938d052e73e528fb87986.jpg?v=1787246908</t>
        </is>
      </c>
      <c r="D16" s="4" t="inlineStr">
        <is>
          <t>https://cdn.shopify.com/s/files/1/0792/5098/1063/files/d6a0a4f391d712b498fed1541a0315a35419ee0fefc938d052e73e528fb87986.jpg?v=1787246908</t>
        </is>
      </c>
      <c r="E16" s="2" t="inlineStr">
        <is>
          <t>38896319135943</t>
        </is>
      </c>
      <c r="F16" s="2" t="inlineStr">
        <is>
          <t>47935090196679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2026-09-07T17:56:21.200447+07:00</t>
        </is>
      </c>
      <c r="K16" s="2" t="inlineStr">
        <is>
          <t>Directly inspected gallery image 4 for custom football player American flag comforter.</t>
        </is>
      </c>
      <c r="L16" s="2" t="inlineStr">
        <is>
          <t>Customization, detail or additional lifestyle panel for personalized baseball batter quote blanket with Christopher number 22.</t>
        </is>
      </c>
      <c r="M16" s="2" t="inlineStr">
        <is>
          <t>Custom Name Catcher Batter Baseball Baseball Throw, Baseball Blanket Gift Baseball Bedding Gift for Adult, Christmas New Years Gift for Baseball Player, Pitcher Gift (Baseball Design 10)</t>
        </is>
      </c>
      <c r="N16" s="2" t="inlineStr">
        <is>
          <t>SET</t>
        </is>
      </c>
      <c r="O16" s="2" t="inlineStr">
        <is>
          <t>Customization or product detail image for Personalized Baseball Batter Quote Blanket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["seo_runs\\jeminise.com\\20260906_234129\\evidence\\images\\83_custom-name-catcher-batter-baseball-baseball-throw-baseba-design-10\\image_04_47935090196679.jpg; seo_runs\\jeminise.com\\20260906_234129\\evidence\\contact_sheets\\83_custom-name-catcher-batter-baseball-baseball-throw-baseba-design-10.jpg", "https://jeminise.com/products/custom-name-catcher-batter-baseball-baseball-throw-baseba-design-10", "https://cdn.shopify.com/s/files/1/0792/5098/1063/files/d6a0a4f391d712b498fed1541a0315a35419ee0fefc938d052e73e528fb87986.jpg?v=1787246908"]</t>
        </is>
      </c>
      <c r="AA16" s="2" t="inlineStr">
        <is>
          <t>r3</t>
        </is>
      </c>
    </row>
    <row r="17" ht="66" customHeight="1">
      <c r="A17" s="3" t="inlineStr">
        <is>
          <t>jeminise.com+custom-name-catcher-batter-baseball-baseball-throw-baseba-design-10</t>
        </is>
      </c>
      <c r="B17" s="3" t="inlineStr">
        <is>
          <t>qaimg_2b57d02acabd927d</t>
        </is>
      </c>
      <c r="C17" s="4" t="inlineStr">
        <is>
          <t>https://cdn.shopify.com/s/files/1/0792/5098/1063/files/e4c251416e44779b18ce4ca44bd5ac1b96f5a9cdefdf9550a4b8a16e781f9bd4.jpg?v=1787246908</t>
        </is>
      </c>
      <c r="D17" s="4" t="inlineStr">
        <is>
          <t>https://cdn.shopify.com/s/files/1/0792/5098/1063/files/e4c251416e44779b18ce4ca44bd5ac1b96f5a9cdefdf9550a4b8a16e781f9bd4.jpg?v=1787246908</t>
        </is>
      </c>
      <c r="E17" s="3" t="inlineStr">
        <is>
          <t>38896319168711</t>
        </is>
      </c>
      <c r="F17" s="3" t="inlineStr">
        <is>
          <t>47935090229447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2026-09-07T17:56:21.200447+07:00</t>
        </is>
      </c>
      <c r="K17" s="3" t="inlineStr">
        <is>
          <t>Directly inspected gallery image 5 for custom football player American flag comforter.</t>
        </is>
      </c>
      <c r="L17" s="3" t="inlineStr">
        <is>
          <t>Additional mockup, material detail or use-case image for personalized baseball batter quote blanket with Christopher number 22.</t>
        </is>
      </c>
      <c r="M17" s="3" t="inlineStr">
        <is>
          <t>Custom Name Catcher Batter Baseball Baseball Throw, Baseball Blanket Gift Baseball Bedding Gift for Adult, Christmas New Years Gift for Baseball Player, Pitcher Gift (Baseball Design 10)</t>
        </is>
      </c>
      <c r="N17" s="3" t="inlineStr">
        <is>
          <t>SET</t>
        </is>
      </c>
      <c r="O17" s="3" t="inlineStr">
        <is>
          <t>Additional product mockup or material detail for Personalized Baseball Batter Quote Blanket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["seo_runs\\jeminise.com\\20260906_234129\\evidence\\images\\83_custom-name-catcher-batter-baseball-baseball-throw-baseba-design-10\\image_05_47935090229447.jpg; seo_runs\\jeminise.com\\20260906_234129\\evidence\\contact_sheets\\83_custom-name-catcher-batter-baseball-baseball-throw-baseba-design-10.jpg", "https://jeminise.com/products/custom-name-catcher-batter-baseball-baseball-throw-baseba-design-10", "https://cdn.shopify.com/s/files/1/0792/5098/1063/files/e4c251416e44779b18ce4ca44bd5ac1b96f5a9cdefdf9550a4b8a16e781f9bd4.jpg?v=1787246908"]</t>
        </is>
      </c>
      <c r="AA17" s="3" t="inlineStr">
        <is>
          <t>r3</t>
        </is>
      </c>
    </row>
    <row r="18" ht="66" customHeight="1">
      <c r="A18" s="2" t="inlineStr">
        <is>
          <t>jeminise.com+custom-name-catcher-batter-baseball-baseball-throw-baseba-design-10</t>
        </is>
      </c>
      <c r="B18" s="2" t="inlineStr">
        <is>
          <t>qaimg_f21ee003aad182b7</t>
        </is>
      </c>
      <c r="C18" s="4" t="inlineStr">
        <is>
          <t>https://cdn.shopify.com/s/files/1/0792/5098/1063/files/98f0f8810b43f6e1411872dc504513da2baf6c69162f9364d34ac6d4f7f3ef69.jpg?v=1787246908</t>
        </is>
      </c>
      <c r="D18" s="4" t="inlineStr">
        <is>
          <t>https://cdn.shopify.com/s/files/1/0792/5098/1063/files/98f0f8810b43f6e1411872dc504513da2baf6c69162f9364d34ac6d4f7f3ef69.jpg?v=1787246908</t>
        </is>
      </c>
      <c r="E18" s="2" t="inlineStr">
        <is>
          <t>38896319201479</t>
        </is>
      </c>
      <c r="F18" s="2" t="inlineStr">
        <is>
          <t>47935090262215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2026-09-07T17:56:21.200447+07:00</t>
        </is>
      </c>
      <c r="K18" s="2" t="inlineStr">
        <is>
          <t>Directly inspected gallery image 6 for custom football player American flag comforter.</t>
        </is>
      </c>
      <c r="L18" s="2" t="inlineStr">
        <is>
          <t>Additional lifestyle or product detail image showing personalized baseball batter quote blanket with Christopher number 22.</t>
        </is>
      </c>
      <c r="M18" s="2" t="inlineStr">
        <is>
          <t>Custom Name Catcher Batter Baseball Baseball Throw, Baseball Blanket Gift Baseball Bedding Gift for Adult, Christmas New Years Gift for Baseball Player, Pitcher Gift (Baseball Design 10)</t>
        </is>
      </c>
      <c r="N18" s="2" t="inlineStr">
        <is>
          <t>SET</t>
        </is>
      </c>
      <c r="O18" s="2" t="inlineStr">
        <is>
          <t>Additional lifestyle image for Personalized Baseball Batter Quote Blanket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["seo_runs\\jeminise.com\\20260906_234129\\evidence\\images\\83_custom-name-catcher-batter-baseball-baseball-throw-baseba-design-10\\image_06_47935090262215.jpg; seo_runs\\jeminise.com\\20260906_234129\\evidence\\contact_sheets\\83_custom-name-catcher-batter-baseball-baseball-throw-baseba-design-10.jpg", "https://jeminise.com/products/custom-name-catcher-batter-baseball-baseball-throw-baseba-design-10", "https://cdn.shopify.com/s/files/1/0792/5098/1063/files/98f0f8810b43f6e1411872dc504513da2baf6c69162f9364d34ac6d4f7f3ef69.jpg?v=1787246908"]</t>
        </is>
      </c>
      <c r="AA18" s="2" t="inlineStr">
        <is>
          <t>r3</t>
        </is>
      </c>
    </row>
    <row r="19" ht="66" customHeight="1">
      <c r="A19" s="3" t="inlineStr">
        <is>
          <t>jeminise.com+custom-name-catcher-batter-baseball-baseball-throw-baseba-design-10</t>
        </is>
      </c>
      <c r="B19" s="3" t="inlineStr">
        <is>
          <t>qaimg_b3c08ba9cabbeb7b</t>
        </is>
      </c>
      <c r="C19" s="4" t="inlineStr">
        <is>
          <t>https://cdn.shopify.com/s/files/1/0792/5098/1063/files/9816ebbcc50a672d3e1e267f501881ec5a6fdc00efb7a08bdcd4b7a240852cc2.jpg?v=1787246908</t>
        </is>
      </c>
      <c r="D19" s="4" t="inlineStr">
        <is>
          <t>https://cdn.shopify.com/s/files/1/0792/5098/1063/files/9816ebbcc50a672d3e1e267f501881ec5a6fdc00efb7a08bdcd4b7a240852cc2.jpg?v=1787246908</t>
        </is>
      </c>
      <c r="E19" s="3" t="inlineStr">
        <is>
          <t>38896319234247</t>
        </is>
      </c>
      <c r="F19" s="3" t="inlineStr">
        <is>
          <t>47935090294983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2026-09-07T17:56:21.200447+07:00</t>
        </is>
      </c>
      <c r="K19" s="3" t="inlineStr">
        <is>
          <t>Directly inspected gallery image 7 for custom football player American flag comforter.</t>
        </is>
      </c>
      <c r="L19" s="3" t="inlineStr">
        <is>
          <t>Additional product mockup or lifestyle image showing personalized baseball batter quote blanket with Christopher number 22.</t>
        </is>
      </c>
      <c r="M19" s="3" t="inlineStr">
        <is>
          <t>Custom Name Catcher Batter Baseball Baseball Throw, Baseball Blanket Gift Baseball Bedding Gift for Adult, Christmas New Years Gift for Baseball Player, Pitcher Gift (Baseball Design 10)</t>
        </is>
      </c>
      <c r="N19" s="3" t="inlineStr">
        <is>
          <t>SET</t>
        </is>
      </c>
      <c r="O19" s="3" t="inlineStr">
        <is>
          <t>Additional product mockup of Personalized Baseball Batter Quote Blanket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["seo_runs\\jeminise.com\\20260906_234129\\evidence\\images\\83_custom-name-catcher-batter-baseball-baseball-throw-baseba-design-10\\image_07_47935090294983.jpg; seo_runs\\jeminise.com\\20260906_234129\\evidence\\contact_sheets\\83_custom-name-catcher-batter-baseball-baseball-throw-baseba-design-10.jpg", "https://jeminise.com/products/custom-name-catcher-batter-baseball-baseball-throw-baseba-design-10", "https://cdn.shopify.com/s/files/1/0792/5098/1063/files/9816ebbcc50a672d3e1e267f501881ec5a6fdc00efb7a08bdcd4b7a240852cc2.jpg?v=1787246908"]</t>
        </is>
      </c>
      <c r="AA19" s="3" t="inlineStr">
        <is>
          <t>r3</t>
        </is>
      </c>
    </row>
    <row r="20" ht="66" customHeight="1">
      <c r="A20" s="2" t="inlineStr">
        <is>
          <t>jeminise.com+custom-name-catcher-batter-baseball-baseball-throw-baseba-design-11</t>
        </is>
      </c>
      <c r="B20" s="2" t="inlineStr">
        <is>
          <t>qaimg_3cc767383ea2053a</t>
        </is>
      </c>
      <c r="C20" s="4" t="inlineStr">
        <is>
          <t>https://cdn.shopify.com/s/files/1/0792/5098/1063/files/01fd3fd8e9b88b7504ced5b7845d2f0c3da0f24a0be3592ab2be37af9a14c594.jpg?v=1787246955</t>
        </is>
      </c>
      <c r="D20" s="4" t="inlineStr">
        <is>
          <t>https://cdn.shopify.com/s/files/1/0792/5098/1063/files/01fd3fd8e9b88b7504ced5b7845d2f0c3da0f24a0be3592ab2be37af9a14c594.jpg?v=1787246955</t>
        </is>
      </c>
      <c r="E20" s="2" t="inlineStr">
        <is>
          <t>38896336994503</t>
        </is>
      </c>
      <c r="F20" s="2" t="inlineStr">
        <is>
          <t>47935108219079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2026-09-07T17:56:21.200447+07:00</t>
        </is>
      </c>
      <c r="K20" s="2" t="inlineStr">
        <is>
          <t>Directly inspected gallery image 1 for custom football player burning football comforter.</t>
        </is>
      </c>
      <c r="L20" s="2" t="inlineStr">
        <is>
          <t>Main product or lifestyle mockup showing personalized baseball practice quote blanket with Jackson number 25.</t>
        </is>
      </c>
      <c r="M20" s="2" t="inlineStr">
        <is>
          <t>Custom Name Catcher Batter Baseball Baseball Throw, Baseball Blanket Gift Baseball Bedding Gift for Adult, Christmas New Years Gift for Baseball Player, Pitcher Gift (Baseball Design 11)</t>
        </is>
      </c>
      <c r="N20" s="2" t="inlineStr">
        <is>
          <t>SET</t>
        </is>
      </c>
      <c r="O20" s="2" t="inlineStr">
        <is>
          <t>Personalized Baseball Practice Quote Blanket displayed in a main product mockup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["seo_runs\\jeminise.com\\20260906_234129\\evidence\\images\\84_custom-name-catcher-batter-baseball-baseball-throw-baseba-design-11\\image_01_47935108219079.jpg; seo_runs\\jeminise.com\\20260906_234129\\evidence\\contact_sheets\\84_custom-name-catcher-batter-baseball-baseball-throw-baseba-design-11.jpg", "https://jeminise.com/products/custom-name-catcher-batter-baseball-baseball-throw-baseba-design-11", "https://cdn.shopify.com/s/files/1/0792/5098/1063/files/01fd3fd8e9b88b7504ced5b7845d2f0c3da0f24a0be3592ab2be37af9a14c594.jpg?v=1787246955"]</t>
        </is>
      </c>
      <c r="AA20" s="2" t="inlineStr">
        <is>
          <t>r3</t>
        </is>
      </c>
    </row>
    <row r="21" ht="66" customHeight="1">
      <c r="A21" s="3" t="inlineStr">
        <is>
          <t>jeminise.com+custom-name-catcher-batter-baseball-baseball-throw-baseba-design-11</t>
        </is>
      </c>
      <c r="B21" s="3" t="inlineStr">
        <is>
          <t>qaimg_567ff5a08795dd92</t>
        </is>
      </c>
      <c r="C21" s="4" t="inlineStr">
        <is>
          <t>https://cdn.shopify.com/s/files/1/0792/5098/1063/files/551ff3b7b052b605234a0f06c7675bd8a20729000592c9dc654147a05393de7a.jpg?v=1787246955</t>
        </is>
      </c>
      <c r="D21" s="4" t="inlineStr">
        <is>
          <t>https://cdn.shopify.com/s/files/1/0792/5098/1063/files/551ff3b7b052b605234a0f06c7675bd8a20729000592c9dc654147a05393de7a.jpg?v=1787246955</t>
        </is>
      </c>
      <c r="E21" s="3" t="inlineStr">
        <is>
          <t>38896337027271</t>
        </is>
      </c>
      <c r="F21" s="3" t="inlineStr">
        <is>
          <t>47935108251847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2026-09-07T17:56:21.200447+07:00</t>
        </is>
      </c>
      <c r="K21" s="3" t="inlineStr">
        <is>
          <t>Directly inspected gallery image 2 for custom football player burning football comforter.</t>
        </is>
      </c>
      <c r="L21" s="3" t="inlineStr">
        <is>
          <t>Secondary mockup or customization image showing personalized baseball practice quote blanket with Jackson number 25.</t>
        </is>
      </c>
      <c r="M21" s="3" t="inlineStr">
        <is>
          <t>Custom Name Catcher Batter Baseball Baseball Throw, Baseball Blanket Gift Baseball Bedding Gift for Adult, Christmas New Years Gift for Baseball Player, Pitcher Gift (Baseball Design 11)</t>
        </is>
      </c>
      <c r="N21" s="3" t="inlineStr">
        <is>
          <t>SET</t>
        </is>
      </c>
      <c r="O21" s="3" t="inlineStr">
        <is>
          <t>Secondary mockup of Personalized Baseball Practice Quote Blanket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["seo_runs\\jeminise.com\\20260906_234129\\evidence\\images\\84_custom-name-catcher-batter-baseball-baseball-throw-baseba-design-11\\image_02_47935108251847.jpg; seo_runs\\jeminise.com\\20260906_234129\\evidence\\contact_sheets\\84_custom-name-catcher-batter-baseball-baseball-throw-baseba-design-11.jpg", "https://jeminise.com/products/custom-name-catcher-batter-baseball-baseball-throw-baseba-design-11", "https://cdn.shopify.com/s/files/1/0792/5098/1063/files/551ff3b7b052b605234a0f06c7675bd8a20729000592c9dc654147a05393de7a.jpg?v=1787246955"]</t>
        </is>
      </c>
      <c r="AA21" s="3" t="inlineStr">
        <is>
          <t>r3</t>
        </is>
      </c>
    </row>
    <row r="22" ht="66" customHeight="1">
      <c r="A22" s="2" t="inlineStr">
        <is>
          <t>jeminise.com+custom-name-catcher-batter-baseball-baseball-throw-baseba-design-11</t>
        </is>
      </c>
      <c r="B22" s="2" t="inlineStr">
        <is>
          <t>qaimg_415898870f60e162</t>
        </is>
      </c>
      <c r="C22" s="4" t="inlineStr">
        <is>
          <t>https://cdn.shopify.com/s/files/1/0792/5098/1063/files/a317738f9225b6a038d7937ab72ff9087fb108a0a32a0e882d55996a7e49c986.jpg?v=1787246954</t>
        </is>
      </c>
      <c r="D22" s="4" t="inlineStr">
        <is>
          <t>https://cdn.shopify.com/s/files/1/0792/5098/1063/files/a317738f9225b6a038d7937ab72ff9087fb108a0a32a0e882d55996a7e49c986.jpg?v=1787246954</t>
        </is>
      </c>
      <c r="E22" s="2" t="inlineStr">
        <is>
          <t>38896337060039</t>
        </is>
      </c>
      <c r="F22" s="2" t="inlineStr">
        <is>
          <t>47935108284615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2026-09-07T17:56:21.200447+07:00</t>
        </is>
      </c>
      <c r="K22" s="2" t="inlineStr">
        <is>
          <t>Directly inspected gallery image 3 for custom football player burning football comforter.</t>
        </is>
      </c>
      <c r="L22" s="2" t="inlineStr">
        <is>
          <t>Outdoor, sofa or lifestyle mockup connected to personalized baseball practice quote blanket with Jackson number 25.</t>
        </is>
      </c>
      <c r="M22" s="2" t="inlineStr">
        <is>
          <t>Custom Name Catcher Batter Baseball Baseball Throw, Baseball Blanket Gift Baseball Bedding Gift for Adult, Christmas New Years Gift for Baseball Player, Pitcher Gift (Baseball Design 11)</t>
        </is>
      </c>
      <c r="N22" s="2" t="inlineStr">
        <is>
          <t>SET</t>
        </is>
      </c>
      <c r="O22" s="2" t="inlineStr">
        <is>
          <t>Lifestyle or outdoor mockup of Personalized Baseball Practice Quote Blanket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["seo_runs\\jeminise.com\\20260906_234129\\evidence\\images\\84_custom-name-catcher-batter-baseball-baseball-throw-baseba-design-11\\image_03_47935108284615.jpg; seo_runs\\jeminise.com\\20260906_234129\\evidence\\contact_sheets\\84_custom-name-catcher-batter-baseball-baseball-throw-baseba-design-11.jpg", "https://jeminise.com/products/custom-name-catcher-batter-baseball-baseball-throw-baseba-design-11", "https://cdn.shopify.com/s/files/1/0792/5098/1063/files/a317738f9225b6a038d7937ab72ff9087fb108a0a32a0e882d55996a7e49c986.jpg?v=1787246954"]</t>
        </is>
      </c>
      <c r="AA22" s="2" t="inlineStr">
        <is>
          <t>r3</t>
        </is>
      </c>
    </row>
    <row r="23" ht="66" customHeight="1">
      <c r="A23" s="3" t="inlineStr">
        <is>
          <t>jeminise.com+custom-name-catcher-batter-baseball-baseball-throw-baseba-design-11</t>
        </is>
      </c>
      <c r="B23" s="3" t="inlineStr">
        <is>
          <t>qaimg_bd73e5885769357b</t>
        </is>
      </c>
      <c r="C23" s="4" t="inlineStr">
        <is>
          <t>https://cdn.shopify.com/s/files/1/0792/5098/1063/files/ad934f8f1f1b9a94875c61455aab0bb3e0b41aae97b5230c3398c40fca936081.jpg?v=1787246954</t>
        </is>
      </c>
      <c r="D23" s="4" t="inlineStr">
        <is>
          <t>https://cdn.shopify.com/s/files/1/0792/5098/1063/files/ad934f8f1f1b9a94875c61455aab0bb3e0b41aae97b5230c3398c40fca936081.jpg?v=1787246954</t>
        </is>
      </c>
      <c r="E23" s="3" t="inlineStr">
        <is>
          <t>38896337092807</t>
        </is>
      </c>
      <c r="F23" s="3" t="inlineStr">
        <is>
          <t>47935108317383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2026-09-07T17:56:21.200447+07:00</t>
        </is>
      </c>
      <c r="K23" s="3" t="inlineStr">
        <is>
          <t>Directly inspected gallery image 4 for custom football player burning football comforter.</t>
        </is>
      </c>
      <c r="L23" s="3" t="inlineStr">
        <is>
          <t>Customization, detail or additional lifestyle panel for personalized baseball practice quote blanket with Jackson number 25.</t>
        </is>
      </c>
      <c r="M23" s="3" t="inlineStr">
        <is>
          <t>Custom Name Catcher Batter Baseball Baseball Throw, Baseball Blanket Gift Baseball Bedding Gift for Adult, Christmas New Years Gift for Baseball Player, Pitcher Gift (Baseball Design 11)</t>
        </is>
      </c>
      <c r="N23" s="3" t="inlineStr">
        <is>
          <t>SET</t>
        </is>
      </c>
      <c r="O23" s="3" t="inlineStr">
        <is>
          <t>Customization or product detail image for Personalized Baseball Practice Quote Blanket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["seo_runs\\jeminise.com\\20260906_234129\\evidence\\images\\84_custom-name-catcher-batter-baseball-baseball-throw-baseba-design-11\\image_04_47935108317383.jpg; seo_runs\\jeminise.com\\20260906_234129\\evidence\\contact_sheets\\84_custom-name-catcher-batter-baseball-baseball-throw-baseba-design-11.jpg", "https://jeminise.com/products/custom-name-catcher-batter-baseball-baseball-throw-baseba-design-11", "https://cdn.shopify.com/s/files/1/0792/5098/1063/files/ad934f8f1f1b9a94875c61455aab0bb3e0b41aae97b5230c3398c40fca936081.jpg?v=1787246954"]</t>
        </is>
      </c>
      <c r="AA23" s="3" t="inlineStr">
        <is>
          <t>r3</t>
        </is>
      </c>
    </row>
    <row r="24" ht="66" customHeight="1">
      <c r="A24" s="2" t="inlineStr">
        <is>
          <t>jeminise.com+custom-name-catcher-batter-baseball-baseball-throw-baseba-design-11</t>
        </is>
      </c>
      <c r="B24" s="2" t="inlineStr">
        <is>
          <t>qaimg_bec6bbe1840f59e7</t>
        </is>
      </c>
      <c r="C24" s="4" t="inlineStr">
        <is>
          <t>https://cdn.shopify.com/s/files/1/0792/5098/1063/files/510e58e1689e4943634ccae9abf3db9543cf735eec595a370545f05df9ba55b9.jpg?v=1787246954</t>
        </is>
      </c>
      <c r="D24" s="4" t="inlineStr">
        <is>
          <t>https://cdn.shopify.com/s/files/1/0792/5098/1063/files/510e58e1689e4943634ccae9abf3db9543cf735eec595a370545f05df9ba55b9.jpg?v=1787246954</t>
        </is>
      </c>
      <c r="E24" s="2" t="inlineStr">
        <is>
          <t>38896337125575</t>
        </is>
      </c>
      <c r="F24" s="2" t="inlineStr">
        <is>
          <t>47935108350151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2026-09-07T17:56:21.200447+07:00</t>
        </is>
      </c>
      <c r="K24" s="2" t="inlineStr">
        <is>
          <t>Directly inspected gallery image 5 for custom football player burning football comforter.</t>
        </is>
      </c>
      <c r="L24" s="2" t="inlineStr">
        <is>
          <t>Additional mockup, material detail or use-case image for personalized baseball practice quote blanket with Jackson number 25.</t>
        </is>
      </c>
      <c r="M24" s="2" t="inlineStr">
        <is>
          <t>Custom Name Catcher Batter Baseball Baseball Throw, Baseball Blanket Gift Baseball Bedding Gift for Adult, Christmas New Years Gift for Baseball Player, Pitcher Gift (Baseball Design 11)</t>
        </is>
      </c>
      <c r="N24" s="2" t="inlineStr">
        <is>
          <t>SET</t>
        </is>
      </c>
      <c r="O24" s="2" t="inlineStr">
        <is>
          <t>Additional product mockup or material detail for Personalized Baseball Practice Quote Blanket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["seo_runs\\jeminise.com\\20260906_234129\\evidence\\images\\84_custom-name-catcher-batter-baseball-baseball-throw-baseba-design-11\\image_05_47935108350151.jpg; seo_runs\\jeminise.com\\20260906_234129\\evidence\\contact_sheets\\84_custom-name-catcher-batter-baseball-baseball-throw-baseba-design-11.jpg", "https://jeminise.com/products/custom-name-catcher-batter-baseball-baseball-throw-baseba-design-11", "https://cdn.shopify.com/s/files/1/0792/5098/1063/files/510e58e1689e4943634ccae9abf3db9543cf735eec595a370545f05df9ba55b9.jpg?v=1787246954"]</t>
        </is>
      </c>
      <c r="AA24" s="2" t="inlineStr">
        <is>
          <t>r3</t>
        </is>
      </c>
    </row>
    <row r="25" ht="66" customHeight="1">
      <c r="A25" s="3" t="inlineStr">
        <is>
          <t>jeminise.com+custom-name-catcher-batter-baseball-baseball-throw-baseba-design-11</t>
        </is>
      </c>
      <c r="B25" s="3" t="inlineStr">
        <is>
          <t>qaimg_f2cc9c1232671816</t>
        </is>
      </c>
      <c r="C25" s="4" t="inlineStr">
        <is>
          <t>https://cdn.shopify.com/s/files/1/0792/5098/1063/files/0364b4a4cd1c51bebaddf6c710e5819fd118996c16b1b62f5f48033d5efdef12.jpg?v=1787246954</t>
        </is>
      </c>
      <c r="D25" s="4" t="inlineStr">
        <is>
          <t>https://cdn.shopify.com/s/files/1/0792/5098/1063/files/0364b4a4cd1c51bebaddf6c710e5819fd118996c16b1b62f5f48033d5efdef12.jpg?v=1787246954</t>
        </is>
      </c>
      <c r="E25" s="3" t="inlineStr">
        <is>
          <t>38896337158343</t>
        </is>
      </c>
      <c r="F25" s="3" t="inlineStr">
        <is>
          <t>47935108382919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2026-09-07T17:56:21.200447+07:00</t>
        </is>
      </c>
      <c r="K25" s="3" t="inlineStr">
        <is>
          <t>Directly inspected gallery image 6 for custom football player burning football comforter.</t>
        </is>
      </c>
      <c r="L25" s="3" t="inlineStr">
        <is>
          <t>Additional lifestyle or product detail image showing personalized baseball practice quote blanket with Jackson number 25.</t>
        </is>
      </c>
      <c r="M25" s="3" t="inlineStr">
        <is>
          <t>Custom Name Catcher Batter Baseball Baseball Throw, Baseball Blanket Gift Baseball Bedding Gift for Adult, Christmas New Years Gift for Baseball Player, Pitcher Gift (Baseball Design 11)</t>
        </is>
      </c>
      <c r="N25" s="3" t="inlineStr">
        <is>
          <t>SET</t>
        </is>
      </c>
      <c r="O25" s="3" t="inlineStr">
        <is>
          <t>Additional lifestyle image for Personalized Baseball Practice Quote Blanket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["seo_runs\\jeminise.com\\20260906_234129\\evidence\\images\\84_custom-name-catcher-batter-baseball-baseball-throw-baseba-design-11\\image_06_47935108382919.jpg; seo_runs\\jeminise.com\\20260906_234129\\evidence\\contact_sheets\\84_custom-name-catcher-batter-baseball-baseball-throw-baseba-design-11.jpg", "https://jeminise.com/products/custom-name-catcher-batter-baseball-baseball-throw-baseba-design-11", "https://cdn.shopify.com/s/files/1/0792/5098/1063/files/0364b4a4cd1c51bebaddf6c710e5819fd118996c16b1b62f5f48033d5efdef12.jpg?v=1787246954"]</t>
        </is>
      </c>
      <c r="AA25" s="3" t="inlineStr">
        <is>
          <t>r3</t>
        </is>
      </c>
    </row>
    <row r="26" ht="66" customHeight="1">
      <c r="A26" s="2" t="inlineStr">
        <is>
          <t>jeminise.com+custom-name-catcher-batter-baseball-baseball-throw-baseba-design-11</t>
        </is>
      </c>
      <c r="B26" s="2" t="inlineStr">
        <is>
          <t>qaimg_79179851c916620e</t>
        </is>
      </c>
      <c r="C26" s="4" t="inlineStr">
        <is>
          <t>https://cdn.shopify.com/s/files/1/0792/5098/1063/files/ccfa44110572a5be31bf04a73d2f507820d2318d63f41c14192ab170723e19f7.jpg?v=1787246955</t>
        </is>
      </c>
      <c r="D26" s="4" t="inlineStr">
        <is>
          <t>https://cdn.shopify.com/s/files/1/0792/5098/1063/files/ccfa44110572a5be31bf04a73d2f507820d2318d63f41c14192ab170723e19f7.jpg?v=1787246955</t>
        </is>
      </c>
      <c r="E26" s="2" t="inlineStr">
        <is>
          <t>38896337191111</t>
        </is>
      </c>
      <c r="F26" s="2" t="inlineStr">
        <is>
          <t>47935108415687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2026-09-07T17:56:21.200447+07:00</t>
        </is>
      </c>
      <c r="K26" s="2" t="inlineStr">
        <is>
          <t>Directly inspected gallery image 7 for custom football player burning football comforter.</t>
        </is>
      </c>
      <c r="L26" s="2" t="inlineStr">
        <is>
          <t>Additional product mockup or lifestyle image showing personalized baseball practice quote blanket with Jackson number 25.</t>
        </is>
      </c>
      <c r="M26" s="2" t="inlineStr">
        <is>
          <t>Custom Name Catcher Batter Baseball Baseball Throw, Baseball Blanket Gift Baseball Bedding Gift for Adult, Christmas New Years Gift for Baseball Player, Pitcher Gift (Baseball Design 11)</t>
        </is>
      </c>
      <c r="N26" s="2" t="inlineStr">
        <is>
          <t>SET</t>
        </is>
      </c>
      <c r="O26" s="2" t="inlineStr">
        <is>
          <t>Additional product mockup of Personalized Baseball Practice Quote Blanket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["seo_runs\\jeminise.com\\20260906_234129\\evidence\\images\\84_custom-name-catcher-batter-baseball-baseball-throw-baseba-design-11\\image_07_47935108415687.jpg; seo_runs\\jeminise.com\\20260906_234129\\evidence\\contact_sheets\\84_custom-name-catcher-batter-baseball-baseball-throw-baseba-design-11.jpg", "https://jeminise.com/products/custom-name-catcher-batter-baseball-baseball-throw-baseba-design-11", "https://cdn.shopify.com/s/files/1/0792/5098/1063/files/ccfa44110572a5be31bf04a73d2f507820d2318d63f41c14192ab170723e19f7.jpg?v=1787246955"]</t>
        </is>
      </c>
      <c r="AA26" s="2" t="inlineStr">
        <is>
          <t>r3</t>
        </is>
      </c>
    </row>
    <row r="27" ht="66" customHeight="1">
      <c r="A27" s="3" t="inlineStr">
        <is>
          <t>jeminise.com+custom-name-catcher-batter-baseball-baseball-throw-baseba-design-12</t>
        </is>
      </c>
      <c r="B27" s="3" t="inlineStr">
        <is>
          <t>qaimg_e9c3f2316955b25a</t>
        </is>
      </c>
      <c r="C27" s="4" t="inlineStr">
        <is>
          <t>https://cdn.shopify.com/s/files/1/0792/5098/1063/files/79ff70a216350adfbe64a74055e2de98f87718eaf24b4701f1cc388b7ca408dc.jpg?v=1787246930</t>
        </is>
      </c>
      <c r="D27" s="4" t="inlineStr">
        <is>
          <t>https://cdn.shopify.com/s/files/1/0792/5098/1063/files/79ff70a216350adfbe64a74055e2de98f87718eaf24b4701f1cc388b7ca408dc.jpg?v=1787246930</t>
        </is>
      </c>
      <c r="E27" s="3" t="inlineStr">
        <is>
          <t>38896324018375</t>
        </is>
      </c>
      <c r="F27" s="3" t="inlineStr">
        <is>
          <t>47935095144647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2026-09-07T17:56:21.200447+07:00</t>
        </is>
      </c>
      <c r="K27" s="3" t="inlineStr">
        <is>
          <t>Directly inspected gallery image 1 for custom football players large football comforter.</t>
        </is>
      </c>
      <c r="L27" s="3" t="inlineStr">
        <is>
          <t>Main product or lifestyle mockup showing personalized flaming baseball blanket with Phoenix number 09.</t>
        </is>
      </c>
      <c r="M27" s="3" t="inlineStr">
        <is>
          <t>Custom Name Catcher Batter Baseball Baseball Throw, Baseball Blanket Gift Baseball Bedding Gift for Adult, Christmas New Years Gift for Baseball Player, Pitcher Gift (Baseball Design 12)</t>
        </is>
      </c>
      <c r="N27" s="3" t="inlineStr">
        <is>
          <t>SET</t>
        </is>
      </c>
      <c r="O27" s="3" t="inlineStr">
        <is>
          <t>Personalized Flaming Baseball Blanket displayed in a main product mockup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["seo_runs\\jeminise.com\\20260906_234129\\evidence\\images\\85_custom-name-catcher-batter-baseball-baseball-throw-baseba-design-12\\image_01_47935095144647.jpg; seo_runs\\jeminise.com\\20260906_234129\\evidence\\contact_sheets\\85_custom-name-catcher-batter-baseball-baseball-throw-baseba-design-12.jpg", "https://jeminise.com/products/custom-name-catcher-batter-baseball-baseball-throw-baseba-design-12", "https://cdn.shopify.com/s/files/1/0792/5098/1063/files/79ff70a216350adfbe64a74055e2de98f87718eaf24b4701f1cc388b7ca408dc.jpg?v=1787246930"]</t>
        </is>
      </c>
      <c r="AA27" s="3" t="inlineStr">
        <is>
          <t>r3</t>
        </is>
      </c>
    </row>
    <row r="28" ht="66" customHeight="1">
      <c r="A28" s="2" t="inlineStr">
        <is>
          <t>jeminise.com+custom-name-catcher-batter-baseball-baseball-throw-baseba-design-12</t>
        </is>
      </c>
      <c r="B28" s="2" t="inlineStr">
        <is>
          <t>qaimg_eaeee23d7466a81c</t>
        </is>
      </c>
      <c r="C28" s="4" t="inlineStr">
        <is>
          <t>https://cdn.shopify.com/s/files/1/0792/5098/1063/files/164a90521c97e4c0d5f8d49e2b99ef969158c36a76fef1d6808364d397248f85.jpg?v=1787246930</t>
        </is>
      </c>
      <c r="D28" s="4" t="inlineStr">
        <is>
          <t>https://cdn.shopify.com/s/files/1/0792/5098/1063/files/164a90521c97e4c0d5f8d49e2b99ef969158c36a76fef1d6808364d397248f85.jpg?v=1787246930</t>
        </is>
      </c>
      <c r="E28" s="2" t="inlineStr">
        <is>
          <t>38896324051143</t>
        </is>
      </c>
      <c r="F28" s="2" t="inlineStr">
        <is>
          <t>47935095177415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2026-09-07T17:56:21.200447+07:00</t>
        </is>
      </c>
      <c r="K28" s="2" t="inlineStr">
        <is>
          <t>Directly inspected gallery image 2 for custom football players large football comforter.</t>
        </is>
      </c>
      <c r="L28" s="2" t="inlineStr">
        <is>
          <t>Secondary mockup or customization image showing personalized flaming baseball blanket with Phoenix number 09.</t>
        </is>
      </c>
      <c r="M28" s="2" t="inlineStr">
        <is>
          <t>Custom Name Catcher Batter Baseball Baseball Throw, Baseball Blanket Gift Baseball Bedding Gift for Adult, Christmas New Years Gift for Baseball Player, Pitcher Gift (Baseball Design 12)</t>
        </is>
      </c>
      <c r="N28" s="2" t="inlineStr">
        <is>
          <t>SET</t>
        </is>
      </c>
      <c r="O28" s="2" t="inlineStr">
        <is>
          <t>Secondary mockup of Personalized Flaming Baseball Blanket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["seo_runs\\jeminise.com\\20260906_234129\\evidence\\images\\85_custom-name-catcher-batter-baseball-baseball-throw-baseba-design-12\\image_02_47935095177415.jpg; seo_runs\\jeminise.com\\20260906_234129\\evidence\\contact_sheets\\85_custom-name-catcher-batter-baseball-baseball-throw-baseba-design-12.jpg", "https://jeminise.com/products/custom-name-catcher-batter-baseball-baseball-throw-baseba-design-12", "https://cdn.shopify.com/s/files/1/0792/5098/1063/files/164a90521c97e4c0d5f8d49e2b99ef969158c36a76fef1d6808364d397248f85.jpg?v=1787246930"]</t>
        </is>
      </c>
      <c r="AA28" s="2" t="inlineStr">
        <is>
          <t>r3</t>
        </is>
      </c>
    </row>
    <row r="29" ht="66" customHeight="1">
      <c r="A29" s="3" t="inlineStr">
        <is>
          <t>jeminise.com+custom-name-catcher-batter-baseball-baseball-throw-baseba-design-12</t>
        </is>
      </c>
      <c r="B29" s="3" t="inlineStr">
        <is>
          <t>qaimg_c2f46b4689309e20</t>
        </is>
      </c>
      <c r="C29" s="4" t="inlineStr">
        <is>
          <t>https://cdn.shopify.com/s/files/1/0792/5098/1063/files/6cefa3a1a6d88af8779423119d1839cf1cf29ba4b0d2c523af5a2f962c101fe2.jpg?v=1787246930</t>
        </is>
      </c>
      <c r="D29" s="4" t="inlineStr">
        <is>
          <t>https://cdn.shopify.com/s/files/1/0792/5098/1063/files/6cefa3a1a6d88af8779423119d1839cf1cf29ba4b0d2c523af5a2f962c101fe2.jpg?v=1787246930</t>
        </is>
      </c>
      <c r="E29" s="3" t="inlineStr">
        <is>
          <t>38896324083911</t>
        </is>
      </c>
      <c r="F29" s="3" t="inlineStr">
        <is>
          <t>47935095210183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2026-09-07T17:56:21.200447+07:00</t>
        </is>
      </c>
      <c r="K29" s="3" t="inlineStr">
        <is>
          <t>Directly inspected gallery image 3 for custom football players large football comforter.</t>
        </is>
      </c>
      <c r="L29" s="3" t="inlineStr">
        <is>
          <t>Outdoor, sofa or lifestyle mockup connected to personalized flaming baseball blanket with Phoenix number 09.</t>
        </is>
      </c>
      <c r="M29" s="3" t="inlineStr">
        <is>
          <t>Custom Name Catcher Batter Baseball Baseball Throw, Baseball Blanket Gift Baseball Bedding Gift for Adult, Christmas New Years Gift for Baseball Player, Pitcher Gift (Baseball Design 12)</t>
        </is>
      </c>
      <c r="N29" s="3" t="inlineStr">
        <is>
          <t>SET</t>
        </is>
      </c>
      <c r="O29" s="3" t="inlineStr">
        <is>
          <t>Lifestyle or outdoor mockup of Personalized Flaming Baseball Blanket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["seo_runs\\jeminise.com\\20260906_234129\\evidence\\images\\85_custom-name-catcher-batter-baseball-baseball-throw-baseba-design-12\\image_03_47935095210183.jpg; seo_runs\\jeminise.com\\20260906_234129\\evidence\\contact_sheets\\85_custom-name-catcher-batter-baseball-baseball-throw-baseba-design-12.jpg", "https://jeminise.com/products/custom-name-catcher-batter-baseball-baseball-throw-baseba-design-12", "https://cdn.shopify.com/s/files/1/0792/5098/1063/files/6cefa3a1a6d88af8779423119d1839cf1cf29ba4b0d2c523af5a2f962c101fe2.jpg?v=1787246930"]</t>
        </is>
      </c>
      <c r="AA29" s="3" t="inlineStr">
        <is>
          <t>r3</t>
        </is>
      </c>
    </row>
    <row r="30" ht="66" customHeight="1">
      <c r="A30" s="2" t="inlineStr">
        <is>
          <t>jeminise.com+custom-name-catcher-batter-baseball-baseball-throw-baseba-design-12</t>
        </is>
      </c>
      <c r="B30" s="2" t="inlineStr">
        <is>
          <t>qaimg_8e34eefe2e2b451f</t>
        </is>
      </c>
      <c r="C30" s="4" t="inlineStr">
        <is>
          <t>https://cdn.shopify.com/s/files/1/0792/5098/1063/files/80026cf09c01d63875b4bb9e8f3e43c9c203957df5383ba1e4243390ea8b2176.jpg?v=1787246930</t>
        </is>
      </c>
      <c r="D30" s="4" t="inlineStr">
        <is>
          <t>https://cdn.shopify.com/s/files/1/0792/5098/1063/files/80026cf09c01d63875b4bb9e8f3e43c9c203957df5383ba1e4243390ea8b2176.jpg?v=1787246930</t>
        </is>
      </c>
      <c r="E30" s="2" t="inlineStr">
        <is>
          <t>38896324116679</t>
        </is>
      </c>
      <c r="F30" s="2" t="inlineStr">
        <is>
          <t>47935095242951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2026-09-07T17:56:21.200447+07:00</t>
        </is>
      </c>
      <c r="K30" s="2" t="inlineStr">
        <is>
          <t>Directly inspected gallery image 4 for custom football players large football comforter.</t>
        </is>
      </c>
      <c r="L30" s="2" t="inlineStr">
        <is>
          <t>Customization, detail or additional lifestyle panel for personalized flaming baseball blanket with Phoenix number 09.</t>
        </is>
      </c>
      <c r="M30" s="2" t="inlineStr">
        <is>
          <t>Custom Name Catcher Batter Baseball Baseball Throw, Baseball Blanket Gift Baseball Bedding Gift for Adult, Christmas New Years Gift for Baseball Player, Pitcher Gift (Baseball Design 12)</t>
        </is>
      </c>
      <c r="N30" s="2" t="inlineStr">
        <is>
          <t>SET</t>
        </is>
      </c>
      <c r="O30" s="2" t="inlineStr">
        <is>
          <t>Customization or product detail image for Personalized Flaming Baseball Blanket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["seo_runs\\jeminise.com\\20260906_234129\\evidence\\images\\85_custom-name-catcher-batter-baseball-baseball-throw-baseba-design-12\\image_04_47935095242951.jpg; seo_runs\\jeminise.com\\20260906_234129\\evidence\\contact_sheets\\85_custom-name-catcher-batter-baseball-baseball-throw-baseba-design-12.jpg", "https://jeminise.com/products/custom-name-catcher-batter-baseball-baseball-throw-baseba-design-12", "https://cdn.shopify.com/s/files/1/0792/5098/1063/files/80026cf09c01d63875b4bb9e8f3e43c9c203957df5383ba1e4243390ea8b2176.jpg?v=1787246930"]</t>
        </is>
      </c>
      <c r="AA30" s="2" t="inlineStr">
        <is>
          <t>r3</t>
        </is>
      </c>
    </row>
    <row r="31" ht="66" customHeight="1">
      <c r="A31" s="3" t="inlineStr">
        <is>
          <t>jeminise.com+custom-name-catcher-batter-baseball-baseball-throw-baseba-design-12</t>
        </is>
      </c>
      <c r="B31" s="3" t="inlineStr">
        <is>
          <t>qaimg_f0de0754cab003e0</t>
        </is>
      </c>
      <c r="C31" s="4" t="inlineStr">
        <is>
          <t>https://cdn.shopify.com/s/files/1/0792/5098/1063/files/c64fc1ee15ab01631946c240f8ffbf4714b0a2981d1bef619d7b6df05712c2c8.jpg?v=1787246930</t>
        </is>
      </c>
      <c r="D31" s="4" t="inlineStr">
        <is>
          <t>https://cdn.shopify.com/s/files/1/0792/5098/1063/files/c64fc1ee15ab01631946c240f8ffbf4714b0a2981d1bef619d7b6df05712c2c8.jpg?v=1787246930</t>
        </is>
      </c>
      <c r="E31" s="3" t="inlineStr">
        <is>
          <t>38896324149447</t>
        </is>
      </c>
      <c r="F31" s="3" t="inlineStr">
        <is>
          <t>47935095275719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2026-09-07T17:56:21.200447+07:00</t>
        </is>
      </c>
      <c r="K31" s="3" t="inlineStr">
        <is>
          <t>Directly inspected gallery image 5 for custom football players large football comforter.</t>
        </is>
      </c>
      <c r="L31" s="3" t="inlineStr">
        <is>
          <t>Additional mockup, material detail or use-case image for personalized flaming baseball blanket with Phoenix number 09.</t>
        </is>
      </c>
      <c r="M31" s="3" t="inlineStr">
        <is>
          <t>Custom Name Catcher Batter Baseball Baseball Throw, Baseball Blanket Gift Baseball Bedding Gift for Adult, Christmas New Years Gift for Baseball Player, Pitcher Gift (Baseball Design 12)</t>
        </is>
      </c>
      <c r="N31" s="3" t="inlineStr">
        <is>
          <t>SET</t>
        </is>
      </c>
      <c r="O31" s="3" t="inlineStr">
        <is>
          <t>Additional product mockup or material detail for Personalized Flaming Baseball Blanket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["seo_runs\\jeminise.com\\20260906_234129\\evidence\\images\\85_custom-name-catcher-batter-baseball-baseball-throw-baseba-design-12\\image_05_47935095275719.jpg; seo_runs\\jeminise.com\\20260906_234129\\evidence\\contact_sheets\\85_custom-name-catcher-batter-baseball-baseball-throw-baseba-design-12.jpg", "https://jeminise.com/products/custom-name-catcher-batter-baseball-baseball-throw-baseba-design-12", "https://cdn.shopify.com/s/files/1/0792/5098/1063/files/c64fc1ee15ab01631946c240f8ffbf4714b0a2981d1bef619d7b6df05712c2c8.jpg?v=1787246930"]</t>
        </is>
      </c>
      <c r="AA31" s="3" t="inlineStr">
        <is>
          <t>r3</t>
        </is>
      </c>
    </row>
    <row r="32" ht="66" customHeight="1">
      <c r="A32" s="2" t="inlineStr">
        <is>
          <t>jeminise.com+custom-name-catcher-batter-baseball-baseball-throw-baseba-design-12</t>
        </is>
      </c>
      <c r="B32" s="2" t="inlineStr">
        <is>
          <t>qaimg_fa8369e27b2cd80d</t>
        </is>
      </c>
      <c r="C32" s="4" t="inlineStr">
        <is>
          <t>https://cdn.shopify.com/s/files/1/0792/5098/1063/files/fb3562009e80ec2ec16a9018c761dd31fb96b6d3617c0108fe3e19758b58d317.jpg?v=1787246930</t>
        </is>
      </c>
      <c r="D32" s="4" t="inlineStr">
        <is>
          <t>https://cdn.shopify.com/s/files/1/0792/5098/1063/files/fb3562009e80ec2ec16a9018c761dd31fb96b6d3617c0108fe3e19758b58d317.jpg?v=1787246930</t>
        </is>
      </c>
      <c r="E32" s="2" t="inlineStr">
        <is>
          <t>38896324182215</t>
        </is>
      </c>
      <c r="F32" s="2" t="inlineStr">
        <is>
          <t>47935095308487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2026-09-07T17:56:21.200447+07:00</t>
        </is>
      </c>
      <c r="K32" s="2" t="inlineStr">
        <is>
          <t>Directly inspected gallery image 6 for custom football players large football comforter.</t>
        </is>
      </c>
      <c r="L32" s="2" t="inlineStr">
        <is>
          <t>Additional lifestyle or product detail image showing personalized flaming baseball blanket with Phoenix number 09.</t>
        </is>
      </c>
      <c r="M32" s="2" t="inlineStr">
        <is>
          <t>Custom Name Catcher Batter Baseball Baseball Throw, Baseball Blanket Gift Baseball Bedding Gift for Adult, Christmas New Years Gift for Baseball Player, Pitcher Gift (Baseball Design 12)</t>
        </is>
      </c>
      <c r="N32" s="2" t="inlineStr">
        <is>
          <t>SET</t>
        </is>
      </c>
      <c r="O32" s="2" t="inlineStr">
        <is>
          <t>Additional lifestyle image for Personalized Flaming Baseball Blanket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["seo_runs\\jeminise.com\\20260906_234129\\evidence\\images\\85_custom-name-catcher-batter-baseball-baseball-throw-baseba-design-12\\image_06_47935095308487.jpg; seo_runs\\jeminise.com\\20260906_234129\\evidence\\contact_sheets\\85_custom-name-catcher-batter-baseball-baseball-throw-baseba-design-12.jpg", "https://jeminise.com/products/custom-name-catcher-batter-baseball-baseball-throw-baseba-design-12", "https://cdn.shopify.com/s/files/1/0792/5098/1063/files/fb3562009e80ec2ec16a9018c761dd31fb96b6d3617c0108fe3e19758b58d317.jpg?v=1787246930"]</t>
        </is>
      </c>
      <c r="AA32" s="2" t="inlineStr">
        <is>
          <t>r3</t>
        </is>
      </c>
    </row>
    <row r="33" ht="66" customHeight="1">
      <c r="A33" s="3" t="inlineStr">
        <is>
          <t>jeminise.com+custom-name-catcher-batter-baseball-baseball-throw-baseba-design-13</t>
        </is>
      </c>
      <c r="B33" s="3" t="inlineStr">
        <is>
          <t>qaimg_6a8a88c1ec354224</t>
        </is>
      </c>
      <c r="C33" s="4" t="inlineStr">
        <is>
          <t>https://cdn.shopify.com/s/files/1/0792/5098/1063/files/346253817cf54ee6d9444666f3b0488915a917284f238fb492237ae03abd8edc.jpg?v=1787246937</t>
        </is>
      </c>
      <c r="D33" s="4" t="inlineStr">
        <is>
          <t>https://cdn.shopify.com/s/files/1/0792/5098/1063/files/346253817cf54ee6d9444666f3b0488915a917284f238fb492237ae03abd8edc.jpg?v=1787246937</t>
        </is>
      </c>
      <c r="E33" s="3" t="inlineStr">
        <is>
          <t>38896333521095</t>
        </is>
      </c>
      <c r="F33" s="3" t="inlineStr">
        <is>
          <t>47935104614599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2026-09-07T17:56:21.200447+07:00</t>
        </is>
      </c>
      <c r="K33" s="3" t="inlineStr">
        <is>
          <t>Directly inspected gallery image 1 for custom football leather laces comforter.</t>
        </is>
      </c>
      <c r="L33" s="3" t="inlineStr">
        <is>
          <t>Main product or lifestyle mockup showing personalized baseball glove flag blanket with Jackson number 15.</t>
        </is>
      </c>
      <c r="M33" s="3" t="inlineStr">
        <is>
          <t>Custom Name Catcher Batter Baseball Baseball Throw, Baseball Blanket Gift Baseball Bedding Gift for Adult, Christmas New Years Gift for Baseball Player, Pitcher Gift (Baseball Design 13)</t>
        </is>
      </c>
      <c r="N33" s="3" t="inlineStr">
        <is>
          <t>SET</t>
        </is>
      </c>
      <c r="O33" s="3" t="inlineStr">
        <is>
          <t>Personalized Baseball Glove Flag Blanket displayed in a main product mockup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["seo_runs\\jeminise.com\\20260906_234129\\evidence\\images\\86_custom-name-catcher-batter-baseball-baseball-throw-baseba-design-13\\image_01_47935104614599.jpg; seo_runs\\jeminise.com\\20260906_234129\\evidence\\contact_sheets\\86_custom-name-catcher-batter-baseball-baseball-throw-baseba-design-13.jpg", "https://jeminise.com/products/custom-name-catcher-batter-baseball-baseball-throw-baseba-design-13", "https://cdn.shopify.com/s/files/1/0792/5098/1063/files/346253817cf54ee6d9444666f3b0488915a917284f238fb492237ae03abd8edc.jpg?v=1787246937"]</t>
        </is>
      </c>
      <c r="AA33" s="3" t="inlineStr">
        <is>
          <t>r3</t>
        </is>
      </c>
    </row>
    <row r="34" ht="66" customHeight="1">
      <c r="A34" s="2" t="inlineStr">
        <is>
          <t>jeminise.com+custom-name-catcher-batter-baseball-baseball-throw-baseba-design-13</t>
        </is>
      </c>
      <c r="B34" s="2" t="inlineStr">
        <is>
          <t>qaimg_165fbf52a2d5e551</t>
        </is>
      </c>
      <c r="C34" s="4" t="inlineStr">
        <is>
          <t>https://cdn.shopify.com/s/files/1/0792/5098/1063/files/3ca095e123f69c96b30256109890e38002f1c36a49ef1529e3807fd1106138fa.jpg?v=1787246937</t>
        </is>
      </c>
      <c r="D34" s="4" t="inlineStr">
        <is>
          <t>https://cdn.shopify.com/s/files/1/0792/5098/1063/files/3ca095e123f69c96b30256109890e38002f1c36a49ef1529e3807fd1106138fa.jpg?v=1787246937</t>
        </is>
      </c>
      <c r="E34" s="2" t="inlineStr">
        <is>
          <t>38896333553863</t>
        </is>
      </c>
      <c r="F34" s="2" t="inlineStr">
        <is>
          <t>47935104647367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2026-09-07T17:56:21.200447+07:00</t>
        </is>
      </c>
      <c r="K34" s="2" t="inlineStr">
        <is>
          <t>Directly inspected gallery image 2 for custom football leather laces comforter.</t>
        </is>
      </c>
      <c r="L34" s="2" t="inlineStr">
        <is>
          <t>Secondary mockup or customization image showing personalized baseball glove flag blanket with Jackson number 15.</t>
        </is>
      </c>
      <c r="M34" s="2" t="inlineStr">
        <is>
          <t>Custom Name Catcher Batter Baseball Baseball Throw, Baseball Blanket Gift Baseball Bedding Gift for Adult, Christmas New Years Gift for Baseball Player, Pitcher Gift (Baseball Design 13)</t>
        </is>
      </c>
      <c r="N34" s="2" t="inlineStr">
        <is>
          <t>SET</t>
        </is>
      </c>
      <c r="O34" s="2" t="inlineStr">
        <is>
          <t>Secondary mockup of Personalized Baseball Glove Flag Blanket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["seo_runs\\jeminise.com\\20260906_234129\\evidence\\images\\86_custom-name-catcher-batter-baseball-baseball-throw-baseba-design-13\\image_02_47935104647367.jpg; seo_runs\\jeminise.com\\20260906_234129\\evidence\\contact_sheets\\86_custom-name-catcher-batter-baseball-baseball-throw-baseba-design-13.jpg", "https://jeminise.com/products/custom-name-catcher-batter-baseball-baseball-throw-baseba-design-13", "https://cdn.shopify.com/s/files/1/0792/5098/1063/files/3ca095e123f69c96b30256109890e38002f1c36a49ef1529e3807fd1106138fa.jpg?v=1787246937"]</t>
        </is>
      </c>
      <c r="AA34" s="2" t="inlineStr">
        <is>
          <t>r3</t>
        </is>
      </c>
    </row>
    <row r="35" ht="66" customHeight="1">
      <c r="A35" s="3" t="inlineStr">
        <is>
          <t>jeminise.com+custom-name-catcher-batter-baseball-baseball-throw-baseba-design-13</t>
        </is>
      </c>
      <c r="B35" s="3" t="inlineStr">
        <is>
          <t>qaimg_c7151c9ecc0107df</t>
        </is>
      </c>
      <c r="C35" s="4" t="inlineStr">
        <is>
          <t>https://cdn.shopify.com/s/files/1/0792/5098/1063/files/55fede0d73ace16b2f566617cfb9a540c86ff11f0458cdf8321554e8395ff134.jpg?v=1787246937</t>
        </is>
      </c>
      <c r="D35" s="4" t="inlineStr">
        <is>
          <t>https://cdn.shopify.com/s/files/1/0792/5098/1063/files/55fede0d73ace16b2f566617cfb9a540c86ff11f0458cdf8321554e8395ff134.jpg?v=1787246937</t>
        </is>
      </c>
      <c r="E35" s="3" t="inlineStr">
        <is>
          <t>38896333586631</t>
        </is>
      </c>
      <c r="F35" s="3" t="inlineStr">
        <is>
          <t>47935104680135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2026-09-07T17:56:21.200447+07:00</t>
        </is>
      </c>
      <c r="K35" s="3" t="inlineStr">
        <is>
          <t>Directly inspected gallery image 3 for custom football leather laces comforter.</t>
        </is>
      </c>
      <c r="L35" s="3" t="inlineStr">
        <is>
          <t>Outdoor, sofa or lifestyle mockup connected to personalized baseball glove flag blanket with Jackson number 15.</t>
        </is>
      </c>
      <c r="M35" s="3" t="inlineStr">
        <is>
          <t>Custom Name Catcher Batter Baseball Baseball Throw, Baseball Blanket Gift Baseball Bedding Gift for Adult, Christmas New Years Gift for Baseball Player, Pitcher Gift (Baseball Design 13)</t>
        </is>
      </c>
      <c r="N35" s="3" t="inlineStr">
        <is>
          <t>SET</t>
        </is>
      </c>
      <c r="O35" s="3" t="inlineStr">
        <is>
          <t>Lifestyle or outdoor mockup of Personalized Baseball Glove Flag Blanket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["seo_runs\\jeminise.com\\20260906_234129\\evidence\\images\\86_custom-name-catcher-batter-baseball-baseball-throw-baseba-design-13\\image_03_47935104680135.jpg; seo_runs\\jeminise.com\\20260906_234129\\evidence\\contact_sheets\\86_custom-name-catcher-batter-baseball-baseball-throw-baseba-design-13.jpg", "https://jeminise.com/products/custom-name-catcher-batter-baseball-baseball-throw-baseba-design-13", "https://cdn.shopify.com/s/files/1/0792/5098/1063/files/55fede0d73ace16b2f566617cfb9a540c86ff11f0458cdf8321554e8395ff134.jpg?v=1787246937"]</t>
        </is>
      </c>
      <c r="AA35" s="3" t="inlineStr">
        <is>
          <t>r3</t>
        </is>
      </c>
    </row>
    <row r="36" ht="66" customHeight="1">
      <c r="A36" s="2" t="inlineStr">
        <is>
          <t>jeminise.com+custom-name-catcher-batter-baseball-baseball-throw-baseba-design-13</t>
        </is>
      </c>
      <c r="B36" s="2" t="inlineStr">
        <is>
          <t>qaimg_401d84410f530854</t>
        </is>
      </c>
      <c r="C36" s="4" t="inlineStr">
        <is>
          <t>https://cdn.shopify.com/s/files/1/0792/5098/1063/files/473c64a39338102711992ec12037603e8b2a13658268417a4a4465017df91502.jpg?v=1787246937</t>
        </is>
      </c>
      <c r="D36" s="4" t="inlineStr">
        <is>
          <t>https://cdn.shopify.com/s/files/1/0792/5098/1063/files/473c64a39338102711992ec12037603e8b2a13658268417a4a4465017df91502.jpg?v=1787246937</t>
        </is>
      </c>
      <c r="E36" s="2" t="inlineStr">
        <is>
          <t>38896333619399</t>
        </is>
      </c>
      <c r="F36" s="2" t="inlineStr">
        <is>
          <t>47935104712903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2026-09-07T17:56:21.200447+07:00</t>
        </is>
      </c>
      <c r="K36" s="2" t="inlineStr">
        <is>
          <t>Directly inspected gallery image 4 for custom football leather laces comforter.</t>
        </is>
      </c>
      <c r="L36" s="2" t="inlineStr">
        <is>
          <t>Customization, detail or additional lifestyle panel for personalized baseball glove flag blanket with Jackson number 15.</t>
        </is>
      </c>
      <c r="M36" s="2" t="inlineStr">
        <is>
          <t>Custom Name Catcher Batter Baseball Baseball Throw, Baseball Blanket Gift Baseball Bedding Gift for Adult, Christmas New Years Gift for Baseball Player, Pitcher Gift (Baseball Design 13)</t>
        </is>
      </c>
      <c r="N36" s="2" t="inlineStr">
        <is>
          <t>SET</t>
        </is>
      </c>
      <c r="O36" s="2" t="inlineStr">
        <is>
          <t>Customization or product detail image for Personalized Baseball Glove Flag Blanket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["seo_runs\\jeminise.com\\20260906_234129\\evidence\\images\\86_custom-name-catcher-batter-baseball-baseball-throw-baseba-design-13\\image_04_47935104712903.jpg; seo_runs\\jeminise.com\\20260906_234129\\evidence\\contact_sheets\\86_custom-name-catcher-batter-baseball-baseball-throw-baseba-design-13.jpg", "https://jeminise.com/products/custom-name-catcher-batter-baseball-baseball-throw-baseba-design-13", "https://cdn.shopify.com/s/files/1/0792/5098/1063/files/473c64a39338102711992ec12037603e8b2a13658268417a4a4465017df91502.jpg?v=1787246937"]</t>
        </is>
      </c>
      <c r="AA36" s="2" t="inlineStr">
        <is>
          <t>r3</t>
        </is>
      </c>
    </row>
    <row r="37" ht="66" customHeight="1">
      <c r="A37" s="3" t="inlineStr">
        <is>
          <t>jeminise.com+custom-name-catcher-batter-baseball-baseball-throw-baseba-design-13</t>
        </is>
      </c>
      <c r="B37" s="3" t="inlineStr">
        <is>
          <t>qaimg_007d02a42436c995</t>
        </is>
      </c>
      <c r="C37" s="4" t="inlineStr">
        <is>
          <t>https://cdn.shopify.com/s/files/1/0792/5098/1063/files/73a5afaebf214bedb16370d0765c396b2ba295c8cc4b6404551df1dc9115adf5.jpg?v=1787246937</t>
        </is>
      </c>
      <c r="D37" s="4" t="inlineStr">
        <is>
          <t>https://cdn.shopify.com/s/files/1/0792/5098/1063/files/73a5afaebf214bedb16370d0765c396b2ba295c8cc4b6404551df1dc9115adf5.jpg?v=1787246937</t>
        </is>
      </c>
      <c r="E37" s="3" t="inlineStr">
        <is>
          <t>38896333652167</t>
        </is>
      </c>
      <c r="F37" s="3" t="inlineStr">
        <is>
          <t>47935104745671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2026-09-07T17:56:21.200447+07:00</t>
        </is>
      </c>
      <c r="K37" s="3" t="inlineStr">
        <is>
          <t>Directly inspected gallery image 5 for custom football leather laces comforter.</t>
        </is>
      </c>
      <c r="L37" s="3" t="inlineStr">
        <is>
          <t>Additional mockup, material detail or use-case image for personalized baseball glove flag blanket with Jackson number 15.</t>
        </is>
      </c>
      <c r="M37" s="3" t="inlineStr">
        <is>
          <t>Custom Name Catcher Batter Baseball Baseball Throw, Baseball Blanket Gift Baseball Bedding Gift for Adult, Christmas New Years Gift for Baseball Player, Pitcher Gift (Baseball Design 13)</t>
        </is>
      </c>
      <c r="N37" s="3" t="inlineStr">
        <is>
          <t>SET</t>
        </is>
      </c>
      <c r="O37" s="3" t="inlineStr">
        <is>
          <t>Additional product mockup or material detail for Personalized Baseball Glove Flag Blanket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["seo_runs\\jeminise.com\\20260906_234129\\evidence\\images\\86_custom-name-catcher-batter-baseball-baseball-throw-baseba-design-13\\image_05_47935104745671.jpg; seo_runs\\jeminise.com\\20260906_234129\\evidence\\contact_sheets\\86_custom-name-catcher-batter-baseball-baseball-throw-baseba-design-13.jpg", "https://jeminise.com/products/custom-name-catcher-batter-baseball-baseball-throw-baseba-design-13", "https://cdn.shopify.com/s/files/1/0792/5098/1063/files/73a5afaebf214bedb16370d0765c396b2ba295c8cc4b6404551df1dc9115adf5.jpg?v=1787246937"]</t>
        </is>
      </c>
      <c r="AA37" s="3" t="inlineStr">
        <is>
          <t>r3</t>
        </is>
      </c>
    </row>
    <row r="38" ht="66" customHeight="1">
      <c r="A38" s="2" t="inlineStr">
        <is>
          <t>jeminise.com+custom-name-catcher-batter-baseball-baseball-throw-baseba-design-13</t>
        </is>
      </c>
      <c r="B38" s="2" t="inlineStr">
        <is>
          <t>qaimg_87fb60f5985d073c</t>
        </is>
      </c>
      <c r="C38" s="4" t="inlineStr">
        <is>
          <t>https://cdn.shopify.com/s/files/1/0792/5098/1063/files/fb60fd3c38e97b08ea5be4729ef92093f02b2559f231cceaf440d4cf7eb30446.jpg?v=1787246937</t>
        </is>
      </c>
      <c r="D38" s="4" t="inlineStr">
        <is>
          <t>https://cdn.shopify.com/s/files/1/0792/5098/1063/files/fb60fd3c38e97b08ea5be4729ef92093f02b2559f231cceaf440d4cf7eb30446.jpg?v=1787246937</t>
        </is>
      </c>
      <c r="E38" s="2" t="inlineStr">
        <is>
          <t>38896333684935</t>
        </is>
      </c>
      <c r="F38" s="2" t="inlineStr">
        <is>
          <t>47935104778439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2026-09-07T17:56:21.200447+07:00</t>
        </is>
      </c>
      <c r="K38" s="2" t="inlineStr">
        <is>
          <t>Directly inspected gallery image 6 for custom football leather laces comforter.</t>
        </is>
      </c>
      <c r="L38" s="2" t="inlineStr">
        <is>
          <t>Additional lifestyle or product detail image showing personalized baseball glove flag blanket with Jackson number 15.</t>
        </is>
      </c>
      <c r="M38" s="2" t="inlineStr">
        <is>
          <t>Custom Name Catcher Batter Baseball Baseball Throw, Baseball Blanket Gift Baseball Bedding Gift for Adult, Christmas New Years Gift for Baseball Player, Pitcher Gift (Baseball Design 13)</t>
        </is>
      </c>
      <c r="N38" s="2" t="inlineStr">
        <is>
          <t>SET</t>
        </is>
      </c>
      <c r="O38" s="2" t="inlineStr">
        <is>
          <t>Additional lifestyle image for Personalized Baseball Glove Flag Blanket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["seo_runs\\jeminise.com\\20260906_234129\\evidence\\images\\86_custom-name-catcher-batter-baseball-baseball-throw-baseba-design-13\\image_06_47935104778439.jpg; seo_runs\\jeminise.com\\20260906_234129\\evidence\\contact_sheets\\86_custom-name-catcher-batter-baseball-baseball-throw-baseba-design-13.jpg", "https://jeminise.com/products/custom-name-catcher-batter-baseball-baseball-throw-baseba-design-13", "https://cdn.shopify.com/s/files/1/0792/5098/1063/files/fb60fd3c38e97b08ea5be4729ef92093f02b2559f231cceaf440d4cf7eb30446.jpg?v=1787246937"]</t>
        </is>
      </c>
      <c r="AA38" s="2" t="inlineStr">
        <is>
          <t>r3</t>
        </is>
      </c>
    </row>
    <row r="39" ht="66" customHeight="1">
      <c r="A39" s="3" t="inlineStr">
        <is>
          <t>jeminise.com+custom-name-catcher-batter-baseball-baseball-throw-baseba-design-17</t>
        </is>
      </c>
      <c r="B39" s="3" t="inlineStr">
        <is>
          <t>qaimg_e5045e9e5b81e00f</t>
        </is>
      </c>
      <c r="C39" s="4" t="inlineStr">
        <is>
          <t>https://cdn.shopify.com/s/files/1/0792/5098/1063/files/6b0bd39c9c26d7345d79e159db6217ced9245852667f609f0822634bfdf24e5b.jpg?v=1787246943</t>
        </is>
      </c>
      <c r="D39" s="4" t="inlineStr">
        <is>
          <t>https://cdn.shopify.com/s/files/1/0792/5098/1063/files/6b0bd39c9c26d7345d79e159db6217ced9245852667f609f0822634bfdf24e5b.jpg?v=1787246943</t>
        </is>
      </c>
      <c r="E39" s="3" t="inlineStr">
        <is>
          <t>38896334864583</t>
        </is>
      </c>
      <c r="F39" s="3" t="inlineStr">
        <is>
          <t>47935105990855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2026-09-07T17:56:21.200447+07:00</t>
        </is>
      </c>
      <c r="K39" s="3" t="inlineStr">
        <is>
          <t>Directly inspected gallery image 1 for custom soccer ball light trails comforter.</t>
        </is>
      </c>
      <c r="L39" s="3" t="inlineStr">
        <is>
          <t>Main product or lifestyle mockup showing personalized baseball catcher blanket with Daniel number 56.</t>
        </is>
      </c>
      <c r="M39" s="3" t="inlineStr">
        <is>
          <t>Custom Name Catcher Batter Baseball Baseball Throw, Baseball Blanket Gift Baseball Bedding Gift for Adult, Christmas New Years Gift for Baseball Player, Pitcher Gift (Baseball Design 17)</t>
        </is>
      </c>
      <c r="N39" s="3" t="inlineStr">
        <is>
          <t>SET</t>
        </is>
      </c>
      <c r="O39" s="3" t="inlineStr">
        <is>
          <t>Personalized Baseball Catcher Blanket displayed in a main product mockup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["seo_runs\\jeminise.com\\20260906_234129\\evidence\\images\\87_custom-name-catcher-batter-baseball-baseball-throw-baseba-design-17\\image_01_47935105990855.jpg; seo_runs\\jeminise.com\\20260906_234129\\evidence\\contact_sheets\\87_custom-name-catcher-batter-baseball-baseball-throw-baseba-design-17.jpg", "https://jeminise.com/products/custom-name-catcher-batter-baseball-baseball-throw-baseba-design-17", "https://cdn.shopify.com/s/files/1/0792/5098/1063/files/6b0bd39c9c26d7345d79e159db6217ced9245852667f609f0822634bfdf24e5b.jpg?v=1787246943"]</t>
        </is>
      </c>
      <c r="AA39" s="3" t="inlineStr">
        <is>
          <t>r3</t>
        </is>
      </c>
    </row>
    <row r="40" ht="66" customHeight="1">
      <c r="A40" s="2" t="inlineStr">
        <is>
          <t>jeminise.com+custom-name-catcher-batter-baseball-baseball-throw-baseba-design-17</t>
        </is>
      </c>
      <c r="B40" s="2" t="inlineStr">
        <is>
          <t>qaimg_d7276457cdb2c7ef</t>
        </is>
      </c>
      <c r="C40" s="4" t="inlineStr">
        <is>
          <t>https://cdn.shopify.com/s/files/1/0792/5098/1063/files/73f5731a5614a65e39e124ebf93fbf51d0614cfb8198935e91a1c0b555075c06.jpg?v=1787246943</t>
        </is>
      </c>
      <c r="D40" s="4" t="inlineStr">
        <is>
          <t>https://cdn.shopify.com/s/files/1/0792/5098/1063/files/73f5731a5614a65e39e124ebf93fbf51d0614cfb8198935e91a1c0b555075c06.jpg?v=1787246943</t>
        </is>
      </c>
      <c r="E40" s="2" t="inlineStr">
        <is>
          <t>38896334897351</t>
        </is>
      </c>
      <c r="F40" s="2" t="inlineStr">
        <is>
          <t>47935106023623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2026-09-07T17:56:21.200447+07:00</t>
        </is>
      </c>
      <c r="K40" s="2" t="inlineStr">
        <is>
          <t>Directly inspected gallery image 2 for custom soccer ball light trails comforter.</t>
        </is>
      </c>
      <c r="L40" s="2" t="inlineStr">
        <is>
          <t>Secondary mockup or customization image showing personalized baseball catcher blanket with Daniel number 56.</t>
        </is>
      </c>
      <c r="M40" s="2" t="inlineStr">
        <is>
          <t>Custom Name Catcher Batter Baseball Baseball Throw, Baseball Blanket Gift Baseball Bedding Gift for Adult, Christmas New Years Gift for Baseball Player, Pitcher Gift (Baseball Design 17)</t>
        </is>
      </c>
      <c r="N40" s="2" t="inlineStr">
        <is>
          <t>SET</t>
        </is>
      </c>
      <c r="O40" s="2" t="inlineStr">
        <is>
          <t>Secondary mockup of Personalized Baseball Catcher Blanket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["seo_runs\\jeminise.com\\20260906_234129\\evidence\\images\\87_custom-name-catcher-batter-baseball-baseball-throw-baseba-design-17\\image_02_47935106023623.jpg; seo_runs\\jeminise.com\\20260906_234129\\evidence\\contact_sheets\\87_custom-name-catcher-batter-baseball-baseball-throw-baseba-design-17.jpg", "https://jeminise.com/products/custom-name-catcher-batter-baseball-baseball-throw-baseba-design-17", "https://cdn.shopify.com/s/files/1/0792/5098/1063/files/73f5731a5614a65e39e124ebf93fbf51d0614cfb8198935e91a1c0b555075c06.jpg?v=1787246943"]</t>
        </is>
      </c>
      <c r="AA40" s="2" t="inlineStr">
        <is>
          <t>r3</t>
        </is>
      </c>
    </row>
    <row r="41" ht="66" customHeight="1">
      <c r="A41" s="3" t="inlineStr">
        <is>
          <t>jeminise.com+custom-name-catcher-batter-baseball-baseball-throw-baseba-design-17</t>
        </is>
      </c>
      <c r="B41" s="3" t="inlineStr">
        <is>
          <t>qaimg_d7314cf08f32c462</t>
        </is>
      </c>
      <c r="C41" s="4" t="inlineStr">
        <is>
          <t>https://cdn.shopify.com/s/files/1/0792/5098/1063/files/ff9489157f49fd04e004fe67b3ba042750ae419870d3267ba8426b7f0c62bbee.jpg?v=1787246943</t>
        </is>
      </c>
      <c r="D41" s="4" t="inlineStr">
        <is>
          <t>https://cdn.shopify.com/s/files/1/0792/5098/1063/files/ff9489157f49fd04e004fe67b3ba042750ae419870d3267ba8426b7f0c62bbee.jpg?v=1787246943</t>
        </is>
      </c>
      <c r="E41" s="3" t="inlineStr">
        <is>
          <t>38896334930119</t>
        </is>
      </c>
      <c r="F41" s="3" t="inlineStr">
        <is>
          <t>47935106056391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2026-09-07T17:56:21.200447+07:00</t>
        </is>
      </c>
      <c r="K41" s="3" t="inlineStr">
        <is>
          <t>Directly inspected gallery image 3 for custom soccer ball light trails comforter.</t>
        </is>
      </c>
      <c r="L41" s="3" t="inlineStr">
        <is>
          <t>Outdoor, sofa or lifestyle mockup connected to personalized baseball catcher blanket with Daniel number 56.</t>
        </is>
      </c>
      <c r="M41" s="3" t="inlineStr">
        <is>
          <t>Custom Name Catcher Batter Baseball Baseball Throw, Baseball Blanket Gift Baseball Bedding Gift for Adult, Christmas New Years Gift for Baseball Player, Pitcher Gift (Baseball Design 17)</t>
        </is>
      </c>
      <c r="N41" s="3" t="inlineStr">
        <is>
          <t>SET</t>
        </is>
      </c>
      <c r="O41" s="3" t="inlineStr">
        <is>
          <t>Lifestyle or outdoor mockup of Personalized Baseball Catcher Blanket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["seo_runs\\jeminise.com\\20260906_234129\\evidence\\images\\87_custom-name-catcher-batter-baseball-baseball-throw-baseba-design-17\\image_03_47935106056391.jpg; seo_runs\\jeminise.com\\20260906_234129\\evidence\\contact_sheets\\87_custom-name-catcher-batter-baseball-baseball-throw-baseba-design-17.jpg", "https://jeminise.com/products/custom-name-catcher-batter-baseball-baseball-throw-baseba-design-17", "https://cdn.shopify.com/s/files/1/0792/5098/1063/files/ff9489157f49fd04e004fe67b3ba042750ae419870d3267ba8426b7f0c62bbee.jpg?v=1787246943"]</t>
        </is>
      </c>
      <c r="AA41" s="3" t="inlineStr">
        <is>
          <t>r3</t>
        </is>
      </c>
    </row>
    <row r="42" ht="66" customHeight="1">
      <c r="A42" s="2" t="inlineStr">
        <is>
          <t>jeminise.com+custom-name-catcher-batter-baseball-baseball-throw-baseba-design-17</t>
        </is>
      </c>
      <c r="B42" s="2" t="inlineStr">
        <is>
          <t>qaimg_5a84fa998d9f02df</t>
        </is>
      </c>
      <c r="C42" s="4" t="inlineStr">
        <is>
          <t>https://cdn.shopify.com/s/files/1/0792/5098/1063/files/26bdd825798bcc82b802a6c67824fa0b69ab463fac57fd1820a2ef04e832a0cc.jpg?v=1787246943</t>
        </is>
      </c>
      <c r="D42" s="4" t="inlineStr">
        <is>
          <t>https://cdn.shopify.com/s/files/1/0792/5098/1063/files/26bdd825798bcc82b802a6c67824fa0b69ab463fac57fd1820a2ef04e832a0cc.jpg?v=1787246943</t>
        </is>
      </c>
      <c r="E42" s="2" t="inlineStr">
        <is>
          <t>38896334962887</t>
        </is>
      </c>
      <c r="F42" s="2" t="inlineStr">
        <is>
          <t>47935106089159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2026-09-07T17:56:21.200447+07:00</t>
        </is>
      </c>
      <c r="K42" s="2" t="inlineStr">
        <is>
          <t>Directly inspected gallery image 4 for custom soccer ball light trails comforter.</t>
        </is>
      </c>
      <c r="L42" s="2" t="inlineStr">
        <is>
          <t>Customization, detail or additional lifestyle panel for personalized baseball catcher blanket with Daniel number 56.</t>
        </is>
      </c>
      <c r="M42" s="2" t="inlineStr">
        <is>
          <t>Custom Name Catcher Batter Baseball Baseball Throw, Baseball Blanket Gift Baseball Bedding Gift for Adult, Christmas New Years Gift for Baseball Player, Pitcher Gift (Baseball Design 17)</t>
        </is>
      </c>
      <c r="N42" s="2" t="inlineStr">
        <is>
          <t>SET</t>
        </is>
      </c>
      <c r="O42" s="2" t="inlineStr">
        <is>
          <t>Customization or product detail image for Personalized Baseball Catcher Blanket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["seo_runs\\jeminise.com\\20260906_234129\\evidence\\images\\87_custom-name-catcher-batter-baseball-baseball-throw-baseba-design-17\\image_04_47935106089159.jpg; seo_runs\\jeminise.com\\20260906_234129\\evidence\\contact_sheets\\87_custom-name-catcher-batter-baseball-baseball-throw-baseba-design-17.jpg", "https://jeminise.com/products/custom-name-catcher-batter-baseball-baseball-throw-baseba-design-17", "https://cdn.shopify.com/s/files/1/0792/5098/1063/files/26bdd825798bcc82b802a6c67824fa0b69ab463fac57fd1820a2ef04e832a0cc.jpg?v=1787246943"]</t>
        </is>
      </c>
      <c r="AA42" s="2" t="inlineStr">
        <is>
          <t>r3</t>
        </is>
      </c>
    </row>
    <row r="43" ht="66" customHeight="1">
      <c r="A43" s="3" t="inlineStr">
        <is>
          <t>jeminise.com+custom-name-catcher-batter-baseball-baseball-throw-baseba-design-17</t>
        </is>
      </c>
      <c r="B43" s="3" t="inlineStr">
        <is>
          <t>qaimg_c1fbb1ab4c00d7b2</t>
        </is>
      </c>
      <c r="C43" s="4" t="inlineStr">
        <is>
          <t>https://cdn.shopify.com/s/files/1/0792/5098/1063/files/148c4c33327efd5c9bbe004b36246444be7b1d4a390a7239756f9f43f3f86e25.jpg?v=1787246943</t>
        </is>
      </c>
      <c r="D43" s="4" t="inlineStr">
        <is>
          <t>https://cdn.shopify.com/s/files/1/0792/5098/1063/files/148c4c33327efd5c9bbe004b36246444be7b1d4a390a7239756f9f43f3f86e25.jpg?v=1787246943</t>
        </is>
      </c>
      <c r="E43" s="3" t="inlineStr">
        <is>
          <t>38896334995655</t>
        </is>
      </c>
      <c r="F43" s="3" t="inlineStr">
        <is>
          <t>47935106121927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2026-09-07T17:56:21.200447+07:00</t>
        </is>
      </c>
      <c r="K43" s="3" t="inlineStr">
        <is>
          <t>Directly inspected gallery image 5 for custom soccer ball light trails comforter.</t>
        </is>
      </c>
      <c r="L43" s="3" t="inlineStr">
        <is>
          <t>Additional mockup, material detail or use-case image for personalized baseball catcher blanket with Daniel number 56.</t>
        </is>
      </c>
      <c r="M43" s="3" t="inlineStr">
        <is>
          <t>Custom Name Catcher Batter Baseball Baseball Throw, Baseball Blanket Gift Baseball Bedding Gift for Adult, Christmas New Years Gift for Baseball Player, Pitcher Gift (Baseball Design 17)</t>
        </is>
      </c>
      <c r="N43" s="3" t="inlineStr">
        <is>
          <t>SET</t>
        </is>
      </c>
      <c r="O43" s="3" t="inlineStr">
        <is>
          <t>Additional product mockup or material detail for Personalized Baseball Catcher Blanket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["seo_runs\\jeminise.com\\20260906_234129\\evidence\\images\\87_custom-name-catcher-batter-baseball-baseball-throw-baseba-design-17\\image_05_47935106121927.jpg; seo_runs\\jeminise.com\\20260906_234129\\evidence\\contact_sheets\\87_custom-name-catcher-batter-baseball-baseball-throw-baseba-design-17.jpg", "https://jeminise.com/products/custom-name-catcher-batter-baseball-baseball-throw-baseba-design-17", "https://cdn.shopify.com/s/files/1/0792/5098/1063/files/148c4c33327efd5c9bbe004b36246444be7b1d4a390a7239756f9f43f3f86e25.jpg?v=1787246943"]</t>
        </is>
      </c>
      <c r="AA43" s="3" t="inlineStr">
        <is>
          <t>r3</t>
        </is>
      </c>
    </row>
    <row r="44" ht="66" customHeight="1">
      <c r="A44" s="2" t="inlineStr">
        <is>
          <t>jeminise.com+custom-name-catcher-batter-baseball-baseball-throw-baseba-design-17</t>
        </is>
      </c>
      <c r="B44" s="2" t="inlineStr">
        <is>
          <t>qaimg_f15daae55e94e202</t>
        </is>
      </c>
      <c r="C44" s="4" t="inlineStr">
        <is>
          <t>https://cdn.shopify.com/s/files/1/0792/5098/1063/files/e132126df73c1abbba9b9c5b4f94e6963e111667f06a5134441c40544b420d1e.jpg?v=1787246943</t>
        </is>
      </c>
      <c r="D44" s="4" t="inlineStr">
        <is>
          <t>https://cdn.shopify.com/s/files/1/0792/5098/1063/files/e132126df73c1abbba9b9c5b4f94e6963e111667f06a5134441c40544b420d1e.jpg?v=1787246943</t>
        </is>
      </c>
      <c r="E44" s="2" t="inlineStr">
        <is>
          <t>38896335028423</t>
        </is>
      </c>
      <c r="F44" s="2" t="inlineStr">
        <is>
          <t>47935106154695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2026-09-07T17:56:21.200447+07:00</t>
        </is>
      </c>
      <c r="K44" s="2" t="inlineStr">
        <is>
          <t>Directly inspected gallery image 6 for custom soccer ball light trails comforter.</t>
        </is>
      </c>
      <c r="L44" s="2" t="inlineStr">
        <is>
          <t>Additional lifestyle or product detail image showing personalized baseball catcher blanket with Daniel number 56.</t>
        </is>
      </c>
      <c r="M44" s="2" t="inlineStr">
        <is>
          <t>Custom Name Catcher Batter Baseball Baseball Throw, Baseball Blanket Gift Baseball Bedding Gift for Adult, Christmas New Years Gift for Baseball Player, Pitcher Gift (Baseball Design 17)</t>
        </is>
      </c>
      <c r="N44" s="2" t="inlineStr">
        <is>
          <t>SET</t>
        </is>
      </c>
      <c r="O44" s="2" t="inlineStr">
        <is>
          <t>Additional lifestyle image for Personalized Baseball Catcher Blanket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["seo_runs\\jeminise.com\\20260906_234129\\evidence\\images\\87_custom-name-catcher-batter-baseball-baseball-throw-baseba-design-17\\image_06_47935106154695.jpg; seo_runs\\jeminise.com\\20260906_234129\\evidence\\contact_sheets\\87_custom-name-catcher-batter-baseball-baseball-throw-baseba-design-17.jpg", "https://jeminise.com/products/custom-name-catcher-batter-baseball-baseball-throw-baseba-design-17", "https://cdn.shopify.com/s/files/1/0792/5098/1063/files/e132126df73c1abbba9b9c5b4f94e6963e111667f06a5134441c40544b420d1e.jpg?v=1787246943"]</t>
        </is>
      </c>
      <c r="AA44" s="2" t="inlineStr">
        <is>
          <t>r3</t>
        </is>
      </c>
    </row>
    <row r="45" ht="66" customHeight="1">
      <c r="A45" s="3" t="inlineStr">
        <is>
          <t>jeminise.com+custom-name-catcher-batter-baseball-baseball-throw-baseba-design-18</t>
        </is>
      </c>
      <c r="B45" s="3" t="inlineStr">
        <is>
          <t>qaimg_fdea8f3dea1ed226</t>
        </is>
      </c>
      <c r="C45" s="4" t="inlineStr">
        <is>
          <t>https://cdn.shopify.com/s/files/1/0792/5098/1063/files/12a42db8aa6b2e0726036a5012f98bd8a35d4bcd16da2aeabd4c2cce7783c441.jpg?v=1787246913</t>
        </is>
      </c>
      <c r="D45" s="4" t="inlineStr">
        <is>
          <t>https://cdn.shopify.com/s/files/1/0792/5098/1063/files/12a42db8aa6b2e0726036a5012f98bd8a35d4bcd16da2aeabd4c2cce7783c441.jpg?v=1787246913</t>
        </is>
      </c>
      <c r="E45" s="3" t="inlineStr">
        <is>
          <t>38896320053447</t>
        </is>
      </c>
      <c r="F45" s="3" t="inlineStr">
        <is>
          <t>47935091114183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2026-09-07T17:56:21.200447+07:00</t>
        </is>
      </c>
      <c r="K45" s="3" t="inlineStr">
        <is>
          <t>Directly inspected gallery image 1 for custom inspirational Bible verse floral blanket.</t>
        </is>
      </c>
      <c r="L45" s="3" t="inlineStr">
        <is>
          <t>Main product or lifestyle mockup showing personalized American flag baseball batter blanket with Jude number 5.</t>
        </is>
      </c>
      <c r="M45" s="3" t="inlineStr">
        <is>
          <t>Custom Name Catcher Batter Baseball Baseball Throw, Baseball Blanket Gift Baseball Bedding Gift for Adult, Christmas New Years Gift for Baseball Player, Pitcher Gift (Baseball Design 18)</t>
        </is>
      </c>
      <c r="N45" s="3" t="inlineStr">
        <is>
          <t>SET</t>
        </is>
      </c>
      <c r="O45" s="3" t="inlineStr">
        <is>
          <t>Personalized American Flag Baseball Blanket displayed in a main product mockup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["seo_runs\\jeminise.com\\20260906_234129\\evidence\\images\\88_custom-name-catcher-batter-baseball-baseball-throw-baseba-design-18\\image_01_47935091114183.jpg; seo_runs\\jeminise.com\\20260906_234129\\evidence\\contact_sheets\\88_custom-name-catcher-batter-baseball-baseball-throw-baseba-design-18.jpg", "https://jeminise.com/products/custom-name-catcher-batter-baseball-baseball-throw-baseba-design-18", "https://cdn.shopify.com/s/files/1/0792/5098/1063/files/12a42db8aa6b2e0726036a5012f98bd8a35d4bcd16da2aeabd4c2cce7783c441.jpg?v=1787246913"]</t>
        </is>
      </c>
      <c r="AA45" s="3" t="inlineStr">
        <is>
          <t>r3</t>
        </is>
      </c>
    </row>
    <row r="46" ht="66" customHeight="1">
      <c r="A46" s="2" t="inlineStr">
        <is>
          <t>jeminise.com+custom-name-catcher-batter-baseball-baseball-throw-baseba-design-18</t>
        </is>
      </c>
      <c r="B46" s="2" t="inlineStr">
        <is>
          <t>qaimg_9b4f3bf2dad4ba9d</t>
        </is>
      </c>
      <c r="C46" s="4" t="inlineStr">
        <is>
          <t>https://cdn.shopify.com/s/files/1/0792/5098/1063/files/af6aebe407ec82ba379eaf5dae68871aa4117ca5b81d15e8dfba545f36ab1cb6.jpg?v=1787246913</t>
        </is>
      </c>
      <c r="D46" s="4" t="inlineStr">
        <is>
          <t>https://cdn.shopify.com/s/files/1/0792/5098/1063/files/af6aebe407ec82ba379eaf5dae68871aa4117ca5b81d15e8dfba545f36ab1cb6.jpg?v=1787246913</t>
        </is>
      </c>
      <c r="E46" s="2" t="inlineStr">
        <is>
          <t>38896320086215</t>
        </is>
      </c>
      <c r="F46" s="2" t="inlineStr">
        <is>
          <t>47935091146951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2026-09-07T17:56:21.200447+07:00</t>
        </is>
      </c>
      <c r="K46" s="2" t="inlineStr">
        <is>
          <t>Directly inspected gallery image 2 for custom inspirational Bible verse floral blanket.</t>
        </is>
      </c>
      <c r="L46" s="2" t="inlineStr">
        <is>
          <t>Secondary mockup or customization image showing personalized American flag baseball batter blanket with Jude number 5.</t>
        </is>
      </c>
      <c r="M46" s="2" t="inlineStr">
        <is>
          <t>Custom Name Catcher Batter Baseball Baseball Throw, Baseball Blanket Gift Baseball Bedding Gift for Adult, Christmas New Years Gift for Baseball Player, Pitcher Gift (Baseball Design 18)</t>
        </is>
      </c>
      <c r="N46" s="2" t="inlineStr">
        <is>
          <t>SET</t>
        </is>
      </c>
      <c r="O46" s="2" t="inlineStr">
        <is>
          <t>Secondary mockup of Personalized American Flag Baseball Blanket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["seo_runs\\jeminise.com\\20260906_234129\\evidence\\images\\88_custom-name-catcher-batter-baseball-baseball-throw-baseba-design-18\\image_02_47935091146951.jpg; seo_runs\\jeminise.com\\20260906_234129\\evidence\\contact_sheets\\88_custom-name-catcher-batter-baseball-baseball-throw-baseba-design-18.jpg", "https://jeminise.com/products/custom-name-catcher-batter-baseball-baseball-throw-baseba-design-18", "https://cdn.shopify.com/s/files/1/0792/5098/1063/files/af6aebe407ec82ba379eaf5dae68871aa4117ca5b81d15e8dfba545f36ab1cb6.jpg?v=1787246913"]</t>
        </is>
      </c>
      <c r="AA46" s="2" t="inlineStr">
        <is>
          <t>r3</t>
        </is>
      </c>
    </row>
    <row r="47" ht="66" customHeight="1">
      <c r="A47" s="3" t="inlineStr">
        <is>
          <t>jeminise.com+custom-name-catcher-batter-baseball-baseball-throw-baseba-design-18</t>
        </is>
      </c>
      <c r="B47" s="3" t="inlineStr">
        <is>
          <t>qaimg_3f9970f12bd0e733</t>
        </is>
      </c>
      <c r="C47" s="4" t="inlineStr">
        <is>
          <t>https://cdn.shopify.com/s/files/1/0792/5098/1063/files/5029c4de98146573e254b637112907434bb2f9d613f37a7c2fe197df2208beee.jpg?v=1787246913</t>
        </is>
      </c>
      <c r="D47" s="4" t="inlineStr">
        <is>
          <t>https://cdn.shopify.com/s/files/1/0792/5098/1063/files/5029c4de98146573e254b637112907434bb2f9d613f37a7c2fe197df2208beee.jpg?v=1787246913</t>
        </is>
      </c>
      <c r="E47" s="3" t="inlineStr">
        <is>
          <t>38896320118983</t>
        </is>
      </c>
      <c r="F47" s="3" t="inlineStr">
        <is>
          <t>47935091179719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2026-09-07T17:56:21.200447+07:00</t>
        </is>
      </c>
      <c r="K47" s="3" t="inlineStr">
        <is>
          <t>Directly inspected gallery image 3 for custom inspirational Bible verse floral blanket.</t>
        </is>
      </c>
      <c r="L47" s="3" t="inlineStr">
        <is>
          <t>Outdoor, sofa or lifestyle mockup connected to personalized American flag baseball batter blanket with Jude number 5.</t>
        </is>
      </c>
      <c r="M47" s="3" t="inlineStr">
        <is>
          <t>Custom Name Catcher Batter Baseball Baseball Throw, Baseball Blanket Gift Baseball Bedding Gift for Adult, Christmas New Years Gift for Baseball Player, Pitcher Gift (Baseball Design 18)</t>
        </is>
      </c>
      <c r="N47" s="3" t="inlineStr">
        <is>
          <t>SET</t>
        </is>
      </c>
      <c r="O47" s="3" t="inlineStr">
        <is>
          <t>Lifestyle or outdoor mockup of Personalized American Flag Baseball Blanket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["seo_runs\\jeminise.com\\20260906_234129\\evidence\\images\\88_custom-name-catcher-batter-baseball-baseball-throw-baseba-design-18\\image_03_47935091179719.jpg; seo_runs\\jeminise.com\\20260906_234129\\evidence\\contact_sheets\\88_custom-name-catcher-batter-baseball-baseball-throw-baseba-design-18.jpg", "https://jeminise.com/products/custom-name-catcher-batter-baseball-baseball-throw-baseba-design-18", "https://cdn.shopify.com/s/files/1/0792/5098/1063/files/5029c4de98146573e254b637112907434bb2f9d613f37a7c2fe197df2208beee.jpg?v=1787246913"]</t>
        </is>
      </c>
      <c r="AA47" s="3" t="inlineStr">
        <is>
          <t>r3</t>
        </is>
      </c>
    </row>
    <row r="48" ht="66" customHeight="1">
      <c r="A48" s="2" t="inlineStr">
        <is>
          <t>jeminise.com+custom-name-catcher-batter-baseball-baseball-throw-baseba-design-18</t>
        </is>
      </c>
      <c r="B48" s="2" t="inlineStr">
        <is>
          <t>qaimg_fbe9e9567dbc7a89</t>
        </is>
      </c>
      <c r="C48" s="4" t="inlineStr">
        <is>
          <t>https://cdn.shopify.com/s/files/1/0792/5098/1063/files/07c940415736a1049d1d90b56bcd577cd5999e2833b4503391af2084e3f88aab.jpg?v=1787246913</t>
        </is>
      </c>
      <c r="D48" s="4" t="inlineStr">
        <is>
          <t>https://cdn.shopify.com/s/files/1/0792/5098/1063/files/07c940415736a1049d1d90b56bcd577cd5999e2833b4503391af2084e3f88aab.jpg?v=1787246913</t>
        </is>
      </c>
      <c r="E48" s="2" t="inlineStr">
        <is>
          <t>38896320151751</t>
        </is>
      </c>
      <c r="F48" s="2" t="inlineStr">
        <is>
          <t>47935091212487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2026-09-07T17:56:21.200447+07:00</t>
        </is>
      </c>
      <c r="K48" s="2" t="inlineStr">
        <is>
          <t>Directly inspected gallery image 4 for custom inspirational Bible verse floral blanket.</t>
        </is>
      </c>
      <c r="L48" s="2" t="inlineStr">
        <is>
          <t>Customization, detail or additional lifestyle panel for personalized American flag baseball batter blanket with Jude number 5.</t>
        </is>
      </c>
      <c r="M48" s="2" t="inlineStr">
        <is>
          <t>Custom Name Catcher Batter Baseball Baseball Throw, Baseball Blanket Gift Baseball Bedding Gift for Adult, Christmas New Years Gift for Baseball Player, Pitcher Gift (Baseball Design 18)</t>
        </is>
      </c>
      <c r="N48" s="2" t="inlineStr">
        <is>
          <t>SET</t>
        </is>
      </c>
      <c r="O48" s="2" t="inlineStr">
        <is>
          <t>Customization or product detail image for Personalized American Flag Baseball Blanket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["seo_runs\\jeminise.com\\20260906_234129\\evidence\\images\\88_custom-name-catcher-batter-baseball-baseball-throw-baseba-design-18\\image_04_47935091212487.jpg; seo_runs\\jeminise.com\\20260906_234129\\evidence\\contact_sheets\\88_custom-name-catcher-batter-baseball-baseball-throw-baseba-design-18.jpg", "https://jeminise.com/products/custom-name-catcher-batter-baseball-baseball-throw-baseba-design-18", "https://cdn.shopify.com/s/files/1/0792/5098/1063/files/07c940415736a1049d1d90b56bcd577cd5999e2833b4503391af2084e3f88aab.jpg?v=1787246913"]</t>
        </is>
      </c>
      <c r="AA48" s="2" t="inlineStr">
        <is>
          <t>r3</t>
        </is>
      </c>
    </row>
    <row r="49" ht="66" customHeight="1">
      <c r="A49" s="3" t="inlineStr">
        <is>
          <t>jeminise.com+custom-name-catcher-batter-baseball-baseball-throw-baseba-design-18</t>
        </is>
      </c>
      <c r="B49" s="3" t="inlineStr">
        <is>
          <t>qaimg_6da1a5bdff5f512f</t>
        </is>
      </c>
      <c r="C49" s="4" t="inlineStr">
        <is>
          <t>https://cdn.shopify.com/s/files/1/0792/5098/1063/files/3c1fd5ec13e9da50fc11fa631f6d3953e463d8286fda982af4e4221e6a63dc87.jpg?v=1787246913</t>
        </is>
      </c>
      <c r="D49" s="4" t="inlineStr">
        <is>
          <t>https://cdn.shopify.com/s/files/1/0792/5098/1063/files/3c1fd5ec13e9da50fc11fa631f6d3953e463d8286fda982af4e4221e6a63dc87.jpg?v=1787246913</t>
        </is>
      </c>
      <c r="E49" s="3" t="inlineStr">
        <is>
          <t>38896320184519</t>
        </is>
      </c>
      <c r="F49" s="3" t="inlineStr">
        <is>
          <t>47935091245255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2026-09-07T17:56:21.200447+07:00</t>
        </is>
      </c>
      <c r="K49" s="3" t="inlineStr">
        <is>
          <t>Directly inspected gallery image 5 for custom inspirational Bible verse floral blanket.</t>
        </is>
      </c>
      <c r="L49" s="3" t="inlineStr">
        <is>
          <t>Additional mockup, material detail or use-case image for personalized American flag baseball batter blanket with Jude number 5.</t>
        </is>
      </c>
      <c r="M49" s="3" t="inlineStr">
        <is>
          <t>Custom Name Catcher Batter Baseball Baseball Throw, Baseball Blanket Gift Baseball Bedding Gift for Adult, Christmas New Years Gift for Baseball Player, Pitcher Gift (Baseball Design 18)</t>
        </is>
      </c>
      <c r="N49" s="3" t="inlineStr">
        <is>
          <t>SET</t>
        </is>
      </c>
      <c r="O49" s="3" t="inlineStr">
        <is>
          <t>Additional product mockup or material detail for Personalized American Flag Baseball Blanket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["seo_runs\\jeminise.com\\20260906_234129\\evidence\\images\\88_custom-name-catcher-batter-baseball-baseball-throw-baseba-design-18\\image_05_47935091245255.jpg; seo_runs\\jeminise.com\\20260906_234129\\evidence\\contact_sheets\\88_custom-name-catcher-batter-baseball-baseball-throw-baseba-design-18.jpg", "https://jeminise.com/products/custom-name-catcher-batter-baseball-baseball-throw-baseba-design-18", "https://cdn.shopify.com/s/files/1/0792/5098/1063/files/3c1fd5ec13e9da50fc11fa631f6d3953e463d8286fda982af4e4221e6a63dc87.jpg?v=1787246913"]</t>
        </is>
      </c>
      <c r="AA49" s="3" t="inlineStr">
        <is>
          <t>r3</t>
        </is>
      </c>
    </row>
    <row r="50" ht="66" customHeight="1">
      <c r="A50" s="2" t="inlineStr">
        <is>
          <t>jeminise.com+custom-name-catcher-batter-baseball-baseball-throw-baseba-design-18</t>
        </is>
      </c>
      <c r="B50" s="2" t="inlineStr">
        <is>
          <t>qaimg_2be6e7862414129e</t>
        </is>
      </c>
      <c r="C50" s="4" t="inlineStr">
        <is>
          <t>https://cdn.shopify.com/s/files/1/0792/5098/1063/files/d49dc390f2a881f247c9949624dce1c5cf93ca93f7cbbf8814e800a5410e5929.jpg?v=1787246913</t>
        </is>
      </c>
      <c r="D50" s="4" t="inlineStr">
        <is>
          <t>https://cdn.shopify.com/s/files/1/0792/5098/1063/files/d49dc390f2a881f247c9949624dce1c5cf93ca93f7cbbf8814e800a5410e5929.jpg?v=1787246913</t>
        </is>
      </c>
      <c r="E50" s="2" t="inlineStr">
        <is>
          <t>38896320217287</t>
        </is>
      </c>
      <c r="F50" s="2" t="inlineStr">
        <is>
          <t>47935091278023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2026-09-07T17:56:21.200447+07:00</t>
        </is>
      </c>
      <c r="K50" s="2" t="inlineStr">
        <is>
          <t>Directly inspected gallery image 6 for custom inspirational Bible verse floral blanket.</t>
        </is>
      </c>
      <c r="L50" s="2" t="inlineStr">
        <is>
          <t>Additional lifestyle or product detail image showing personalized American flag baseball batter blanket with Jude number 5.</t>
        </is>
      </c>
      <c r="M50" s="2" t="inlineStr">
        <is>
          <t>Custom Name Catcher Batter Baseball Baseball Throw, Baseball Blanket Gift Baseball Bedding Gift for Adult, Christmas New Years Gift for Baseball Player, Pitcher Gift (Baseball Design 18)</t>
        </is>
      </c>
      <c r="N50" s="2" t="inlineStr">
        <is>
          <t>SET</t>
        </is>
      </c>
      <c r="O50" s="2" t="inlineStr">
        <is>
          <t>Additional lifestyle image for Personalized American Flag Baseball Blanket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["seo_runs\\jeminise.com\\20260906_234129\\evidence\\images\\88_custom-name-catcher-batter-baseball-baseball-throw-baseba-design-18\\image_06_47935091278023.jpg; seo_runs\\jeminise.com\\20260906_234129\\evidence\\contact_sheets\\88_custom-name-catcher-batter-baseball-baseball-throw-baseba-design-18.jpg", "https://jeminise.com/products/custom-name-catcher-batter-baseball-baseball-throw-baseba-design-18", "https://cdn.shopify.com/s/files/1/0792/5098/1063/files/d49dc390f2a881f247c9949624dce1c5cf93ca93f7cbbf8814e800a5410e5929.jpg?v=1787246913"]</t>
        </is>
      </c>
      <c r="AA50" s="2" t="inlineStr">
        <is>
          <t>r3</t>
        </is>
      </c>
    </row>
    <row r="51" ht="66" customHeight="1">
      <c r="A51" s="3" t="inlineStr">
        <is>
          <t>jeminise.com+custom-name-catcher-batter-baseball-baseball-throw-baseba-design-18</t>
        </is>
      </c>
      <c r="B51" s="3" t="inlineStr">
        <is>
          <t>qaimg_628a8fba84b38671</t>
        </is>
      </c>
      <c r="C51" s="4" t="inlineStr">
        <is>
          <t>https://cdn.shopify.com/s/files/1/0792/5098/1063/files/d6e6b34b49860c41cfcb97d662d731caad122fc556cefd52424be46fbed59a21.jpg?v=1787246913</t>
        </is>
      </c>
      <c r="D51" s="4" t="inlineStr">
        <is>
          <t>https://cdn.shopify.com/s/files/1/0792/5098/1063/files/d6e6b34b49860c41cfcb97d662d731caad122fc556cefd52424be46fbed59a21.jpg?v=1787246913</t>
        </is>
      </c>
      <c r="E51" s="3" t="inlineStr">
        <is>
          <t>38896320250055</t>
        </is>
      </c>
      <c r="F51" s="3" t="inlineStr">
        <is>
          <t>47935091310791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2026-09-07T17:56:21.200447+07:00</t>
        </is>
      </c>
      <c r="K51" s="3" t="inlineStr">
        <is>
          <t>Directly inspected gallery image 7 for custom inspirational Bible verse floral blanket.</t>
        </is>
      </c>
      <c r="L51" s="3" t="inlineStr">
        <is>
          <t>Additional product mockup or lifestyle image showing personalized American flag baseball batter blanket with Jude number 5.</t>
        </is>
      </c>
      <c r="M51" s="3" t="inlineStr">
        <is>
          <t>Custom Name Catcher Batter Baseball Baseball Throw, Baseball Blanket Gift Baseball Bedding Gift for Adult, Christmas New Years Gift for Baseball Player, Pitcher Gift (Baseball Design 18)</t>
        </is>
      </c>
      <c r="N51" s="3" t="inlineStr">
        <is>
          <t>SET</t>
        </is>
      </c>
      <c r="O51" s="3" t="inlineStr">
        <is>
          <t>Additional product mockup of Personalized American Flag Baseball Blanket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["seo_runs\\jeminise.com\\20260906_234129\\evidence\\images\\88_custom-name-catcher-batter-baseball-baseball-throw-baseba-design-18\\image_07_47935091310791.jpg; seo_runs\\jeminise.com\\20260906_234129\\evidence\\contact_sheets\\88_custom-name-catcher-batter-baseball-baseball-throw-baseba-design-18.jpg", "https://jeminise.com/products/custom-name-catcher-batter-baseball-baseball-throw-baseba-design-18", "https://cdn.shopify.com/s/files/1/0792/5098/1063/files/d6e6b34b49860c41cfcb97d662d731caad122fc556cefd52424be46fbed59a21.jpg?v=1787246913"]</t>
        </is>
      </c>
      <c r="AA51" s="3" t="inlineStr">
        <is>
          <t>r3</t>
        </is>
      </c>
    </row>
    <row r="52" ht="66" customHeight="1">
      <c r="A52" s="2" t="inlineStr">
        <is>
          <t>jeminise.com+custom-name-catcher-batter-baseball-baseball-throw-baseba-design-21</t>
        </is>
      </c>
      <c r="B52" s="2" t="inlineStr">
        <is>
          <t>qaimg_430b2d10dbd2818b</t>
        </is>
      </c>
      <c r="C52" s="4" t="inlineStr">
        <is>
          <t>https://cdn.shopify.com/s/files/1/0792/5098/1063/files/c9d234b09efcecfc3f142c7dfb1c08364b7d36bee026e4f33b29b62963e3d033.jpg?v=1787246911</t>
        </is>
      </c>
      <c r="D52" s="4" t="inlineStr">
        <is>
          <t>https://cdn.shopify.com/s/files/1/0792/5098/1063/files/c9d234b09efcecfc3f142c7dfb1c08364b7d36bee026e4f33b29b62963e3d033.jpg?v=1787246911</t>
        </is>
      </c>
      <c r="E52" s="2" t="inlineStr">
        <is>
          <t>38896319758535</t>
        </is>
      </c>
      <c r="F52" s="2" t="inlineStr">
        <is>
          <t>47935090950343</t>
        </is>
      </c>
      <c r="G52" s="2" t="inlineStr"/>
      <c r="H52" s="2" t="inlineStr">
        <is>
          <t>GALLERY</t>
        </is>
      </c>
      <c r="I52" s="2" t="inlineStr">
        <is>
          <t>DIRECT_ORIGINAL_IMAGE</t>
        </is>
      </c>
      <c r="J52" s="2" t="inlineStr">
        <is>
          <t>2026-09-07T17:56:21.200447+07:00</t>
        </is>
      </c>
      <c r="K52" s="2" t="inlineStr">
        <is>
          <t>Directly inspected gallery image 1 for custom floral butterfly Bible verse blanket.</t>
        </is>
      </c>
      <c r="L52" s="2" t="inlineStr">
        <is>
          <t>Main product or lifestyle mockup showing personalized reversible baseball catcher batter blanket.</t>
        </is>
      </c>
      <c r="M52" s="2" t="inlineStr">
        <is>
          <t>Custom Name Catcher Batter Baseball Baseball Throw, Baseball Blanket Gift Baseball Bedding Gift for Adult, Christmas New Years Gift for Baseball Player, Pitcher Gift (Baseball Design 21)</t>
        </is>
      </c>
      <c r="N52" s="2" t="inlineStr">
        <is>
          <t>SET</t>
        </is>
      </c>
      <c r="O52" s="2" t="inlineStr">
        <is>
          <t>Personalized Baseball Catcher Batter Blanket displayed in a main product mockup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["seo_runs\\jeminise.com\\20260906_234129\\evidence\\images\\89_custom-name-catcher-batter-baseball-baseball-throw-baseba-design-21\\image_01_47935090950343.jpg; seo_runs\\jeminise.com\\20260906_234129\\evidence\\contact_sheets\\89_custom-name-catcher-batter-baseball-baseball-throw-baseba-design-21.jpg", "https://jeminise.com/products/custom-name-catcher-batter-baseball-baseball-throw-baseba-design-21", "https://cdn.shopify.com/s/files/1/0792/5098/1063/files/c9d234b09efcecfc3f142c7dfb1c08364b7d36bee026e4f33b29b62963e3d033.jpg?v=1787246911"]</t>
        </is>
      </c>
      <c r="AA52" s="2" t="inlineStr">
        <is>
          <t>r3</t>
        </is>
      </c>
    </row>
    <row r="53" ht="66" customHeight="1">
      <c r="A53" s="3" t="inlineStr">
        <is>
          <t>jeminise.com+custom-name-catcher-batter-baseball-baseball-throw-baseba-design-21</t>
        </is>
      </c>
      <c r="B53" s="3" t="inlineStr">
        <is>
          <t>qaimg_ff5c3bb0cdc373be</t>
        </is>
      </c>
      <c r="C53" s="4" t="inlineStr">
        <is>
          <t>https://cdn.shopify.com/s/files/1/0792/5098/1063/files/8cd8282cb80c5b4b36145489ba3f8e5db87010f4ff545e5a1d7d7f82a2170dea.jpg?v=1787246911</t>
        </is>
      </c>
      <c r="D53" s="4" t="inlineStr">
        <is>
          <t>https://cdn.shopify.com/s/files/1/0792/5098/1063/files/8cd8282cb80c5b4b36145489ba3f8e5db87010f4ff545e5a1d7d7f82a2170dea.jpg?v=1787246911</t>
        </is>
      </c>
      <c r="E53" s="3" t="inlineStr">
        <is>
          <t>38896319791303</t>
        </is>
      </c>
      <c r="F53" s="3" t="inlineStr">
        <is>
          <t>47935090983111</t>
        </is>
      </c>
      <c r="G53" s="3" t="inlineStr"/>
      <c r="H53" s="3" t="inlineStr">
        <is>
          <t>GALLERY</t>
        </is>
      </c>
      <c r="I53" s="3" t="inlineStr">
        <is>
          <t>DIRECT_ORIGINAL_IMAGE</t>
        </is>
      </c>
      <c r="J53" s="3" t="inlineStr">
        <is>
          <t>2026-09-07T17:56:21.200447+07:00</t>
        </is>
      </c>
      <c r="K53" s="3" t="inlineStr">
        <is>
          <t>Directly inspected gallery image 2 for custom floral butterfly Bible verse blanket.</t>
        </is>
      </c>
      <c r="L53" s="3" t="inlineStr">
        <is>
          <t>Secondary mockup or customization image showing personalized reversible baseball catcher batter blanket.</t>
        </is>
      </c>
      <c r="M53" s="3" t="inlineStr">
        <is>
          <t>Custom Name Catcher Batter Baseball Baseball Throw, Baseball Blanket Gift Baseball Bedding Gift for Adult, Christmas New Years Gift for Baseball Player, Pitcher Gift (Baseball Design 21)</t>
        </is>
      </c>
      <c r="N53" s="3" t="inlineStr">
        <is>
          <t>SET</t>
        </is>
      </c>
      <c r="O53" s="3" t="inlineStr">
        <is>
          <t>Secondary mockup of Personalized Baseball Catcher Batter Blanket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["seo_runs\\jeminise.com\\20260906_234129\\evidence\\images\\89_custom-name-catcher-batter-baseball-baseball-throw-baseba-design-21\\image_02_47935090983111.jpg; seo_runs\\jeminise.com\\20260906_234129\\evidence\\contact_sheets\\89_custom-name-catcher-batter-baseball-baseball-throw-baseba-design-21.jpg", "https://jeminise.com/products/custom-name-catcher-batter-baseball-baseball-throw-baseba-design-21", "https://cdn.shopify.com/s/files/1/0792/5098/1063/files/8cd8282cb80c5b4b36145489ba3f8e5db87010f4ff545e5a1d7d7f82a2170dea.jpg?v=1787246911"]</t>
        </is>
      </c>
      <c r="AA53" s="3" t="inlineStr">
        <is>
          <t>r3</t>
        </is>
      </c>
    </row>
    <row r="54" ht="66" customHeight="1">
      <c r="A54" s="2" t="inlineStr">
        <is>
          <t>jeminise.com+custom-name-catcher-batter-baseball-baseball-throw-baseba-design-21</t>
        </is>
      </c>
      <c r="B54" s="2" t="inlineStr">
        <is>
          <t>qaimg_f662986f780ea918</t>
        </is>
      </c>
      <c r="C54" s="4" t="inlineStr">
        <is>
          <t>https://cdn.shopify.com/s/files/1/0792/5098/1063/files/711711033abd5881c5773a1514fd46587dc2d48b28bf08ceaed60a5560a18af7.jpg?v=1787246911</t>
        </is>
      </c>
      <c r="D54" s="4" t="inlineStr">
        <is>
          <t>https://cdn.shopify.com/s/files/1/0792/5098/1063/files/711711033abd5881c5773a1514fd46587dc2d48b28bf08ceaed60a5560a18af7.jpg?v=1787246911</t>
        </is>
      </c>
      <c r="E54" s="2" t="inlineStr">
        <is>
          <t>38896319824071</t>
        </is>
      </c>
      <c r="F54" s="2" t="inlineStr">
        <is>
          <t>47935091015879</t>
        </is>
      </c>
      <c r="G54" s="2" t="inlineStr"/>
      <c r="H54" s="2" t="inlineStr">
        <is>
          <t>GALLERY</t>
        </is>
      </c>
      <c r="I54" s="2" t="inlineStr">
        <is>
          <t>DIRECT_ORIGINAL_IMAGE</t>
        </is>
      </c>
      <c r="J54" s="2" t="inlineStr">
        <is>
          <t>2026-09-07T17:56:21.200447+07:00</t>
        </is>
      </c>
      <c r="K54" s="2" t="inlineStr">
        <is>
          <t>Directly inspected gallery image 3 for custom floral butterfly Bible verse blanket.</t>
        </is>
      </c>
      <c r="L54" s="2" t="inlineStr">
        <is>
          <t>Outdoor, sofa or lifestyle mockup connected to personalized reversible baseball catcher batter blanket.</t>
        </is>
      </c>
      <c r="M54" s="2" t="inlineStr">
        <is>
          <t>Custom Name Catcher Batter Baseball Baseball Throw, Baseball Blanket Gift Baseball Bedding Gift for Adult, Christmas New Years Gift for Baseball Player, Pitcher Gift (Baseball Design 21)</t>
        </is>
      </c>
      <c r="N54" s="2" t="inlineStr">
        <is>
          <t>SET</t>
        </is>
      </c>
      <c r="O54" s="2" t="inlineStr">
        <is>
          <t>Lifestyle or outdoor mockup of Personalized Baseball Catcher Batter Blanket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["seo_runs\\jeminise.com\\20260906_234129\\evidence\\images\\89_custom-name-catcher-batter-baseball-baseball-throw-baseba-design-21\\image_03_47935091015879.jpg; seo_runs\\jeminise.com\\20260906_234129\\evidence\\contact_sheets\\89_custom-name-catcher-batter-baseball-baseball-throw-baseba-design-21.jpg", "https://jeminise.com/products/custom-name-catcher-batter-baseball-baseball-throw-baseba-design-21", "https://cdn.shopify.com/s/files/1/0792/5098/1063/files/711711033abd5881c5773a1514fd46587dc2d48b28bf08ceaed60a5560a18af7.jpg?v=1787246911"]</t>
        </is>
      </c>
      <c r="AA54" s="2" t="inlineStr">
        <is>
          <t>r3</t>
        </is>
      </c>
    </row>
    <row r="55" ht="66" customHeight="1">
      <c r="A55" s="3" t="inlineStr">
        <is>
          <t>jeminise.com+custom-name-catcher-batter-baseball-baseball-throw-baseba-design-21</t>
        </is>
      </c>
      <c r="B55" s="3" t="inlineStr">
        <is>
          <t>qaimg_f6410dfd695993dd</t>
        </is>
      </c>
      <c r="C55" s="4" t="inlineStr">
        <is>
          <t>https://cdn.shopify.com/s/files/1/0792/5098/1063/files/c06ae6326a8f7e1ed55b1913c69bfbdc82ddccdb6a83925fc23d3f26e0dcfeb8.jpg?v=1787246911</t>
        </is>
      </c>
      <c r="D55" s="4" t="inlineStr">
        <is>
          <t>https://cdn.shopify.com/s/files/1/0792/5098/1063/files/c06ae6326a8f7e1ed55b1913c69bfbdc82ddccdb6a83925fc23d3f26e0dcfeb8.jpg?v=1787246911</t>
        </is>
      </c>
      <c r="E55" s="3" t="inlineStr">
        <is>
          <t>38896319856839</t>
        </is>
      </c>
      <c r="F55" s="3" t="inlineStr">
        <is>
          <t>47935091048647</t>
        </is>
      </c>
      <c r="G55" s="3" t="inlineStr"/>
      <c r="H55" s="3" t="inlineStr">
        <is>
          <t>GALLERY</t>
        </is>
      </c>
      <c r="I55" s="3" t="inlineStr">
        <is>
          <t>DIRECT_ORIGINAL_IMAGE</t>
        </is>
      </c>
      <c r="J55" s="3" t="inlineStr">
        <is>
          <t>2026-09-07T17:56:21.200447+07:00</t>
        </is>
      </c>
      <c r="K55" s="3" t="inlineStr">
        <is>
          <t>Directly inspected gallery image 4 for custom floral butterfly Bible verse blanket.</t>
        </is>
      </c>
      <c r="L55" s="3" t="inlineStr">
        <is>
          <t>Customization, detail or additional lifestyle panel for personalized reversible baseball catcher batter blanket.</t>
        </is>
      </c>
      <c r="M55" s="3" t="inlineStr">
        <is>
          <t>Custom Name Catcher Batter Baseball Baseball Throw, Baseball Blanket Gift Baseball Bedding Gift for Adult, Christmas New Years Gift for Baseball Player, Pitcher Gift (Baseball Design 21)</t>
        </is>
      </c>
      <c r="N55" s="3" t="inlineStr">
        <is>
          <t>SET</t>
        </is>
      </c>
      <c r="O55" s="3" t="inlineStr">
        <is>
          <t>Customization or product detail image for Personalized Baseball Catcher Batter Blanket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["seo_runs\\jeminise.com\\20260906_234129\\evidence\\images\\89_custom-name-catcher-batter-baseball-baseball-throw-baseba-design-21\\image_04_47935091048647.jpg; seo_runs\\jeminise.com\\20260906_234129\\evidence\\contact_sheets\\89_custom-name-catcher-batter-baseball-baseball-throw-baseba-design-21.jpg", "https://jeminise.com/products/custom-name-catcher-batter-baseball-baseball-throw-baseba-design-21", "https://cdn.shopify.com/s/files/1/0792/5098/1063/files/c06ae6326a8f7e1ed55b1913c69bfbdc82ddccdb6a83925fc23d3f26e0dcfeb8.jpg?v=1787246911"]</t>
        </is>
      </c>
      <c r="AA55" s="3" t="inlineStr">
        <is>
          <t>r3</t>
        </is>
      </c>
    </row>
    <row r="56" ht="66" customHeight="1">
      <c r="A56" s="2" t="inlineStr">
        <is>
          <t>jeminise.com+custom-name-catcher-batter-baseball-baseball-throw-baseba-design-21</t>
        </is>
      </c>
      <c r="B56" s="2" t="inlineStr">
        <is>
          <t>qaimg_caadf5711b6e456c</t>
        </is>
      </c>
      <c r="C56" s="4" t="inlineStr">
        <is>
          <t>https://cdn.shopify.com/s/files/1/0792/5098/1063/files/a3950780f04f20278ba1d09e540cb7eadf1ebbb79249d53b475dc82def27ac88.jpg?v=1787246911</t>
        </is>
      </c>
      <c r="D56" s="4" t="inlineStr">
        <is>
          <t>https://cdn.shopify.com/s/files/1/0792/5098/1063/files/a3950780f04f20278ba1d09e540cb7eadf1ebbb79249d53b475dc82def27ac88.jpg?v=1787246911</t>
        </is>
      </c>
      <c r="E56" s="2" t="inlineStr">
        <is>
          <t>38896319889607</t>
        </is>
      </c>
      <c r="F56" s="2" t="inlineStr">
        <is>
          <t>47935091081415</t>
        </is>
      </c>
      <c r="G56" s="2" t="inlineStr"/>
      <c r="H56" s="2" t="inlineStr">
        <is>
          <t>GALLERY</t>
        </is>
      </c>
      <c r="I56" s="2" t="inlineStr">
        <is>
          <t>DIRECT_ORIGINAL_IMAGE</t>
        </is>
      </c>
      <c r="J56" s="2" t="inlineStr">
        <is>
          <t>2026-09-07T17:56:21.200447+07:00</t>
        </is>
      </c>
      <c r="K56" s="2" t="inlineStr">
        <is>
          <t>Directly inspected gallery image 5 for custom floral butterfly Bible verse blanket.</t>
        </is>
      </c>
      <c r="L56" s="2" t="inlineStr">
        <is>
          <t>Additional mockup, material detail or use-case image for personalized reversible baseball catcher batter blanket.</t>
        </is>
      </c>
      <c r="M56" s="2" t="inlineStr">
        <is>
          <t>Custom Name Catcher Batter Baseball Baseball Throw, Baseball Blanket Gift Baseball Bedding Gift for Adult, Christmas New Years Gift for Baseball Player, Pitcher Gift (Baseball Design 21)</t>
        </is>
      </c>
      <c r="N56" s="2" t="inlineStr">
        <is>
          <t>SET</t>
        </is>
      </c>
      <c r="O56" s="2" t="inlineStr">
        <is>
          <t>Additional product mockup or material detail for Personalized Baseball Catcher Batter Blanket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["seo_runs\\jeminise.com\\20260906_234129\\evidence\\images\\89_custom-name-catcher-batter-baseball-baseball-throw-baseba-design-21\\image_05_47935091081415.jpg; seo_runs\\jeminise.com\\20260906_234129\\evidence\\contact_sheets\\89_custom-name-catcher-batter-baseball-baseball-throw-baseba-design-21.jpg", "https://jeminise.com/products/custom-name-catcher-batter-baseball-baseball-throw-baseba-design-21", "https://cdn.shopify.com/s/files/1/0792/5098/1063/files/a3950780f04f20278ba1d09e540cb7eadf1ebbb79249d53b475dc82def27ac88.jpg?v=1787246911"]</t>
        </is>
      </c>
      <c r="AA56" s="2" t="inlineStr">
        <is>
          <t>r3</t>
        </is>
      </c>
    </row>
    <row r="57" ht="66" customHeight="1">
      <c r="A57" s="3" t="inlineStr">
        <is>
          <t>jeminise.com+custom-name-catcher-batter-baseball-baseball-throw-baseball-blanket</t>
        </is>
      </c>
      <c r="B57" s="3" t="inlineStr">
        <is>
          <t>qaimg_4e2c807ec4b9708a</t>
        </is>
      </c>
      <c r="C57" s="4" t="inlineStr">
        <is>
          <t>https://cdn.shopify.com/s/files/1/0792/5098/1063/files/3448e08fcffb63bf2099bd97f09e4cd944f66552f1ac9af8ae948634b992d2a2.jpg?v=1787246887</t>
        </is>
      </c>
      <c r="D57" s="4" t="inlineStr">
        <is>
          <t>https://cdn.shopify.com/s/files/1/0792/5098/1063/files/3448e08fcffb63bf2099bd97f09e4cd944f66552f1ac9af8ae948634b992d2a2.jpg?v=1787246887</t>
        </is>
      </c>
      <c r="E57" s="3" t="inlineStr">
        <is>
          <t>38896314187975</t>
        </is>
      </c>
      <c r="F57" s="3" t="inlineStr">
        <is>
          <t>47935085314247</t>
        </is>
      </c>
      <c r="G57" s="3" t="inlineStr"/>
      <c r="H57" s="3" t="inlineStr">
        <is>
          <t>GALLERY</t>
        </is>
      </c>
      <c r="I57" s="3" t="inlineStr">
        <is>
          <t>DIRECT_ORIGINAL_IMAGE</t>
        </is>
      </c>
      <c r="J57" s="3" t="inlineStr">
        <is>
          <t>2026-09-07T17:56:21.200447+07:00</t>
        </is>
      </c>
      <c r="K57" s="3" t="inlineStr">
        <is>
          <t>Directly inspected gallery image 1 for custom inspirational scripture butterfly blanket.</t>
        </is>
      </c>
      <c r="L57" s="3" t="inlineStr">
        <is>
          <t>Main product or lifestyle mockup showing personalized God says you are baseball blanket with name.</t>
        </is>
      </c>
      <c r="M57" s="3" t="inlineStr">
        <is>
          <t>Custom Name Catcher Batter Baseball Baseball Throw, Baseball Blanket Gift Baseball Bedding Gift for Adult, Christmas New Years Gift for Baseball Player, Pitcher Gift (Baseball Design 02)</t>
        </is>
      </c>
      <c r="N57" s="3" t="inlineStr">
        <is>
          <t>SET</t>
        </is>
      </c>
      <c r="O57" s="3" t="inlineStr">
        <is>
          <t>Personalized God Says You Are Baseball Blanket displayed in a main product mockup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["seo_runs\\jeminise.com\\20260906_234129\\evidence\\images\\90_custom-name-catcher-batter-baseball-baseball-throw-baseball-blanket\\image_01_47935085314247.jpg; seo_runs\\jeminise.com\\20260906_234129\\evidence\\contact_sheets\\90_custom-name-catcher-batter-baseball-baseball-throw-baseball-blanket.jpg", "https://jeminise.com/products/custom-name-catcher-batter-baseball-baseball-throw-baseball-blanket", "https://cdn.shopify.com/s/files/1/0792/5098/1063/files/3448e08fcffb63bf2099bd97f09e4cd944f66552f1ac9af8ae948634b992d2a2.jpg?v=1787246887"]</t>
        </is>
      </c>
      <c r="AA57" s="3" t="inlineStr">
        <is>
          <t>r3</t>
        </is>
      </c>
    </row>
    <row r="58" ht="66" customHeight="1">
      <c r="A58" s="2" t="inlineStr">
        <is>
          <t>jeminise.com+custom-name-catcher-batter-baseball-baseball-throw-baseball-blanket</t>
        </is>
      </c>
      <c r="B58" s="2" t="inlineStr">
        <is>
          <t>qaimg_c1e927c826b671c0</t>
        </is>
      </c>
      <c r="C58" s="4" t="inlineStr">
        <is>
          <t>https://cdn.shopify.com/s/files/1/0792/5098/1063/files/322d185bd7ecc9fd42e8f0805194f3983d63073f090132c8210825dfd141448b.jpg?v=1787246888</t>
        </is>
      </c>
      <c r="D58" s="4" t="inlineStr">
        <is>
          <t>https://cdn.shopify.com/s/files/1/0792/5098/1063/files/322d185bd7ecc9fd42e8f0805194f3983d63073f090132c8210825dfd141448b.jpg?v=1787246888</t>
        </is>
      </c>
      <c r="E58" s="2" t="inlineStr">
        <is>
          <t>38896314220743</t>
        </is>
      </c>
      <c r="F58" s="2" t="inlineStr">
        <is>
          <t>47935085347015</t>
        </is>
      </c>
      <c r="G58" s="2" t="inlineStr"/>
      <c r="H58" s="2" t="inlineStr">
        <is>
          <t>GALLERY</t>
        </is>
      </c>
      <c r="I58" s="2" t="inlineStr">
        <is>
          <t>DIRECT_ORIGINAL_IMAGE</t>
        </is>
      </c>
      <c r="J58" s="2" t="inlineStr">
        <is>
          <t>2026-09-07T17:56:21.200447+07:00</t>
        </is>
      </c>
      <c r="K58" s="2" t="inlineStr">
        <is>
          <t>Directly inspected gallery image 2 for custom inspirational scripture butterfly blanket.</t>
        </is>
      </c>
      <c r="L58" s="2" t="inlineStr">
        <is>
          <t>Secondary mockup or customization image showing personalized God says you are baseball blanket with name.</t>
        </is>
      </c>
      <c r="M58" s="2" t="inlineStr">
        <is>
          <t>Custom Name Catcher Batter Baseball Baseball Throw, Baseball Blanket Gift Baseball Bedding Gift for Adult, Christmas New Years Gift for Baseball Player, Pitcher Gift (Baseball Design 02)</t>
        </is>
      </c>
      <c r="N58" s="2" t="inlineStr">
        <is>
          <t>SET</t>
        </is>
      </c>
      <c r="O58" s="2" t="inlineStr">
        <is>
          <t>Secondary mockup of Personalized God Says You Are Baseball Blanket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["seo_runs\\jeminise.com\\20260906_234129\\evidence\\images\\90_custom-name-catcher-batter-baseball-baseball-throw-baseball-blanket\\image_02_47935085347015.jpg; seo_runs\\jeminise.com\\20260906_234129\\evidence\\contact_sheets\\90_custom-name-catcher-batter-baseball-baseball-throw-baseball-blanket.jpg", "https://jeminise.com/products/custom-name-catcher-batter-baseball-baseball-throw-baseball-blanket", "https://cdn.shopify.com/s/files/1/0792/5098/1063/files/322d185bd7ecc9fd42e8f0805194f3983d63073f090132c8210825dfd141448b.jpg?v=1787246888"]</t>
        </is>
      </c>
      <c r="AA58" s="2" t="inlineStr">
        <is>
          <t>r3</t>
        </is>
      </c>
    </row>
    <row r="59" ht="66" customHeight="1">
      <c r="A59" s="3" t="inlineStr">
        <is>
          <t>jeminise.com+custom-name-catcher-batter-baseball-baseball-throw-baseball-blanket</t>
        </is>
      </c>
      <c r="B59" s="3" t="inlineStr">
        <is>
          <t>qaimg_d7e2bf12bab06051</t>
        </is>
      </c>
      <c r="C59" s="4" t="inlineStr">
        <is>
          <t>https://cdn.shopify.com/s/files/1/0792/5098/1063/files/b2294aa9296a54fc7bd80da7ced0ed9ea22e8c50bdccfc18603bcd0a149ac6fa.jpg?v=1787246887</t>
        </is>
      </c>
      <c r="D59" s="4" t="inlineStr">
        <is>
          <t>https://cdn.shopify.com/s/files/1/0792/5098/1063/files/b2294aa9296a54fc7bd80da7ced0ed9ea22e8c50bdccfc18603bcd0a149ac6fa.jpg?v=1787246887</t>
        </is>
      </c>
      <c r="E59" s="3" t="inlineStr">
        <is>
          <t>38896314253511</t>
        </is>
      </c>
      <c r="F59" s="3" t="inlineStr">
        <is>
          <t>47935085379783</t>
        </is>
      </c>
      <c r="G59" s="3" t="inlineStr"/>
      <c r="H59" s="3" t="inlineStr">
        <is>
          <t>GALLERY</t>
        </is>
      </c>
      <c r="I59" s="3" t="inlineStr">
        <is>
          <t>DIRECT_ORIGINAL_IMAGE</t>
        </is>
      </c>
      <c r="J59" s="3" t="inlineStr">
        <is>
          <t>2026-09-07T17:56:21.200447+07:00</t>
        </is>
      </c>
      <c r="K59" s="3" t="inlineStr">
        <is>
          <t>Directly inspected gallery image 3 for custom inspirational scripture butterfly blanket.</t>
        </is>
      </c>
      <c r="L59" s="3" t="inlineStr">
        <is>
          <t>Outdoor, sofa or lifestyle mockup connected to personalized God says you are baseball blanket with name.</t>
        </is>
      </c>
      <c r="M59" s="3" t="inlineStr">
        <is>
          <t>Custom Name Catcher Batter Baseball Baseball Throw, Baseball Blanket Gift Baseball Bedding Gift for Adult, Christmas New Years Gift for Baseball Player, Pitcher Gift (Baseball Design 02)</t>
        </is>
      </c>
      <c r="N59" s="3" t="inlineStr">
        <is>
          <t>SET</t>
        </is>
      </c>
      <c r="O59" s="3" t="inlineStr">
        <is>
          <t>Lifestyle or outdoor mockup of Personalized God Says You Are Baseball Blanket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["seo_runs\\jeminise.com\\20260906_234129\\evidence\\images\\90_custom-name-catcher-batter-baseball-baseball-throw-baseball-blanket\\image_03_47935085379783.jpg; seo_runs\\jeminise.com\\20260906_234129\\evidence\\contact_sheets\\90_custom-name-catcher-batter-baseball-baseball-throw-baseball-blanket.jpg", "https://jeminise.com/products/custom-name-catcher-batter-baseball-baseball-throw-baseball-blanket", "https://cdn.shopify.com/s/files/1/0792/5098/1063/files/b2294aa9296a54fc7bd80da7ced0ed9ea22e8c50bdccfc18603bcd0a149ac6fa.jpg?v=1787246887"]</t>
        </is>
      </c>
      <c r="AA59" s="3" t="inlineStr">
        <is>
          <t>r3</t>
        </is>
      </c>
    </row>
    <row r="60" ht="66" customHeight="1">
      <c r="A60" s="2" t="inlineStr">
        <is>
          <t>jeminise.com+custom-name-catcher-batter-baseball-baseball-throw-baseball-blanket</t>
        </is>
      </c>
      <c r="B60" s="2" t="inlineStr">
        <is>
          <t>qaimg_9bf68963d2353cd1</t>
        </is>
      </c>
      <c r="C60" s="4" t="inlineStr">
        <is>
          <t>https://cdn.shopify.com/s/files/1/0792/5098/1063/files/e4deb7c65a84dd566e76f49f7ac84cfde5ffca2a629c0c4797152647ec382692.jpg?v=1787246887</t>
        </is>
      </c>
      <c r="D60" s="4" t="inlineStr">
        <is>
          <t>https://cdn.shopify.com/s/files/1/0792/5098/1063/files/e4deb7c65a84dd566e76f49f7ac84cfde5ffca2a629c0c4797152647ec382692.jpg?v=1787246887</t>
        </is>
      </c>
      <c r="E60" s="2" t="inlineStr">
        <is>
          <t>38896314286279</t>
        </is>
      </c>
      <c r="F60" s="2" t="inlineStr">
        <is>
          <t>47935085412551</t>
        </is>
      </c>
      <c r="G60" s="2" t="inlineStr"/>
      <c r="H60" s="2" t="inlineStr">
        <is>
          <t>GALLERY</t>
        </is>
      </c>
      <c r="I60" s="2" t="inlineStr">
        <is>
          <t>DIRECT_ORIGINAL_IMAGE</t>
        </is>
      </c>
      <c r="J60" s="2" t="inlineStr">
        <is>
          <t>2026-09-07T17:56:21.200447+07:00</t>
        </is>
      </c>
      <c r="K60" s="2" t="inlineStr">
        <is>
          <t>Directly inspected gallery image 4 for custom inspirational scripture butterfly blanket.</t>
        </is>
      </c>
      <c r="L60" s="2" t="inlineStr">
        <is>
          <t>Customization, detail or additional lifestyle panel for personalized God says you are baseball blanket with name.</t>
        </is>
      </c>
      <c r="M60" s="2" t="inlineStr">
        <is>
          <t>Custom Name Catcher Batter Baseball Baseball Throw, Baseball Blanket Gift Baseball Bedding Gift for Adult, Christmas New Years Gift for Baseball Player, Pitcher Gift (Baseball Design 02)</t>
        </is>
      </c>
      <c r="N60" s="2" t="inlineStr">
        <is>
          <t>SET</t>
        </is>
      </c>
      <c r="O60" s="2" t="inlineStr">
        <is>
          <t>Customization or product detail image for Personalized God Says You Are Baseball Blanket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["seo_runs\\jeminise.com\\20260906_234129\\evidence\\images\\90_custom-name-catcher-batter-baseball-baseball-throw-baseball-blanket\\image_04_47935085412551.jpg; seo_runs\\jeminise.com\\20260906_234129\\evidence\\contact_sheets\\90_custom-name-catcher-batter-baseball-baseball-throw-baseball-blanket.jpg", "https://jeminise.com/products/custom-name-catcher-batter-baseball-baseball-throw-baseball-blanket", "https://cdn.shopify.com/s/files/1/0792/5098/1063/files/e4deb7c65a84dd566e76f49f7ac84cfde5ffca2a629c0c4797152647ec382692.jpg?v=1787246887"]</t>
        </is>
      </c>
      <c r="AA60" s="2" t="inlineStr">
        <is>
          <t>r3</t>
        </is>
      </c>
    </row>
  </sheetData>
  <autoFilter ref="A1:AA6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20" customWidth="1" min="4" max="4"/>
    <col width="21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R3-LIM-SNAPSHOT</t>
        </is>
      </c>
      <c r="B2" s="2" t="inlineStr"/>
      <c r="C2" s="2" t="inlineStr"/>
      <c r="D2" s="2" t="inlineStr">
        <is>
          <t>LIMITATION</t>
        </is>
      </c>
      <c r="E2" s="2" t="inlineStr">
        <is>
          <t>historical snapshot</t>
        </is>
      </c>
      <c r="F2" s="2" t="inlineStr">
        <is>
          <t>Unavailable</t>
        </is>
      </c>
      <c r="G2" s="2" t="inlineStr">
        <is>
          <t>r3 source/admin evidence available</t>
        </is>
      </c>
      <c r="H2" s="2" t="inlineStr">
        <is>
          <t>Historical limitation only</t>
        </is>
      </c>
      <c r="I2" s="2" t="inlineStr">
        <is>
          <t>Capture HTML snapshot</t>
        </is>
      </c>
      <c r="J2" s="2" t="inlineStr">
        <is>
          <t>resutls\jeminise.com\20260906_234129\revisions\qa_batch_009_r3\SEO_Product_Optimization_qa_batch_009_r3.xlsx</t>
        </is>
      </c>
      <c r="K2" s="2" t="inlineStr">
        <is>
          <t>Compare snapshots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2026-09-08T02:12:48Z</dcterms:created>
  <dcterms:modified xmlns:dcterms="http://purl.org/dc/terms/" xmlns:xsi="http://www.w3.org/2001/XMLSchema-instance" xsi:type="dcterms:W3CDTF">2026-09-08T02:12:48Z</dcterms:modified>
</cp:coreProperties>
</file>