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'QA_Summary'!$A$1:$C$17</definedName>
    <definedName name="_xlnm.Print_Titles" localSheetId="0">'QA_Summary'!$1:$1</definedName>
    <definedName name="_xlnm._FilterDatabase" localSheetId="1" hidden="1">'QA_Products'!$A$1:$W$11</definedName>
    <definedName name="_xlnm.Print_Titles" localSheetId="1">'QA_Products'!$1:$1</definedName>
    <definedName name="_xlnm._FilterDatabase" localSheetId="2" hidden="1">'QA_Criteria'!$A$1:$K$111</definedName>
    <definedName name="_xlnm.Print_Titles" localSheetId="2">'QA_Criteria'!$1:$1</definedName>
    <definedName name="_xlnm._FilterDatabase" localSheetId="3" hidden="1">'QA_Images'!$A$1:$AA$51</definedName>
    <definedName name="_xlnm.Print_Titles" localSheetId="3">'QA_Images'!$1:$1</definedName>
    <definedName name="_xlnm._FilterDatabase" localSheetId="4" hidden="1">'QA_Issues'!$A$1:$L$21</definedName>
    <definedName name="_xlnm.Print_Titles" localSheetId="4">'QA_Issues'!$1:$1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1"/>
    </font>
    <font>
      <name val="Aptos"/>
      <color rgb="001F2937"/>
      <sz val="10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8FAFC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CBD5E1"/>
      </bottom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164" fontId="2" fillId="3" borderId="2" applyAlignment="1" pivotButton="0" quotePrefix="0" xfId="0">
      <alignment vertical="top" wrapText="1"/>
    </xf>
    <xf numFmtId="165" fontId="2" fillId="3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165" fontId="2" fillId="0" borderId="2" applyAlignment="1" pivotButton="0" quotePrefix="0" xfId="0">
      <alignment vertical="top" wrapText="1"/>
    </xf>
    <xf numFmtId="0" fontId="4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center" wrapText="1"/>
    </xf>
  </cellXfs>
  <cellStyles count="2">
    <cellStyle name="Normal" xfId="0" builtinId="0" hidden="0"/>
    <cellStyle name="Hyperlink" xfId="1" builtinId="8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eminise.com/products/christmas-bedding-quilt-soft-microfiber-holiday-bedsprea-design-05" TargetMode="External" Id="rId1"/><Relationship Type="http://schemas.openxmlformats.org/officeDocument/2006/relationships/hyperlink" Target="https://jeminise.com/products/christmas-bedding-quilt-soft-microfiber-holiday-bedsprea-design-06" TargetMode="External" Id="rId2"/><Relationship Type="http://schemas.openxmlformats.org/officeDocument/2006/relationships/hyperlink" Target="https://jeminise.com/products/christmas-bedding-quilt-soft-microfiber-holiday-bedsprea-design-08" TargetMode="External" Id="rId3"/><Relationship Type="http://schemas.openxmlformats.org/officeDocument/2006/relationships/hyperlink" Target="https://jeminise.com/products/christmas-bedding-quilt-soft-microfiber-holiday-bedsprea-design-09" TargetMode="External" Id="rId4"/><Relationship Type="http://schemas.openxmlformats.org/officeDocument/2006/relationships/hyperlink" Target="https://jeminise.com/products/christmas-bedding-quilt-soft-microfiber-holiday-bedsprea-design-10" TargetMode="External" Id="rId5"/><Relationship Type="http://schemas.openxmlformats.org/officeDocument/2006/relationships/hyperlink" Target="https://jeminise.com/products/christmas-bedding-quilt-soft-microfiber-holiday-bedsprea-design-11" TargetMode="External" Id="rId6"/><Relationship Type="http://schemas.openxmlformats.org/officeDocument/2006/relationships/hyperlink" Target="https://jeminise.com/products/christmas-bedding-quilt-soft-microfiber-holiday-bedsprea-design-12" TargetMode="External" Id="rId7"/><Relationship Type="http://schemas.openxmlformats.org/officeDocument/2006/relationships/hyperlink" Target="https://jeminise.com/products/christmas-bedding-quilt-soft-microfiber-holiday-bedspread" TargetMode="External" Id="rId8"/><Relationship Type="http://schemas.openxmlformats.org/officeDocument/2006/relationships/hyperlink" Target="https://jeminise.com/products/christmas-cardinal-on-branch-within-patchwork-winter-quilt-892d70543a-892d70543a" TargetMode="External" Id="rId9"/><Relationship Type="http://schemas.openxmlformats.org/officeDocument/2006/relationships/hyperlink" Target="https://jeminise.com/products/christmas-cardinal-perched-on-branch-within-wreath-patchwork-winter-quilt-9e7c0b5896-9e7c0b5896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792/5098/1063/files/7db6811c66637965300a2e7b9c74cbf013694f223ecb0c00a52fba2970fa6e22.jpg?v=1787239304" TargetMode="External" Id="rId1"/><Relationship Type="http://schemas.openxmlformats.org/officeDocument/2006/relationships/hyperlink" Target="https://cdn.shopify.com/s/files/1/0792/5098/1063/files/7db6811c66637965300a2e7b9c74cbf013694f223ecb0c00a52fba2970fa6e22.jpg?v=1787239304" TargetMode="External" Id="rId2"/><Relationship Type="http://schemas.openxmlformats.org/officeDocument/2006/relationships/hyperlink" Target="https://cdn.shopify.com/s/files/1/0792/5098/1063/files/7db6811c66637965300a2e7b9c74cbf013694f223ecb0c00a52fba2970fa6e22.jpg?v=1787239304" TargetMode="External" Id="rId3"/><Relationship Type="http://schemas.openxmlformats.org/officeDocument/2006/relationships/hyperlink" Target="https://cdn.shopify.com/s/files/1/0792/5098/1063/files/16c248973ae48e0a9cc4448f2002965ba9049a188545c2818d9f66e2db24f2a5.jpg?v=1787239304" TargetMode="External" Id="rId4"/><Relationship Type="http://schemas.openxmlformats.org/officeDocument/2006/relationships/hyperlink" Target="https://cdn.shopify.com/s/files/1/0792/5098/1063/files/16c248973ae48e0a9cc4448f2002965ba9049a188545c2818d9f66e2db24f2a5.jpg?v=1787239304" TargetMode="External" Id="rId5"/><Relationship Type="http://schemas.openxmlformats.org/officeDocument/2006/relationships/hyperlink" Target="https://cdn.shopify.com/s/files/1/0792/5098/1063/files/16c248973ae48e0a9cc4448f2002965ba9049a188545c2818d9f66e2db24f2a5.jpg?v=1787239304" TargetMode="External" Id="rId6"/><Relationship Type="http://schemas.openxmlformats.org/officeDocument/2006/relationships/hyperlink" Target="https://cdn.shopify.com/s/files/1/0792/5098/1063/files/323ea5e3469590e61df70a45da30caeee15b2197d409a07ec242f1425c067466.jpg?v=1787239304" TargetMode="External" Id="rId7"/><Relationship Type="http://schemas.openxmlformats.org/officeDocument/2006/relationships/hyperlink" Target="https://cdn.shopify.com/s/files/1/0792/5098/1063/files/323ea5e3469590e61df70a45da30caeee15b2197d409a07ec242f1425c067466.jpg?v=1787239304" TargetMode="External" Id="rId8"/><Relationship Type="http://schemas.openxmlformats.org/officeDocument/2006/relationships/hyperlink" Target="https://cdn.shopify.com/s/files/1/0792/5098/1063/files/323ea5e3469590e61df70a45da30caeee15b2197d409a07ec242f1425c067466.jpg?v=1787239304" TargetMode="External" Id="rId9"/><Relationship Type="http://schemas.openxmlformats.org/officeDocument/2006/relationships/hyperlink" Target="https://cdn.shopify.com/s/files/1/0792/5098/1063/files/a9d73f05a5624e29d69e9f45c9035fc8ce6d17dce0280be079f2697dfabb6a95.jpg?v=1787239304" TargetMode="External" Id="rId10"/><Relationship Type="http://schemas.openxmlformats.org/officeDocument/2006/relationships/hyperlink" Target="https://cdn.shopify.com/s/files/1/0792/5098/1063/files/a9d73f05a5624e29d69e9f45c9035fc8ce6d17dce0280be079f2697dfabb6a95.jpg?v=1787239304" TargetMode="External" Id="rId11"/><Relationship Type="http://schemas.openxmlformats.org/officeDocument/2006/relationships/hyperlink" Target="https://cdn.shopify.com/s/files/1/0792/5098/1063/files/a9d73f05a5624e29d69e9f45c9035fc8ce6d17dce0280be079f2697dfabb6a95.jpg?v=1787239304" TargetMode="External" Id="rId12"/><Relationship Type="http://schemas.openxmlformats.org/officeDocument/2006/relationships/hyperlink" Target="https://cdn.shopify.com/s/files/1/0792/5098/1063/files/0461d860e029a4d27649c56e37e256172572e09064aab3d6823b9226c1ee8c9b.jpg?v=1787239304" TargetMode="External" Id="rId13"/><Relationship Type="http://schemas.openxmlformats.org/officeDocument/2006/relationships/hyperlink" Target="https://cdn.shopify.com/s/files/1/0792/5098/1063/files/0461d860e029a4d27649c56e37e256172572e09064aab3d6823b9226c1ee8c9b.jpg?v=1787239304" TargetMode="External" Id="rId14"/><Relationship Type="http://schemas.openxmlformats.org/officeDocument/2006/relationships/hyperlink" Target="https://cdn.shopify.com/s/files/1/0792/5098/1063/files/0461d860e029a4d27649c56e37e256172572e09064aab3d6823b9226c1ee8c9b.jpg?v=1787239304" TargetMode="External" Id="rId15"/><Relationship Type="http://schemas.openxmlformats.org/officeDocument/2006/relationships/hyperlink" Target="https://cdn.shopify.com/s/files/1/0792/5098/1063/files/72e69cf5279e1503866df817e765ec4b9528ac9d374090ff6a383b64dc802f0f.jpg?v=1787239327" TargetMode="External" Id="rId16"/><Relationship Type="http://schemas.openxmlformats.org/officeDocument/2006/relationships/hyperlink" Target="https://cdn.shopify.com/s/files/1/0792/5098/1063/files/72e69cf5279e1503866df817e765ec4b9528ac9d374090ff6a383b64dc802f0f.jpg?v=1787239327" TargetMode="External" Id="rId17"/><Relationship Type="http://schemas.openxmlformats.org/officeDocument/2006/relationships/hyperlink" Target="https://cdn.shopify.com/s/files/1/0792/5098/1063/files/72e69cf5279e1503866df817e765ec4b9528ac9d374090ff6a383b64dc802f0f.jpg?v=1787239327" TargetMode="External" Id="rId18"/><Relationship Type="http://schemas.openxmlformats.org/officeDocument/2006/relationships/hyperlink" Target="https://cdn.shopify.com/s/files/1/0792/5098/1063/files/1f0bc53734f9d184eafeba37de9d2d68714be1c73b540fbe08ef60be1bc69fa5.jpg?v=1787239327" TargetMode="External" Id="rId19"/><Relationship Type="http://schemas.openxmlformats.org/officeDocument/2006/relationships/hyperlink" Target="https://cdn.shopify.com/s/files/1/0792/5098/1063/files/1f0bc53734f9d184eafeba37de9d2d68714be1c73b540fbe08ef60be1bc69fa5.jpg?v=1787239327" TargetMode="External" Id="rId20"/><Relationship Type="http://schemas.openxmlformats.org/officeDocument/2006/relationships/hyperlink" Target="https://cdn.shopify.com/s/files/1/0792/5098/1063/files/1f0bc53734f9d184eafeba37de9d2d68714be1c73b540fbe08ef60be1bc69fa5.jpg?v=1787239327" TargetMode="External" Id="rId21"/><Relationship Type="http://schemas.openxmlformats.org/officeDocument/2006/relationships/hyperlink" Target="https://cdn.shopify.com/s/files/1/0792/5098/1063/files/9f875161013c7183bc18456508e00b3634194100adb029e0ff7c1be3bada05cf.jpg?v=1787239327" TargetMode="External" Id="rId22"/><Relationship Type="http://schemas.openxmlformats.org/officeDocument/2006/relationships/hyperlink" Target="https://cdn.shopify.com/s/files/1/0792/5098/1063/files/9f875161013c7183bc18456508e00b3634194100adb029e0ff7c1be3bada05cf.jpg?v=1787239327" TargetMode="External" Id="rId23"/><Relationship Type="http://schemas.openxmlformats.org/officeDocument/2006/relationships/hyperlink" Target="https://cdn.shopify.com/s/files/1/0792/5098/1063/files/9f875161013c7183bc18456508e00b3634194100adb029e0ff7c1be3bada05cf.jpg?v=1787239327" TargetMode="External" Id="rId24"/><Relationship Type="http://schemas.openxmlformats.org/officeDocument/2006/relationships/hyperlink" Target="https://cdn.shopify.com/s/files/1/0792/5098/1063/files/de596ab0879cec52ad5e2a96c2ef7ec529fa83fcec514ad55907502143e123a0.jpg?v=1787239327" TargetMode="External" Id="rId25"/><Relationship Type="http://schemas.openxmlformats.org/officeDocument/2006/relationships/hyperlink" Target="https://cdn.shopify.com/s/files/1/0792/5098/1063/files/de596ab0879cec52ad5e2a96c2ef7ec529fa83fcec514ad55907502143e123a0.jpg?v=1787239327" TargetMode="External" Id="rId26"/><Relationship Type="http://schemas.openxmlformats.org/officeDocument/2006/relationships/hyperlink" Target="https://cdn.shopify.com/s/files/1/0792/5098/1063/files/de596ab0879cec52ad5e2a96c2ef7ec529fa83fcec514ad55907502143e123a0.jpg?v=1787239327" TargetMode="External" Id="rId27"/><Relationship Type="http://schemas.openxmlformats.org/officeDocument/2006/relationships/hyperlink" Target="https://cdn.shopify.com/s/files/1/0792/5098/1063/files/c551c6c00f378c8ae6d61af5e53faaf79a1375863eefd1febffb9ecee0e3e4c9.jpg?v=1787239327" TargetMode="External" Id="rId28"/><Relationship Type="http://schemas.openxmlformats.org/officeDocument/2006/relationships/hyperlink" Target="https://cdn.shopify.com/s/files/1/0792/5098/1063/files/c551c6c00f378c8ae6d61af5e53faaf79a1375863eefd1febffb9ecee0e3e4c9.jpg?v=1787239327" TargetMode="External" Id="rId29"/><Relationship Type="http://schemas.openxmlformats.org/officeDocument/2006/relationships/hyperlink" Target="https://cdn.shopify.com/s/files/1/0792/5098/1063/files/c551c6c00f378c8ae6d61af5e53faaf79a1375863eefd1febffb9ecee0e3e4c9.jpg?v=1787239327" TargetMode="External" Id="rId30"/><Relationship Type="http://schemas.openxmlformats.org/officeDocument/2006/relationships/hyperlink" Target="https://cdn.shopify.com/s/files/1/0792/5098/1063/files/46ac5bc18554d3c8eef4fcfd803278c3caa3d66a0c5dad038cb8e03d55416938.jpg?v=1787239336" TargetMode="External" Id="rId31"/><Relationship Type="http://schemas.openxmlformats.org/officeDocument/2006/relationships/hyperlink" Target="https://cdn.shopify.com/s/files/1/0792/5098/1063/files/46ac5bc18554d3c8eef4fcfd803278c3caa3d66a0c5dad038cb8e03d55416938.jpg?v=1787239336" TargetMode="External" Id="rId32"/><Relationship Type="http://schemas.openxmlformats.org/officeDocument/2006/relationships/hyperlink" Target="https://cdn.shopify.com/s/files/1/0792/5098/1063/files/46ac5bc18554d3c8eef4fcfd803278c3caa3d66a0c5dad038cb8e03d55416938.jpg?v=1787239336" TargetMode="External" Id="rId33"/><Relationship Type="http://schemas.openxmlformats.org/officeDocument/2006/relationships/hyperlink" Target="https://cdn.shopify.com/s/files/1/0792/5098/1063/files/6253d0d99a44a39ec73a70fccf1fd5474c4304769ed308a2bce71e6ae7fc6773.jpg?v=1787239336" TargetMode="External" Id="rId34"/><Relationship Type="http://schemas.openxmlformats.org/officeDocument/2006/relationships/hyperlink" Target="https://cdn.shopify.com/s/files/1/0792/5098/1063/files/6253d0d99a44a39ec73a70fccf1fd5474c4304769ed308a2bce71e6ae7fc6773.jpg?v=1787239336" TargetMode="External" Id="rId35"/><Relationship Type="http://schemas.openxmlformats.org/officeDocument/2006/relationships/hyperlink" Target="https://cdn.shopify.com/s/files/1/0792/5098/1063/files/6253d0d99a44a39ec73a70fccf1fd5474c4304769ed308a2bce71e6ae7fc6773.jpg?v=1787239336" TargetMode="External" Id="rId36"/><Relationship Type="http://schemas.openxmlformats.org/officeDocument/2006/relationships/hyperlink" Target="https://cdn.shopify.com/s/files/1/0792/5098/1063/files/2de8ef1ba93562897c63ce73c8318e5dfa629b1dde66298ab9a0975f5c8e67fa.jpg?v=1787239336" TargetMode="External" Id="rId37"/><Relationship Type="http://schemas.openxmlformats.org/officeDocument/2006/relationships/hyperlink" Target="https://cdn.shopify.com/s/files/1/0792/5098/1063/files/2de8ef1ba93562897c63ce73c8318e5dfa629b1dde66298ab9a0975f5c8e67fa.jpg?v=1787239336" TargetMode="External" Id="rId38"/><Relationship Type="http://schemas.openxmlformats.org/officeDocument/2006/relationships/hyperlink" Target="https://cdn.shopify.com/s/files/1/0792/5098/1063/files/2de8ef1ba93562897c63ce73c8318e5dfa629b1dde66298ab9a0975f5c8e67fa.jpg?v=1787239336" TargetMode="External" Id="rId39"/><Relationship Type="http://schemas.openxmlformats.org/officeDocument/2006/relationships/hyperlink" Target="https://cdn.shopify.com/s/files/1/0792/5098/1063/files/3b2f22710d1a46e0e095953b6c975ddfea342c3464885dc25bfef9b9378fdb2e.jpg?v=1787239336" TargetMode="External" Id="rId40"/><Relationship Type="http://schemas.openxmlformats.org/officeDocument/2006/relationships/hyperlink" Target="https://cdn.shopify.com/s/files/1/0792/5098/1063/files/3b2f22710d1a46e0e095953b6c975ddfea342c3464885dc25bfef9b9378fdb2e.jpg?v=1787239336" TargetMode="External" Id="rId41"/><Relationship Type="http://schemas.openxmlformats.org/officeDocument/2006/relationships/hyperlink" Target="https://cdn.shopify.com/s/files/1/0792/5098/1063/files/3b2f22710d1a46e0e095953b6c975ddfea342c3464885dc25bfef9b9378fdb2e.jpg?v=1787239336" TargetMode="External" Id="rId42"/><Relationship Type="http://schemas.openxmlformats.org/officeDocument/2006/relationships/hyperlink" Target="https://cdn.shopify.com/s/files/1/0792/5098/1063/files/0dee6830a719b55bc41e1ff6962d26e0a61f2f790098df31d82ccf6c573e00bb.jpg?v=1787239336" TargetMode="External" Id="rId43"/><Relationship Type="http://schemas.openxmlformats.org/officeDocument/2006/relationships/hyperlink" Target="https://cdn.shopify.com/s/files/1/0792/5098/1063/files/0dee6830a719b55bc41e1ff6962d26e0a61f2f790098df31d82ccf6c573e00bb.jpg?v=1787239336" TargetMode="External" Id="rId44"/><Relationship Type="http://schemas.openxmlformats.org/officeDocument/2006/relationships/hyperlink" Target="https://cdn.shopify.com/s/files/1/0792/5098/1063/files/0dee6830a719b55bc41e1ff6962d26e0a61f2f790098df31d82ccf6c573e00bb.jpg?v=1787239336" TargetMode="External" Id="rId45"/><Relationship Type="http://schemas.openxmlformats.org/officeDocument/2006/relationships/hyperlink" Target="https://cdn.shopify.com/s/files/1/0792/5098/1063/files/d2bc26d7e0a1539757ff02234b818258378a4fed938876959c8d6c2a9252ab74.jpg?v=1787239380" TargetMode="External" Id="rId46"/><Relationship Type="http://schemas.openxmlformats.org/officeDocument/2006/relationships/hyperlink" Target="https://cdn.shopify.com/s/files/1/0792/5098/1063/files/d2bc26d7e0a1539757ff02234b818258378a4fed938876959c8d6c2a9252ab74.jpg?v=1787239380" TargetMode="External" Id="rId47"/><Relationship Type="http://schemas.openxmlformats.org/officeDocument/2006/relationships/hyperlink" Target="https://cdn.shopify.com/s/files/1/0792/5098/1063/files/d2bc26d7e0a1539757ff02234b818258378a4fed938876959c8d6c2a9252ab74.jpg?v=1787239380" TargetMode="External" Id="rId48"/><Relationship Type="http://schemas.openxmlformats.org/officeDocument/2006/relationships/hyperlink" Target="https://cdn.shopify.com/s/files/1/0792/5098/1063/files/92819bbb1bab62430498426868c03f6a71d83b02976baffe6e9ae7c163a8d57a.jpg?v=1787239380" TargetMode="External" Id="rId49"/><Relationship Type="http://schemas.openxmlformats.org/officeDocument/2006/relationships/hyperlink" Target="https://cdn.shopify.com/s/files/1/0792/5098/1063/files/92819bbb1bab62430498426868c03f6a71d83b02976baffe6e9ae7c163a8d57a.jpg?v=1787239380" TargetMode="External" Id="rId50"/><Relationship Type="http://schemas.openxmlformats.org/officeDocument/2006/relationships/hyperlink" Target="https://cdn.shopify.com/s/files/1/0792/5098/1063/files/92819bbb1bab62430498426868c03f6a71d83b02976baffe6e9ae7c163a8d57a.jpg?v=1787239380" TargetMode="External" Id="rId51"/><Relationship Type="http://schemas.openxmlformats.org/officeDocument/2006/relationships/hyperlink" Target="https://cdn.shopify.com/s/files/1/0792/5098/1063/files/8b9b39ff116a9ed0e810e59f32df8035bc7842af460038e5fe9e42fe52d11d2b.jpg?v=1787239380" TargetMode="External" Id="rId52"/><Relationship Type="http://schemas.openxmlformats.org/officeDocument/2006/relationships/hyperlink" Target="https://cdn.shopify.com/s/files/1/0792/5098/1063/files/8b9b39ff116a9ed0e810e59f32df8035bc7842af460038e5fe9e42fe52d11d2b.jpg?v=1787239380" TargetMode="External" Id="rId53"/><Relationship Type="http://schemas.openxmlformats.org/officeDocument/2006/relationships/hyperlink" Target="https://cdn.shopify.com/s/files/1/0792/5098/1063/files/8b9b39ff116a9ed0e810e59f32df8035bc7842af460038e5fe9e42fe52d11d2b.jpg?v=1787239380" TargetMode="External" Id="rId54"/><Relationship Type="http://schemas.openxmlformats.org/officeDocument/2006/relationships/hyperlink" Target="https://cdn.shopify.com/s/files/1/0792/5098/1063/files/ff6861c326fe77551be0989f5304657a44c60df7dd12c0c301ad5ca8d111f257.jpg?v=1787239380" TargetMode="External" Id="rId55"/><Relationship Type="http://schemas.openxmlformats.org/officeDocument/2006/relationships/hyperlink" Target="https://cdn.shopify.com/s/files/1/0792/5098/1063/files/ff6861c326fe77551be0989f5304657a44c60df7dd12c0c301ad5ca8d111f257.jpg?v=1787239380" TargetMode="External" Id="rId56"/><Relationship Type="http://schemas.openxmlformats.org/officeDocument/2006/relationships/hyperlink" Target="https://cdn.shopify.com/s/files/1/0792/5098/1063/files/ff6861c326fe77551be0989f5304657a44c60df7dd12c0c301ad5ca8d111f257.jpg?v=1787239380" TargetMode="External" Id="rId57"/><Relationship Type="http://schemas.openxmlformats.org/officeDocument/2006/relationships/hyperlink" Target="https://cdn.shopify.com/s/files/1/0792/5098/1063/files/a525d08980e5d668ee538fa59be8827c6e640884669920a738b16cc49b1b4c24.jpg?v=1787239380" TargetMode="External" Id="rId58"/><Relationship Type="http://schemas.openxmlformats.org/officeDocument/2006/relationships/hyperlink" Target="https://cdn.shopify.com/s/files/1/0792/5098/1063/files/a525d08980e5d668ee538fa59be8827c6e640884669920a738b16cc49b1b4c24.jpg?v=1787239380" TargetMode="External" Id="rId59"/><Relationship Type="http://schemas.openxmlformats.org/officeDocument/2006/relationships/hyperlink" Target="https://cdn.shopify.com/s/files/1/0792/5098/1063/files/a525d08980e5d668ee538fa59be8827c6e640884669920a738b16cc49b1b4c24.jpg?v=1787239380" TargetMode="External" Id="rId60"/><Relationship Type="http://schemas.openxmlformats.org/officeDocument/2006/relationships/hyperlink" Target="https://cdn.shopify.com/s/files/1/0792/5098/1063/files/c9012211f4a80fc29b04e6c36a6d06286d3bcd99481ba14bb0f48bbd8dc22628.jpg?v=1787239292" TargetMode="External" Id="rId61"/><Relationship Type="http://schemas.openxmlformats.org/officeDocument/2006/relationships/hyperlink" Target="https://cdn.shopify.com/s/files/1/0792/5098/1063/files/c9012211f4a80fc29b04e6c36a6d06286d3bcd99481ba14bb0f48bbd8dc22628.jpg?v=1787239292" TargetMode="External" Id="rId62"/><Relationship Type="http://schemas.openxmlformats.org/officeDocument/2006/relationships/hyperlink" Target="https://cdn.shopify.com/s/files/1/0792/5098/1063/files/c9012211f4a80fc29b04e6c36a6d06286d3bcd99481ba14bb0f48bbd8dc22628.jpg?v=1787239292" TargetMode="External" Id="rId63"/><Relationship Type="http://schemas.openxmlformats.org/officeDocument/2006/relationships/hyperlink" Target="https://cdn.shopify.com/s/files/1/0792/5098/1063/files/839d3838d97a9792a8c1011e15becc2872cb904640fdb176e9d34c9ec4a1382f.jpg?v=1787239292" TargetMode="External" Id="rId64"/><Relationship Type="http://schemas.openxmlformats.org/officeDocument/2006/relationships/hyperlink" Target="https://cdn.shopify.com/s/files/1/0792/5098/1063/files/839d3838d97a9792a8c1011e15becc2872cb904640fdb176e9d34c9ec4a1382f.jpg?v=1787239292" TargetMode="External" Id="rId65"/><Relationship Type="http://schemas.openxmlformats.org/officeDocument/2006/relationships/hyperlink" Target="https://cdn.shopify.com/s/files/1/0792/5098/1063/files/839d3838d97a9792a8c1011e15becc2872cb904640fdb176e9d34c9ec4a1382f.jpg?v=1787239292" TargetMode="External" Id="rId66"/><Relationship Type="http://schemas.openxmlformats.org/officeDocument/2006/relationships/hyperlink" Target="https://cdn.shopify.com/s/files/1/0792/5098/1063/files/029f59325955756dff3beb424bb93f337eade1161d1694ef1f392a84a004e0d4.jpg?v=1787239292" TargetMode="External" Id="rId67"/><Relationship Type="http://schemas.openxmlformats.org/officeDocument/2006/relationships/hyperlink" Target="https://cdn.shopify.com/s/files/1/0792/5098/1063/files/029f59325955756dff3beb424bb93f337eade1161d1694ef1f392a84a004e0d4.jpg?v=1787239292" TargetMode="External" Id="rId68"/><Relationship Type="http://schemas.openxmlformats.org/officeDocument/2006/relationships/hyperlink" Target="https://cdn.shopify.com/s/files/1/0792/5098/1063/files/029f59325955756dff3beb424bb93f337eade1161d1694ef1f392a84a004e0d4.jpg?v=1787239292" TargetMode="External" Id="rId69"/><Relationship Type="http://schemas.openxmlformats.org/officeDocument/2006/relationships/hyperlink" Target="https://cdn.shopify.com/s/files/1/0792/5098/1063/files/b12a3b8244039f69fe8236f2263a3bb2f6cef1a9d48030f14c267fcc7b0cf9e0.jpg?v=1787239292" TargetMode="External" Id="rId70"/><Relationship Type="http://schemas.openxmlformats.org/officeDocument/2006/relationships/hyperlink" Target="https://cdn.shopify.com/s/files/1/0792/5098/1063/files/b12a3b8244039f69fe8236f2263a3bb2f6cef1a9d48030f14c267fcc7b0cf9e0.jpg?v=1787239292" TargetMode="External" Id="rId71"/><Relationship Type="http://schemas.openxmlformats.org/officeDocument/2006/relationships/hyperlink" Target="https://cdn.shopify.com/s/files/1/0792/5098/1063/files/b12a3b8244039f69fe8236f2263a3bb2f6cef1a9d48030f14c267fcc7b0cf9e0.jpg?v=1787239292" TargetMode="External" Id="rId72"/><Relationship Type="http://schemas.openxmlformats.org/officeDocument/2006/relationships/hyperlink" Target="https://cdn.shopify.com/s/files/1/0792/5098/1063/files/db17975966105e572ee398b3501c29ac2c8a38f61dae4eb1e3d795982c917bc2.jpg?v=1787239292" TargetMode="External" Id="rId73"/><Relationship Type="http://schemas.openxmlformats.org/officeDocument/2006/relationships/hyperlink" Target="https://cdn.shopify.com/s/files/1/0792/5098/1063/files/db17975966105e572ee398b3501c29ac2c8a38f61dae4eb1e3d795982c917bc2.jpg?v=1787239292" TargetMode="External" Id="rId74"/><Relationship Type="http://schemas.openxmlformats.org/officeDocument/2006/relationships/hyperlink" Target="https://cdn.shopify.com/s/files/1/0792/5098/1063/files/db17975966105e572ee398b3501c29ac2c8a38f61dae4eb1e3d795982c917bc2.jpg?v=1787239292" TargetMode="External" Id="rId75"/><Relationship Type="http://schemas.openxmlformats.org/officeDocument/2006/relationships/hyperlink" Target="https://cdn.shopify.com/s/files/1/0792/5098/1063/files/cfd15964c5a578a0d72eca69fce5d3b6e69d208ab70ee89a4fecaa6fc490d6dc.jpg?v=1787239369" TargetMode="External" Id="rId76"/><Relationship Type="http://schemas.openxmlformats.org/officeDocument/2006/relationships/hyperlink" Target="https://cdn.shopify.com/s/files/1/0792/5098/1063/files/cfd15964c5a578a0d72eca69fce5d3b6e69d208ab70ee89a4fecaa6fc490d6dc.jpg?v=1787239369" TargetMode="External" Id="rId77"/><Relationship Type="http://schemas.openxmlformats.org/officeDocument/2006/relationships/hyperlink" Target="https://cdn.shopify.com/s/files/1/0792/5098/1063/files/cfd15964c5a578a0d72eca69fce5d3b6e69d208ab70ee89a4fecaa6fc490d6dc.jpg?v=1787239369" TargetMode="External" Id="rId78"/><Relationship Type="http://schemas.openxmlformats.org/officeDocument/2006/relationships/hyperlink" Target="https://cdn.shopify.com/s/files/1/0792/5098/1063/files/86e7cf9fde4b0b585dedce2199d4a124a61ae29e25d0eeffb64f5836d7944670.jpg?v=1787239369" TargetMode="External" Id="rId79"/><Relationship Type="http://schemas.openxmlformats.org/officeDocument/2006/relationships/hyperlink" Target="https://cdn.shopify.com/s/files/1/0792/5098/1063/files/86e7cf9fde4b0b585dedce2199d4a124a61ae29e25d0eeffb64f5836d7944670.jpg?v=1787239369" TargetMode="External" Id="rId80"/><Relationship Type="http://schemas.openxmlformats.org/officeDocument/2006/relationships/hyperlink" Target="https://cdn.shopify.com/s/files/1/0792/5098/1063/files/86e7cf9fde4b0b585dedce2199d4a124a61ae29e25d0eeffb64f5836d7944670.jpg?v=1787239369" TargetMode="External" Id="rId81"/><Relationship Type="http://schemas.openxmlformats.org/officeDocument/2006/relationships/hyperlink" Target="https://cdn.shopify.com/s/files/1/0792/5098/1063/files/831baca24e7f78fe5b238f870105905aebb283699f1d966c44611c51f763376c.jpg?v=1787239368" TargetMode="External" Id="rId82"/><Relationship Type="http://schemas.openxmlformats.org/officeDocument/2006/relationships/hyperlink" Target="https://cdn.shopify.com/s/files/1/0792/5098/1063/files/831baca24e7f78fe5b238f870105905aebb283699f1d966c44611c51f763376c.jpg?v=1787239368" TargetMode="External" Id="rId83"/><Relationship Type="http://schemas.openxmlformats.org/officeDocument/2006/relationships/hyperlink" Target="https://cdn.shopify.com/s/files/1/0792/5098/1063/files/831baca24e7f78fe5b238f870105905aebb283699f1d966c44611c51f763376c.jpg?v=1787239368" TargetMode="External" Id="rId84"/><Relationship Type="http://schemas.openxmlformats.org/officeDocument/2006/relationships/hyperlink" Target="https://cdn.shopify.com/s/files/1/0792/5098/1063/files/2f4d4c35afff8f2089e0135e46abde6f635650c9769aa95164023d71bd8441f7.jpg?v=1787239368" TargetMode="External" Id="rId85"/><Relationship Type="http://schemas.openxmlformats.org/officeDocument/2006/relationships/hyperlink" Target="https://cdn.shopify.com/s/files/1/0792/5098/1063/files/2f4d4c35afff8f2089e0135e46abde6f635650c9769aa95164023d71bd8441f7.jpg?v=1787239368" TargetMode="External" Id="rId86"/><Relationship Type="http://schemas.openxmlformats.org/officeDocument/2006/relationships/hyperlink" Target="https://cdn.shopify.com/s/files/1/0792/5098/1063/files/2f4d4c35afff8f2089e0135e46abde6f635650c9769aa95164023d71bd8441f7.jpg?v=1787239368" TargetMode="External" Id="rId87"/><Relationship Type="http://schemas.openxmlformats.org/officeDocument/2006/relationships/hyperlink" Target="https://cdn.shopify.com/s/files/1/0792/5098/1063/files/1061d99508b65a3791be2f40d46d11d955f9c37d218235d1ab797254f993a666.jpg?v=1787239369" TargetMode="External" Id="rId88"/><Relationship Type="http://schemas.openxmlformats.org/officeDocument/2006/relationships/hyperlink" Target="https://cdn.shopify.com/s/files/1/0792/5098/1063/files/1061d99508b65a3791be2f40d46d11d955f9c37d218235d1ab797254f993a666.jpg?v=1787239369" TargetMode="External" Id="rId89"/><Relationship Type="http://schemas.openxmlformats.org/officeDocument/2006/relationships/hyperlink" Target="https://cdn.shopify.com/s/files/1/0792/5098/1063/files/1061d99508b65a3791be2f40d46d11d955f9c37d218235d1ab797254f993a666.jpg?v=1787239369" TargetMode="External" Id="rId90"/><Relationship Type="http://schemas.openxmlformats.org/officeDocument/2006/relationships/hyperlink" Target="https://cdn.shopify.com/s/files/1/0792/5098/1063/files/76a7585bd4cd30b07b5040b9e886936f39bc38e39d68a0e9ad8c7762fc463cc2.jpg?v=1787239299" TargetMode="External" Id="rId91"/><Relationship Type="http://schemas.openxmlformats.org/officeDocument/2006/relationships/hyperlink" Target="https://cdn.shopify.com/s/files/1/0792/5098/1063/files/76a7585bd4cd30b07b5040b9e886936f39bc38e39d68a0e9ad8c7762fc463cc2.jpg?v=1787239299" TargetMode="External" Id="rId92"/><Relationship Type="http://schemas.openxmlformats.org/officeDocument/2006/relationships/hyperlink" Target="https://cdn.shopify.com/s/files/1/0792/5098/1063/files/76a7585bd4cd30b07b5040b9e886936f39bc38e39d68a0e9ad8c7762fc463cc2.jpg?v=1787239299" TargetMode="External" Id="rId93"/><Relationship Type="http://schemas.openxmlformats.org/officeDocument/2006/relationships/hyperlink" Target="https://cdn.shopify.com/s/files/1/0792/5098/1063/files/771b444bc3c1e5abffae2b5c7e4c8a21e7d9116e9df079048baf711d9cdab5de.jpg?v=1787239299" TargetMode="External" Id="rId94"/><Relationship Type="http://schemas.openxmlformats.org/officeDocument/2006/relationships/hyperlink" Target="https://cdn.shopify.com/s/files/1/0792/5098/1063/files/771b444bc3c1e5abffae2b5c7e4c8a21e7d9116e9df079048baf711d9cdab5de.jpg?v=1787239299" TargetMode="External" Id="rId95"/><Relationship Type="http://schemas.openxmlformats.org/officeDocument/2006/relationships/hyperlink" Target="https://cdn.shopify.com/s/files/1/0792/5098/1063/files/771b444bc3c1e5abffae2b5c7e4c8a21e7d9116e9df079048baf711d9cdab5de.jpg?v=1787239299" TargetMode="External" Id="rId96"/><Relationship Type="http://schemas.openxmlformats.org/officeDocument/2006/relationships/hyperlink" Target="https://cdn.shopify.com/s/files/1/0792/5098/1063/files/1633b2e89fa22831d4dc4a89053d8f3b3c491963e2b6b8e797728b03f280d901.jpg?v=1787239299" TargetMode="External" Id="rId97"/><Relationship Type="http://schemas.openxmlformats.org/officeDocument/2006/relationships/hyperlink" Target="https://cdn.shopify.com/s/files/1/0792/5098/1063/files/1633b2e89fa22831d4dc4a89053d8f3b3c491963e2b6b8e797728b03f280d901.jpg?v=1787239299" TargetMode="External" Id="rId98"/><Relationship Type="http://schemas.openxmlformats.org/officeDocument/2006/relationships/hyperlink" Target="https://cdn.shopify.com/s/files/1/0792/5098/1063/files/1633b2e89fa22831d4dc4a89053d8f3b3c491963e2b6b8e797728b03f280d901.jpg?v=1787239299" TargetMode="External" Id="rId99"/><Relationship Type="http://schemas.openxmlformats.org/officeDocument/2006/relationships/hyperlink" Target="https://cdn.shopify.com/s/files/1/0792/5098/1063/files/8f72705c73157de73c90d17e957027dab4c5f6da82cd04f8c0291ff9478cbcb5.jpg?v=1787239299" TargetMode="External" Id="rId100"/><Relationship Type="http://schemas.openxmlformats.org/officeDocument/2006/relationships/hyperlink" Target="https://cdn.shopify.com/s/files/1/0792/5098/1063/files/8f72705c73157de73c90d17e957027dab4c5f6da82cd04f8c0291ff9478cbcb5.jpg?v=1787239299" TargetMode="External" Id="rId101"/><Relationship Type="http://schemas.openxmlformats.org/officeDocument/2006/relationships/hyperlink" Target="https://cdn.shopify.com/s/files/1/0792/5098/1063/files/8f72705c73157de73c90d17e957027dab4c5f6da82cd04f8c0291ff9478cbcb5.jpg?v=1787239299" TargetMode="External" Id="rId102"/><Relationship Type="http://schemas.openxmlformats.org/officeDocument/2006/relationships/hyperlink" Target="https://cdn.shopify.com/s/files/1/0792/5098/1063/files/581cabcc8f29304036025dfeda00684fc9b10f6fda52339d78d676869aca4f8d.jpg?v=1787239300" TargetMode="External" Id="rId103"/><Relationship Type="http://schemas.openxmlformats.org/officeDocument/2006/relationships/hyperlink" Target="https://cdn.shopify.com/s/files/1/0792/5098/1063/files/581cabcc8f29304036025dfeda00684fc9b10f6fda52339d78d676869aca4f8d.jpg?v=1787239300" TargetMode="External" Id="rId104"/><Relationship Type="http://schemas.openxmlformats.org/officeDocument/2006/relationships/hyperlink" Target="https://cdn.shopify.com/s/files/1/0792/5098/1063/files/581cabcc8f29304036025dfeda00684fc9b10f6fda52339d78d676869aca4f8d.jpg?v=1787239300" TargetMode="External" Id="rId105"/><Relationship Type="http://schemas.openxmlformats.org/officeDocument/2006/relationships/hyperlink" Target="https://cdn.shopify.com/s/files/1/0792/5098/1063/files/46766faf8cb22969ec6d9243d29501302e7d75e6617406cd4d523e3d582c385e.jpg?v=1787239287" TargetMode="External" Id="rId106"/><Relationship Type="http://schemas.openxmlformats.org/officeDocument/2006/relationships/hyperlink" Target="https://cdn.shopify.com/s/files/1/0792/5098/1063/files/46766faf8cb22969ec6d9243d29501302e7d75e6617406cd4d523e3d582c385e.jpg?v=1787239287" TargetMode="External" Id="rId107"/><Relationship Type="http://schemas.openxmlformats.org/officeDocument/2006/relationships/hyperlink" Target="https://cdn.shopify.com/s/files/1/0792/5098/1063/files/46766faf8cb22969ec6d9243d29501302e7d75e6617406cd4d523e3d582c385e.jpg?v=1787239287" TargetMode="External" Id="rId108"/><Relationship Type="http://schemas.openxmlformats.org/officeDocument/2006/relationships/hyperlink" Target="https://cdn.shopify.com/s/files/1/0792/5098/1063/files/aefdb300474b2be72d2922e6647c41bde3bb061800ef5a5d164b41494b81fb19.jpg?v=1787239287" TargetMode="External" Id="rId109"/><Relationship Type="http://schemas.openxmlformats.org/officeDocument/2006/relationships/hyperlink" Target="https://cdn.shopify.com/s/files/1/0792/5098/1063/files/aefdb300474b2be72d2922e6647c41bde3bb061800ef5a5d164b41494b81fb19.jpg?v=1787239287" TargetMode="External" Id="rId110"/><Relationship Type="http://schemas.openxmlformats.org/officeDocument/2006/relationships/hyperlink" Target="https://cdn.shopify.com/s/files/1/0792/5098/1063/files/aefdb300474b2be72d2922e6647c41bde3bb061800ef5a5d164b41494b81fb19.jpg?v=1787239287" TargetMode="External" Id="rId111"/><Relationship Type="http://schemas.openxmlformats.org/officeDocument/2006/relationships/hyperlink" Target="https://cdn.shopify.com/s/files/1/0792/5098/1063/files/3a3d71b9e950f5c9823b2552370a6a4a7cba089c4b15f174d2430e5fa07d5a5d.jpg?v=1787239286" TargetMode="External" Id="rId112"/><Relationship Type="http://schemas.openxmlformats.org/officeDocument/2006/relationships/hyperlink" Target="https://cdn.shopify.com/s/files/1/0792/5098/1063/files/3a3d71b9e950f5c9823b2552370a6a4a7cba089c4b15f174d2430e5fa07d5a5d.jpg?v=1787239286" TargetMode="External" Id="rId113"/><Relationship Type="http://schemas.openxmlformats.org/officeDocument/2006/relationships/hyperlink" Target="https://cdn.shopify.com/s/files/1/0792/5098/1063/files/3a3d71b9e950f5c9823b2552370a6a4a7cba089c4b15f174d2430e5fa07d5a5d.jpg?v=1787239286" TargetMode="External" Id="rId114"/><Relationship Type="http://schemas.openxmlformats.org/officeDocument/2006/relationships/hyperlink" Target="https://cdn.shopify.com/s/files/1/0792/5098/1063/files/7066a2433b3f12d4cacd6f4e8cc8c23427cc728f21337e12f0e0996e3b9d0eac.jpg?v=1787239286" TargetMode="External" Id="rId115"/><Relationship Type="http://schemas.openxmlformats.org/officeDocument/2006/relationships/hyperlink" Target="https://cdn.shopify.com/s/files/1/0792/5098/1063/files/7066a2433b3f12d4cacd6f4e8cc8c23427cc728f21337e12f0e0996e3b9d0eac.jpg?v=1787239286" TargetMode="External" Id="rId116"/><Relationship Type="http://schemas.openxmlformats.org/officeDocument/2006/relationships/hyperlink" Target="https://cdn.shopify.com/s/files/1/0792/5098/1063/files/7066a2433b3f12d4cacd6f4e8cc8c23427cc728f21337e12f0e0996e3b9d0eac.jpg?v=1787239286" TargetMode="External" Id="rId117"/><Relationship Type="http://schemas.openxmlformats.org/officeDocument/2006/relationships/hyperlink" Target="https://cdn.shopify.com/s/files/1/0792/5098/1063/files/7b383fdda314586dd2b1631d354d11f6044cf860e78d60b0da30f368498ad48f.jpg?v=1787239286" TargetMode="External" Id="rId118"/><Relationship Type="http://schemas.openxmlformats.org/officeDocument/2006/relationships/hyperlink" Target="https://cdn.shopify.com/s/files/1/0792/5098/1063/files/7b383fdda314586dd2b1631d354d11f6044cf860e78d60b0da30f368498ad48f.jpg?v=1787239286" TargetMode="External" Id="rId119"/><Relationship Type="http://schemas.openxmlformats.org/officeDocument/2006/relationships/hyperlink" Target="https://cdn.shopify.com/s/files/1/0792/5098/1063/files/7b383fdda314586dd2b1631d354d11f6044cf860e78d60b0da30f368498ad48f.jpg?v=1787239286" TargetMode="External" Id="rId120"/><Relationship Type="http://schemas.openxmlformats.org/officeDocument/2006/relationships/hyperlink" Target="https://cdn.shopify.com/s/files/1/0792/5098/1063/files/bf28c41377cdb7a1ead58c1b8bf6522ea073b8840f5304f63418bda5d7a7b388.jpg?v=1785098877" TargetMode="External" Id="rId121"/><Relationship Type="http://schemas.openxmlformats.org/officeDocument/2006/relationships/hyperlink" Target="https://cdn.shopify.com/s/files/1/0792/5098/1063/files/bf28c41377cdb7a1ead58c1b8bf6522ea073b8840f5304f63418bda5d7a7b388.jpg?v=1785098877" TargetMode="External" Id="rId122"/><Relationship Type="http://schemas.openxmlformats.org/officeDocument/2006/relationships/hyperlink" Target="https://cdn.shopify.com/s/files/1/0792/5098/1063/files/bf28c41377cdb7a1ead58c1b8bf6522ea073b8840f5304f63418bda5d7a7b388.jpg?v=1785098877" TargetMode="External" Id="rId123"/><Relationship Type="http://schemas.openxmlformats.org/officeDocument/2006/relationships/hyperlink" Target="https://cdn.shopify.com/s/files/1/0792/5098/1063/files/81f3805955113fdaf94272a97be66d4eb8728684496654f5010e77aa4ab8e87b.jpg?v=1785098877" TargetMode="External" Id="rId124"/><Relationship Type="http://schemas.openxmlformats.org/officeDocument/2006/relationships/hyperlink" Target="https://cdn.shopify.com/s/files/1/0792/5098/1063/files/81f3805955113fdaf94272a97be66d4eb8728684496654f5010e77aa4ab8e87b.jpg?v=1785098877" TargetMode="External" Id="rId125"/><Relationship Type="http://schemas.openxmlformats.org/officeDocument/2006/relationships/hyperlink" Target="https://cdn.shopify.com/s/files/1/0792/5098/1063/files/81f3805955113fdaf94272a97be66d4eb8728684496654f5010e77aa4ab8e87b.jpg?v=1785098877" TargetMode="External" Id="rId126"/><Relationship Type="http://schemas.openxmlformats.org/officeDocument/2006/relationships/hyperlink" Target="https://cdn.shopify.com/s/files/1/0792/5098/1063/files/71627aa23557dde06f36d989c7eea33ac95d6403196bf70fbc4eefcf56b6e70f.jpg?v=1785098877" TargetMode="External" Id="rId127"/><Relationship Type="http://schemas.openxmlformats.org/officeDocument/2006/relationships/hyperlink" Target="https://cdn.shopify.com/s/files/1/0792/5098/1063/files/71627aa23557dde06f36d989c7eea33ac95d6403196bf70fbc4eefcf56b6e70f.jpg?v=1785098877" TargetMode="External" Id="rId128"/><Relationship Type="http://schemas.openxmlformats.org/officeDocument/2006/relationships/hyperlink" Target="https://cdn.shopify.com/s/files/1/0792/5098/1063/files/71627aa23557dde06f36d989c7eea33ac95d6403196bf70fbc4eefcf56b6e70f.jpg?v=1785098877" TargetMode="External" Id="rId129"/><Relationship Type="http://schemas.openxmlformats.org/officeDocument/2006/relationships/hyperlink" Target="https://cdn.shopify.com/s/files/1/0792/5098/1063/files/b845f1cebf41c07e8603d709af5f48108735e52a2b08909404bc927ce2f2fba6.jpg?v=1785098877" TargetMode="External" Id="rId130"/><Relationship Type="http://schemas.openxmlformats.org/officeDocument/2006/relationships/hyperlink" Target="https://cdn.shopify.com/s/files/1/0792/5098/1063/files/b845f1cebf41c07e8603d709af5f48108735e52a2b08909404bc927ce2f2fba6.jpg?v=1785098877" TargetMode="External" Id="rId131"/><Relationship Type="http://schemas.openxmlformats.org/officeDocument/2006/relationships/hyperlink" Target="https://cdn.shopify.com/s/files/1/0792/5098/1063/files/b845f1cebf41c07e8603d709af5f48108735e52a2b08909404bc927ce2f2fba6.jpg?v=1785098877" TargetMode="External" Id="rId132"/><Relationship Type="http://schemas.openxmlformats.org/officeDocument/2006/relationships/hyperlink" Target="https://cdn.shopify.com/s/files/1/0792/5098/1063/files/1fac1cce8b7ccababe2eb09442d3c916aba2c52da0db73e8cf64b748a51cde9b.jpg?v=1785098877" TargetMode="External" Id="rId133"/><Relationship Type="http://schemas.openxmlformats.org/officeDocument/2006/relationships/hyperlink" Target="https://cdn.shopify.com/s/files/1/0792/5098/1063/files/1fac1cce8b7ccababe2eb09442d3c916aba2c52da0db73e8cf64b748a51cde9b.jpg?v=1785098877" TargetMode="External" Id="rId134"/><Relationship Type="http://schemas.openxmlformats.org/officeDocument/2006/relationships/hyperlink" Target="https://cdn.shopify.com/s/files/1/0792/5098/1063/files/1fac1cce8b7ccababe2eb09442d3c916aba2c52da0db73e8cf64b748a51cde9b.jpg?v=1785098877" TargetMode="External" Id="rId135"/><Relationship Type="http://schemas.openxmlformats.org/officeDocument/2006/relationships/hyperlink" Target="https://cdn.shopify.com/s/files/1/0792/5098/1063/files/7f0f7c972b51dc5c33f101a4d3a2b691df2bbeddf273a1476dd88ac51d509beb.jpg?v=1785099457" TargetMode="External" Id="rId136"/><Relationship Type="http://schemas.openxmlformats.org/officeDocument/2006/relationships/hyperlink" Target="https://cdn.shopify.com/s/files/1/0792/5098/1063/files/7f0f7c972b51dc5c33f101a4d3a2b691df2bbeddf273a1476dd88ac51d509beb.jpg?v=1785099457" TargetMode="External" Id="rId137"/><Relationship Type="http://schemas.openxmlformats.org/officeDocument/2006/relationships/hyperlink" Target="https://cdn.shopify.com/s/files/1/0792/5098/1063/files/7f0f7c972b51dc5c33f101a4d3a2b691df2bbeddf273a1476dd88ac51d509beb.jpg?v=1785099457" TargetMode="External" Id="rId138"/><Relationship Type="http://schemas.openxmlformats.org/officeDocument/2006/relationships/hyperlink" Target="https://cdn.shopify.com/s/files/1/0792/5098/1063/files/5e721c7639a6dabb93bc6beaa75f1f177b995a54e6852aab0e8a13d284356650.jpg?v=1785099457" TargetMode="External" Id="rId139"/><Relationship Type="http://schemas.openxmlformats.org/officeDocument/2006/relationships/hyperlink" Target="https://cdn.shopify.com/s/files/1/0792/5098/1063/files/5e721c7639a6dabb93bc6beaa75f1f177b995a54e6852aab0e8a13d284356650.jpg?v=1785099457" TargetMode="External" Id="rId140"/><Relationship Type="http://schemas.openxmlformats.org/officeDocument/2006/relationships/hyperlink" Target="https://cdn.shopify.com/s/files/1/0792/5098/1063/files/5e721c7639a6dabb93bc6beaa75f1f177b995a54e6852aab0e8a13d284356650.jpg?v=1785099457" TargetMode="External" Id="rId141"/><Relationship Type="http://schemas.openxmlformats.org/officeDocument/2006/relationships/hyperlink" Target="https://cdn.shopify.com/s/files/1/0792/5098/1063/files/d9efdd2323a7b245add351d35c70df2b8916ba50b2c07232a28ce2618017c7ca.jpg?v=1785099457" TargetMode="External" Id="rId142"/><Relationship Type="http://schemas.openxmlformats.org/officeDocument/2006/relationships/hyperlink" Target="https://cdn.shopify.com/s/files/1/0792/5098/1063/files/d9efdd2323a7b245add351d35c70df2b8916ba50b2c07232a28ce2618017c7ca.jpg?v=1785099457" TargetMode="External" Id="rId143"/><Relationship Type="http://schemas.openxmlformats.org/officeDocument/2006/relationships/hyperlink" Target="https://cdn.shopify.com/s/files/1/0792/5098/1063/files/d9efdd2323a7b245add351d35c70df2b8916ba50b2c07232a28ce2618017c7ca.jpg?v=1785099457" TargetMode="External" Id="rId144"/><Relationship Type="http://schemas.openxmlformats.org/officeDocument/2006/relationships/hyperlink" Target="https://cdn.shopify.com/s/files/1/0792/5098/1063/files/b311d7393465380998bca8b3a9210a013c229b61d664f3dce0691513d873c82e.jpg?v=1785099457" TargetMode="External" Id="rId145"/><Relationship Type="http://schemas.openxmlformats.org/officeDocument/2006/relationships/hyperlink" Target="https://cdn.shopify.com/s/files/1/0792/5098/1063/files/b311d7393465380998bca8b3a9210a013c229b61d664f3dce0691513d873c82e.jpg?v=1785099457" TargetMode="External" Id="rId146"/><Relationship Type="http://schemas.openxmlformats.org/officeDocument/2006/relationships/hyperlink" Target="https://cdn.shopify.com/s/files/1/0792/5098/1063/files/b311d7393465380998bca8b3a9210a013c229b61d664f3dce0691513d873c82e.jpg?v=1785099457" TargetMode="External" Id="rId147"/><Relationship Type="http://schemas.openxmlformats.org/officeDocument/2006/relationships/hyperlink" Target="https://cdn.shopify.com/s/files/1/0792/5098/1063/files/b3f4b380fddc0b4717e5a8960ebd73a239442861c5a0cc84575c35c7339c41e1.jpg?v=1785099457" TargetMode="External" Id="rId148"/><Relationship Type="http://schemas.openxmlformats.org/officeDocument/2006/relationships/hyperlink" Target="https://cdn.shopify.com/s/files/1/0792/5098/1063/files/b3f4b380fddc0b4717e5a8960ebd73a239442861c5a0cc84575c35c7339c41e1.jpg?v=1785099457" TargetMode="External" Id="rId149"/><Relationship Type="http://schemas.openxmlformats.org/officeDocument/2006/relationships/hyperlink" Target="https://cdn.shopify.com/s/files/1/0792/5098/1063/files/b3f4b380fddc0b4717e5a8960ebd73a239442861c5a0cc84575c35c7339c41e1.jpg?v=1785099457" TargetMode="External" Id="rId150"/></Relationships>
</file>

<file path=xl/worksheets/_rels/sheet5.xml.rels><Relationships xmlns="http://schemas.openxmlformats.org/package/2006/relationships"><Relationship Type="http://schemas.openxmlformats.org/officeDocument/2006/relationships/hyperlink" Target="https://jeminise.com/products/christmas-bedding-quilt-soft-microfiber-holiday-bedsprea-design-05; seo_runs/jeminise.com/20260906_234129/qa/20260909_120000/source_snapshot/live/21_christmas-bedding-quilt-soft-microfiber-holiday-bedsprea-design-05.js.json" TargetMode="External" Id="rId1"/><Relationship Type="http://schemas.openxmlformats.org/officeDocument/2006/relationships/hyperlink" Target="https://jeminise.com/products/christmas-bedding-quilt-soft-microfiber-holiday-bedsprea-design-06; seo_runs/jeminise.com/20260906_234129/qa/20260909_120000/source_snapshot/live/22_christmas-bedding-quilt-soft-microfiber-holiday-bedsprea-design-06.js.json" TargetMode="External" Id="rId2"/><Relationship Type="http://schemas.openxmlformats.org/officeDocument/2006/relationships/hyperlink" Target="https://jeminise.com/products/christmas-bedding-quilt-soft-microfiber-holiday-bedsprea-design-08; seo_runs/jeminise.com/20260906_234129/qa/20260909_120000/source_snapshot/live/23_christmas-bedding-quilt-soft-microfiber-holiday-bedsprea-design-08.js.json" TargetMode="External" Id="rId3"/><Relationship Type="http://schemas.openxmlformats.org/officeDocument/2006/relationships/hyperlink" Target="https://jeminise.com/products/christmas-bedding-quilt-soft-microfiber-holiday-bedsprea-design-09; seo_runs/jeminise.com/20260906_234129/qa/20260909_120000/source_snapshot/live/24_christmas-bedding-quilt-soft-microfiber-holiday-bedsprea-design-09.js.json" TargetMode="External" Id="rId4"/><Relationship Type="http://schemas.openxmlformats.org/officeDocument/2006/relationships/hyperlink" Target="https://jeminise.com/products/christmas-bedding-quilt-soft-microfiber-holiday-bedsprea-design-10; seo_runs/jeminise.com/20260906_234129/qa/20260909_120000/source_snapshot/live/25_christmas-bedding-quilt-soft-microfiber-holiday-bedsprea-design-10.js.json" TargetMode="External" Id="rId5"/><Relationship Type="http://schemas.openxmlformats.org/officeDocument/2006/relationships/hyperlink" Target="https://jeminise.com/products/christmas-bedding-quilt-soft-microfiber-holiday-bedsprea-design-11; seo_runs/jeminise.com/20260906_234129/qa/20260909_120000/source_snapshot/live/26_christmas-bedding-quilt-soft-microfiber-holiday-bedsprea-design-11.js.json" TargetMode="External" Id="rId6"/><Relationship Type="http://schemas.openxmlformats.org/officeDocument/2006/relationships/hyperlink" Target="https://jeminise.com/products/christmas-bedding-quilt-soft-microfiber-holiday-bedsprea-design-12; seo_runs/jeminise.com/20260906_234129/qa/20260909_120000/source_snapshot/live/27_christmas-bedding-quilt-soft-microfiber-holiday-bedsprea-design-12.js.json" TargetMode="External" Id="rId7"/><Relationship Type="http://schemas.openxmlformats.org/officeDocument/2006/relationships/hyperlink" Target="https://jeminise.com/products/christmas-bedding-quilt-soft-microfiber-holiday-bedspread; seo_runs/jeminise.com/20260906_234129/qa/20260909_120000/source_snapshot/live/28_christmas-bedding-quilt-soft-microfiber-holiday-bedspread.js.json" TargetMode="External" Id="rId8"/><Relationship Type="http://schemas.openxmlformats.org/officeDocument/2006/relationships/hyperlink" Target="https://jeminise.com/products/christmas-cardinal-on-branch-within-patchwork-winter-quilt-892d70543a-892d70543a; seo_runs/jeminise.com/20260906_234129/qa/20260909_120000/source_snapshot/live/29_christmas-cardinal-on-branch-within-patchwork-winter-quilt-892d70543a-892d70543a.js.json" TargetMode="External" Id="rId9"/><Relationship Type="http://schemas.openxmlformats.org/officeDocument/2006/relationships/hyperlink" Target="https://jeminise.com/products/christmas-cardinal-perched-on-branch-within-wreath-patchwork-winter-quilt-9e7c0b5896-9e7c0b5896; seo_runs/jeminise.com/20260906_234129/qa/20260909_120000/source_snapshot/live/30_christmas-cardinal-perched-on-branch-within-wreath-patchwork-winter-quilt-9e7c0b5896-9e7c0b5896.js.json" TargetMode="External" Id="rId10"/><Relationship Type="http://schemas.openxmlformats.org/officeDocument/2006/relationships/hyperlink" Target="https://jeminise.com/products/christmas-bedding-quilt-soft-microfiber-holiday-bedsprea-design-05" TargetMode="External" Id="rId11"/><Relationship Type="http://schemas.openxmlformats.org/officeDocument/2006/relationships/hyperlink" Target="https://jeminise.com/products/christmas-bedding-quilt-soft-microfiber-holiday-bedsprea-design-06" TargetMode="External" Id="rId12"/><Relationship Type="http://schemas.openxmlformats.org/officeDocument/2006/relationships/hyperlink" Target="https://jeminise.com/products/christmas-bedding-quilt-soft-microfiber-holiday-bedsprea-design-08" TargetMode="External" Id="rId13"/><Relationship Type="http://schemas.openxmlformats.org/officeDocument/2006/relationships/hyperlink" Target="https://jeminise.com/products/christmas-bedding-quilt-soft-microfiber-holiday-bedsprea-design-09" TargetMode="External" Id="rId14"/><Relationship Type="http://schemas.openxmlformats.org/officeDocument/2006/relationships/hyperlink" Target="https://jeminise.com/products/christmas-bedding-quilt-soft-microfiber-holiday-bedsprea-design-10" TargetMode="External" Id="rId15"/><Relationship Type="http://schemas.openxmlformats.org/officeDocument/2006/relationships/hyperlink" Target="https://jeminise.com/products/christmas-bedding-quilt-soft-microfiber-holiday-bedsprea-design-11" TargetMode="External" Id="rId16"/><Relationship Type="http://schemas.openxmlformats.org/officeDocument/2006/relationships/hyperlink" Target="https://jeminise.com/products/christmas-bedding-quilt-soft-microfiber-holiday-bedsprea-design-12" TargetMode="External" Id="rId17"/><Relationship Type="http://schemas.openxmlformats.org/officeDocument/2006/relationships/hyperlink" Target="https://jeminise.com/products/christmas-bedding-quilt-soft-microfiber-holiday-bedspread" TargetMode="External" Id="rId18"/><Relationship Type="http://schemas.openxmlformats.org/officeDocument/2006/relationships/hyperlink" Target="https://jeminise.com/products/christmas-bedding-quilt-soft-microfiber-holiday-bedsprea-design-10" TargetMode="External" Id="rId19"/><Relationship Type="http://schemas.openxmlformats.org/officeDocument/2006/relationships/hyperlink" Target="https://jeminise.com/products/christmas-bedding-quilt-soft-microfiber-holiday-bedsprea-design-12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</cols>
  <sheetData>
    <row r="1" ht="32" customHeight="1">
      <c r="A1" s="9" t="inlineStr">
        <is>
          <t>metric</t>
        </is>
      </c>
      <c r="B1" s="9" t="inlineStr">
        <is>
          <t>value</t>
        </is>
      </c>
      <c r="C1" s="9" t="inlineStr">
        <is>
          <t>definition</t>
        </is>
      </c>
    </row>
    <row r="2" ht="42" customHeight="1">
      <c r="A2" s="10" t="inlineStr">
        <is>
          <t>rubric_version</t>
        </is>
      </c>
      <c r="B2" s="10" t="inlineStr">
        <is>
          <t>prompt_qa.md v1.0 / prompt.md v2.4</t>
        </is>
      </c>
      <c r="C2" s="10" t="inlineStr">
        <is>
          <t>Independent r6 QA; scoring calculated from current observations.</t>
        </is>
      </c>
    </row>
    <row r="3" ht="42" customHeight="1">
      <c r="A3" s="10" t="inlineStr">
        <is>
          <t>source_workbook</t>
        </is>
      </c>
      <c r="B3" s="10" t="inlineStr">
        <is>
          <t>resutls/jeminise.com/20260906_234129/revisions/qa_batch_003_r6/SEO_Product_Optimization_qa_batch_003_r6.xlsx</t>
        </is>
      </c>
      <c r="C3" s="10" t="inlineStr">
        <is>
          <t>Frozen r6 source; not edited.</t>
        </is>
      </c>
    </row>
    <row r="4" ht="42" customHeight="1">
      <c r="A4" s="10" t="inlineStr">
        <is>
          <t>source_sha256_at_freeze_and_handoff</t>
        </is>
      </c>
      <c r="B4" s="10" t="inlineStr">
        <is>
          <t>95AF231168F94DD35DBCB3B374F40DB2CE7EE17A768C22FF0FB1D99BE48C5C5A</t>
        </is>
      </c>
      <c r="C4" s="10" t="inlineStr">
        <is>
          <t>Hash before and after QA.</t>
        </is>
      </c>
    </row>
    <row r="5" ht="42" customHeight="1">
      <c r="A5" s="10" t="inlineStr">
        <is>
          <t>qa_run_id</t>
        </is>
      </c>
      <c r="B5" s="10" t="inlineStr">
        <is>
          <t>20260909_120000</t>
        </is>
      </c>
      <c r="C5" s="10" t="inlineStr">
        <is>
          <t>New independent QA run.</t>
        </is>
      </c>
    </row>
    <row r="6" ht="42" customHeight="1">
      <c r="A6" s="10" t="inlineStr">
        <is>
          <t>batch_id</t>
        </is>
      </c>
      <c r="B6" s="10" t="inlineStr">
        <is>
          <t>qa_batch_003_r6</t>
        </is>
      </c>
      <c r="C6" s="10" t="inlineStr">
        <is>
          <t>Inventory positions 21-30 locked by product_key.</t>
        </is>
      </c>
    </row>
    <row r="7" ht="42" customHeight="1">
      <c r="A7" s="10" t="inlineStr">
        <is>
          <t>products_checked</t>
        </is>
      </c>
      <c r="B7" s="10" t="n">
        <v>10</v>
      </c>
      <c r="C7" s="10" t="inlineStr">
        <is>
          <t>Official product keys from inventory.csv and workbook.</t>
        </is>
      </c>
    </row>
    <row r="8" ht="42" customHeight="1">
      <c r="A8" s="10" t="inlineStr">
        <is>
          <t>images_checked</t>
        </is>
      </c>
      <c r="B8" s="10" t="inlineStr">
        <is>
          <t>50/50</t>
        </is>
      </c>
      <c r="C8" s="10" t="inlineStr">
        <is>
          <t>All 50 downloaded at 1200x1200; no failed image fetch.</t>
        </is>
      </c>
    </row>
    <row r="9" ht="42" customHeight="1">
      <c r="A9" s="10" t="inlineStr">
        <is>
          <t>criteria_rows</t>
        </is>
      </c>
      <c r="B9" s="10" t="inlineStr">
        <is>
          <t>110</t>
        </is>
      </c>
      <c r="C9" s="10" t="inlineStr">
        <is>
          <t>11 product criteria x 10 products; product rubric total weight 100.</t>
        </is>
      </c>
    </row>
    <row r="10" ht="42" customHeight="1">
      <c r="A10" s="10" t="inlineStr">
        <is>
          <t>keyword_rows</t>
        </is>
      </c>
      <c r="B10" s="10" t="inlineStr">
        <is>
          <t>40</t>
        </is>
      </c>
      <c r="C10" s="10" t="inlineStr">
        <is>
          <t>4 Keyword_Map rows per locked product.</t>
        </is>
      </c>
    </row>
    <row r="11" ht="42" customHeight="1">
      <c r="A11" s="10" t="inlineStr">
        <is>
          <t>buyer_rows</t>
        </is>
      </c>
      <c r="B11" s="10" t="inlineStr">
        <is>
          <t>10</t>
        </is>
      </c>
      <c r="C11" s="10" t="inlineStr">
        <is>
          <t>1 Buyer_Search_Research row per locked product.</t>
        </is>
      </c>
    </row>
    <row r="12" ht="42" customHeight="1">
      <c r="A12" s="10" t="inlineStr">
        <is>
          <t>evidence_rows</t>
        </is>
      </c>
      <c r="B12" s="10" t="inlineStr">
        <is>
          <t>10</t>
        </is>
      </c>
      <c r="C12" s="10" t="inlineStr">
        <is>
          <t>1 Product_Evidence row per locked product.</t>
        </is>
      </c>
    </row>
    <row r="13" ht="42" customHeight="1">
      <c r="A13" s="10" t="inlineStr">
        <is>
          <t>batch_final_score</t>
        </is>
      </c>
      <c r="B13" s="10" t="n">
        <f>AVERAGE('QA_Products'!$K$2:$K$11)</f>
        <v>73.25</v>
      </c>
      <c r="C13" s="10" t="inlineStr">
        <is>
          <t>Average of product final scores; formula-driven.</t>
        </is>
      </c>
    </row>
    <row r="14" ht="42" customHeight="1">
      <c r="A14" s="10" t="inlineStr">
        <is>
          <t>batch_result</t>
        </is>
      </c>
      <c r="B14" s="10" t="str">
        <f>IF(COUNTIF('QA_Products'!$L$2:$L$11,"QA_PASS")=ROWS('QA_Products'!$L$2:$L$11),"PASSED","NOT_PASSED")</f>
        <v>NOT_PASSED</v>
      </c>
      <c r="C14" s="10" t="inlineStr">
        <is>
          <t>All-pass gate; formula-driven.</t>
        </is>
      </c>
    </row>
    <row r="15">
      <c r="A15" s="10" t="inlineStr">
        <is>
          <t>status_counts</t>
        </is>
      </c>
      <c r="B15" s="10" t="str">
        <f>COUNTIF('QA_Products'!$L$2:$L$11,"QA_PASS")&amp;" PASS; "&amp;COUNTIF('QA_Products'!$L$2:$L$11,"QA_REVISE")&amp;" REVISE; "&amp;COUNTIF('QA_Products'!$L$2:$L$11,"QA_FAIL")&amp;" FAIL; "&amp;COUNTIF('QA_Products'!$L$2:$L$11,"QA_INCOMPLETE")&amp;" INCOMPLETE"</f>
        <v>PASS=1; REVISE=2; FAIL=7; INCOMPLETE=0</v>
      </c>
      <c r="C15" s="10" t="inlineStr">
        <is>
          <t>Status formula.</t>
        </is>
      </c>
    </row>
    <row r="16">
      <c r="A16" s="10" t="inlineStr">
        <is>
          <t>live_source_changed</t>
        </is>
      </c>
      <c r="B16" s="10" t="inlineStr">
        <is>
          <t>FALSE</t>
        </is>
      </c>
      <c r="C16" s="10" t="inlineStr">
        <is>
          <t>All 10 live product JSON/HTML reads completed; no source_changed flag inferred from missing admin export.</t>
        </is>
      </c>
    </row>
    <row r="17">
      <c r="A17" s="10" t="inlineStr">
        <is>
          <t>awaiting_confirmation</t>
        </is>
      </c>
      <c r="B17" s="10" t="inlineStr">
        <is>
          <t>TRUE</t>
        </is>
      </c>
      <c r="C17" s="10" t="inlineStr">
        <is>
          <t>Stop after batch 03; do not advance to batch 04.</t>
        </is>
      </c>
    </row>
  </sheetData>
  <autoFilter ref="A1:C17"/>
  <printOptions horizontalCentered="0"/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 fitToPage="1"/>
  </sheetPr>
  <dimension ref="A1:W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8" customWidth="1" min="3" max="3"/>
    <col width="24" customWidth="1" min="4" max="4"/>
    <col width="15" customWidth="1" min="5" max="5"/>
    <col width="12" customWidth="1" min="6" max="6"/>
    <col width="24" customWidth="1" min="7" max="7"/>
    <col width="24" customWidth="1" min="8" max="8"/>
    <col width="19" customWidth="1" min="9" max="9"/>
    <col width="19" customWidth="1" min="10" max="10"/>
    <col width="24" customWidth="1" min="11" max="11"/>
    <col width="20" customWidth="1" min="12" max="12"/>
    <col width="38" customWidth="1" min="13" max="13"/>
    <col width="17" customWidth="1" min="14" max="14"/>
    <col width="16" customWidth="1" min="15" max="15"/>
    <col width="24" customWidth="1" min="16" max="16"/>
    <col width="16" customWidth="1" min="17" max="17"/>
    <col width="24" customWidth="1" min="18" max="18"/>
    <col width="24" customWidth="1" min="19" max="19"/>
    <col width="24" customWidth="1" min="20" max="20"/>
    <col width="24" customWidth="1" min="21" max="21"/>
    <col width="42" customWidth="1" min="22" max="22"/>
    <col width="42" customWidth="1" min="23" max="23"/>
  </cols>
  <sheetData>
    <row r="1" ht="32" customHeight="1">
      <c r="A1" s="9" t="inlineStr">
        <is>
          <t>inventory_position</t>
        </is>
      </c>
      <c r="B1" s="9" t="inlineStr">
        <is>
          <t>product_key</t>
        </is>
      </c>
      <c r="C1" s="9" t="inlineStr">
        <is>
          <t>url</t>
        </is>
      </c>
      <c r="D1" s="9" t="inlineStr">
        <is>
          <t>handle</t>
        </is>
      </c>
      <c r="E1" s="9" t="inlineStr">
        <is>
          <t>product_id</t>
        </is>
      </c>
      <c r="F1" s="9" t="inlineStr">
        <is>
          <t>revision</t>
        </is>
      </c>
      <c r="G1" s="9" t="inlineStr">
        <is>
          <t>verified_points</t>
        </is>
      </c>
      <c r="H1" s="9" t="inlineStr">
        <is>
          <t>assessed_weight</t>
        </is>
      </c>
      <c r="I1" s="9" t="inlineStr">
        <is>
          <t>score_lower_bound</t>
        </is>
      </c>
      <c r="J1" s="9" t="inlineStr">
        <is>
          <t>score_upper_bound</t>
        </is>
      </c>
      <c r="K1" s="9" t="inlineStr">
        <is>
          <t>final_score</t>
        </is>
      </c>
      <c r="L1" s="9" t="inlineStr">
        <is>
          <t>qa_status</t>
        </is>
      </c>
      <c r="M1" s="9" t="inlineStr">
        <is>
          <t>keyword_evidence_level</t>
        </is>
      </c>
      <c r="N1" s="9" t="inlineStr">
        <is>
          <t>images_expected</t>
        </is>
      </c>
      <c r="O1" s="9" t="inlineStr">
        <is>
          <t>images_checked</t>
        </is>
      </c>
      <c r="P1" s="9" t="inlineStr">
        <is>
          <t>image_inventory_complete</t>
        </is>
      </c>
      <c r="Q1" s="9" t="inlineStr">
        <is>
          <t>image_coverage</t>
        </is>
      </c>
      <c r="R1" s="9" t="inlineStr">
        <is>
          <t>critical_count</t>
        </is>
      </c>
      <c r="S1" s="9" t="inlineStr">
        <is>
          <t>major_count</t>
        </is>
      </c>
      <c r="T1" s="9" t="inlineStr">
        <is>
          <t>minor_count</t>
        </is>
      </c>
      <c r="U1" s="9" t="inlineStr">
        <is>
          <t>limitation_count</t>
        </is>
      </c>
      <c r="V1" s="9" t="inlineStr">
        <is>
          <t>issue_refs</t>
        </is>
      </c>
      <c r="W1" s="9" t="inlineStr">
        <is>
          <t>evidence_refs</t>
        </is>
      </c>
    </row>
    <row r="2" ht="42" customHeight="1">
      <c r="A2" s="2" t="n">
        <v>21</v>
      </c>
      <c r="B2" s="2" t="inlineStr">
        <is>
          <t>jeminise.com+christmas-bedding-quilt-soft-microfiber-holiday-bedsprea-design-05</t>
        </is>
      </c>
      <c r="C2" s="4" t="inlineStr">
        <is>
          <t>https://jeminise.com/products/christmas-bedding-quilt-soft-microfiber-holiday-bedsprea-design-05</t>
        </is>
      </c>
      <c r="D2" s="2" t="inlineStr">
        <is>
          <t>christmas-bedding-quilt-soft-microfiber-holiday-bedsprea-design-05</t>
        </is>
      </c>
      <c r="E2" s="2" t="inlineStr">
        <is>
          <t>8867157835975</t>
        </is>
      </c>
      <c r="F2" s="2" t="inlineStr">
        <is>
          <t>r6</t>
        </is>
      </c>
      <c r="G2" s="5" t="n">
        <f>SUMIF('QA_Criteria'!$A$2:$A$111,B2,'QA_Criteria'!$F$2:$F$111)</f>
        <v>90.0</v>
      </c>
      <c r="H2" s="5" t="n">
        <f>SUMIF('QA_Criteria'!$A$2:$A$111,B2,'QA_Criteria'!$G$2:$G$111)</f>
        <v>100</v>
      </c>
      <c r="I2" s="5" t="n">
        <f>G2</f>
        <v>90.0</v>
      </c>
      <c r="J2" s="5" t="n">
        <f>G2+(100-H2)</f>
        <v>90.0</v>
      </c>
      <c r="K2" s="5" t="n">
        <f>IF(AND(H2=100,Q2=1,P2=TRUE),G2,"")</f>
        <v>90.0</v>
      </c>
      <c r="L2" s="2" t="str">
        <f>IF(R2&gt;0,"QA_FAIL",IF(K2="","QA_INCOMPLETE",IF(K2&lt;70,"QA_FAIL",IF(OR(K2&lt;85,S2&gt;0),"QA_REVISE","QA_PASS"))))</f>
        <v>QA_PASS</v>
      </c>
      <c r="M2" s="2" t="inlineStr">
        <is>
          <t>SERP_ONLY</t>
        </is>
      </c>
      <c r="N2" s="2" t="n">
        <v>5</v>
      </c>
      <c r="O2" s="2" t="n">
        <v>5</v>
      </c>
      <c r="P2" s="2" t="b">
        <v>1</v>
      </c>
      <c r="Q2" s="6" t="n">
        <v>1</v>
      </c>
      <c r="R2" s="2" t="n">
        <f>COUNTIFS('QA_Issues'!$B$2:$B$21,B2,'QA_Issues'!$D$2:$D$21,"CRITICAL")</f>
        <v>0</v>
      </c>
      <c r="S2" s="2" t="n">
        <f>COUNTIFS('QA_Issues'!$B$2:$B$21,B2,'QA_Issues'!$D$2:$D$21,"MAJOR")</f>
        <v>0</v>
      </c>
      <c r="T2" s="2" t="n">
        <f>COUNTIFS('QA_Issues'!$B$2:$B$21,B2,'QA_Issues'!$D$2:$D$21,"MINOR")</f>
        <v>0</v>
      </c>
      <c r="U2" s="2" t="n">
        <f>COUNTIFS('QA_Issues'!$B$2:$B$21,B2,'QA_Issues'!$D$2:$D$21,"LIMITATION")</f>
        <v>0</v>
      </c>
      <c r="V2" s="2" t="inlineStr">
        <is>
          <t>[]</t>
        </is>
      </c>
      <c r="W2" s="2" t="inlineStr">
        <is>
          <t>["evidence_batch_003_021", "https://jeminise.com/products/christmas-bedding-quilt-soft-microfiber-holiday-bedsprea-design-05", "serp_qa_021"]</t>
        </is>
      </c>
    </row>
    <row r="3" ht="42" customHeight="1">
      <c r="A3" s="3" t="n">
        <v>22</v>
      </c>
      <c r="B3" s="3" t="inlineStr">
        <is>
          <t>jeminise.com+christmas-bedding-quilt-soft-microfiber-holiday-bedsprea-design-06</t>
        </is>
      </c>
      <c r="C3" s="4" t="inlineStr">
        <is>
          <t>https://jeminise.com/products/christmas-bedding-quilt-soft-microfiber-holiday-bedsprea-design-06</t>
        </is>
      </c>
      <c r="D3" s="3" t="inlineStr">
        <is>
          <t>christmas-bedding-quilt-soft-microfiber-holiday-bedsprea-design-06</t>
        </is>
      </c>
      <c r="E3" s="3" t="inlineStr">
        <is>
          <t>8867157868743</t>
        </is>
      </c>
      <c r="F3" s="3" t="inlineStr">
        <is>
          <t>r6</t>
        </is>
      </c>
      <c r="G3" s="7" t="n">
        <f>SUMIF('QA_Criteria'!$A$2:$A$111,B3,'QA_Criteria'!$F$2:$F$111)</f>
        <v>67.5</v>
      </c>
      <c r="H3" s="7" t="n">
        <f>SUMIF('QA_Criteria'!$A$2:$A$111,B3,'QA_Criteria'!$G$2:$G$111)</f>
        <v>100</v>
      </c>
      <c r="I3" s="7" t="n">
        <f>G3</f>
        <v>67.5</v>
      </c>
      <c r="J3" s="7" t="n">
        <f>G3+(100-H3)</f>
        <v>67.5</v>
      </c>
      <c r="K3" s="7" t="n">
        <f>IF(AND(H3=100,Q3=1,P3=TRUE),G3,"")</f>
        <v>67.5</v>
      </c>
      <c r="L3" s="3" t="str">
        <f>IF(R3&gt;0,"QA_FAIL",IF(K3="","QA_INCOMPLETE",IF(K3&lt;70,"QA_FAIL",IF(OR(K3&lt;85,S3&gt;0),"QA_REVISE","QA_PASS"))))</f>
        <v>QA_FAIL</v>
      </c>
      <c r="M3" s="3" t="inlineStr">
        <is>
          <t>SERP_ONLY</t>
        </is>
      </c>
      <c r="N3" s="3" t="n">
        <v>5</v>
      </c>
      <c r="O3" s="3" t="n">
        <v>5</v>
      </c>
      <c r="P3" s="3" t="b">
        <v>1</v>
      </c>
      <c r="Q3" s="8" t="n">
        <v>1</v>
      </c>
      <c r="R3" s="3" t="n">
        <f>COUNTIFS('QA_Issues'!$B$2:$B$21,B3,'QA_Issues'!$D$2:$D$21,"CRITICAL")</f>
        <v>0</v>
      </c>
      <c r="S3" s="3" t="n">
        <f>COUNTIFS('QA_Issues'!$B$2:$B$21,B3,'QA_Issues'!$D$2:$D$21,"MAJOR")</f>
        <v>1</v>
      </c>
      <c r="T3" s="3" t="n">
        <f>COUNTIFS('QA_Issues'!$B$2:$B$21,B3,'QA_Issues'!$D$2:$D$21,"MINOR")</f>
        <v>1</v>
      </c>
      <c r="U3" s="3" t="n">
        <f>COUNTIFS('QA_Issues'!$B$2:$B$21,B3,'QA_Issues'!$D$2:$D$21,"LIMITATION")</f>
        <v>0</v>
      </c>
      <c r="V3" s="3" t="inlineStr">
        <is>
          <t>["R6-ISS-022-PERS"]</t>
        </is>
      </c>
      <c r="W3" s="3" t="inlineStr">
        <is>
          <t>["evidence_batch_003_022", "https://jeminise.com/products/christmas-bedding-quilt-soft-microfiber-holiday-bedsprea-design-06", "serp_qa_022"]</t>
        </is>
      </c>
    </row>
    <row r="4" ht="42" customHeight="1">
      <c r="A4" s="2" t="n">
        <v>23</v>
      </c>
      <c r="B4" s="2" t="inlineStr">
        <is>
          <t>jeminise.com+christmas-bedding-quilt-soft-microfiber-holiday-bedsprea-design-08</t>
        </is>
      </c>
      <c r="C4" s="4" t="inlineStr">
        <is>
          <t>https://jeminise.com/products/christmas-bedding-quilt-soft-microfiber-holiday-bedsprea-design-08</t>
        </is>
      </c>
      <c r="D4" s="2" t="inlineStr">
        <is>
          <t>christmas-bedding-quilt-soft-microfiber-holiday-bedsprea-design-08</t>
        </is>
      </c>
      <c r="E4" s="2" t="inlineStr">
        <is>
          <t>8867157999815</t>
        </is>
      </c>
      <c r="F4" s="2" t="inlineStr">
        <is>
          <t>r6</t>
        </is>
      </c>
      <c r="G4" s="5" t="n">
        <f>SUMIF('QA_Criteria'!$A$2:$A$111,B4,'QA_Criteria'!$F$2:$F$111)</f>
        <v>67.5</v>
      </c>
      <c r="H4" s="5" t="n">
        <f>SUMIF('QA_Criteria'!$A$2:$A$111,B4,'QA_Criteria'!$G$2:$G$111)</f>
        <v>100</v>
      </c>
      <c r="I4" s="5" t="n">
        <f>G4</f>
        <v>67.5</v>
      </c>
      <c r="J4" s="5" t="n">
        <f>G4+(100-H4)</f>
        <v>67.5</v>
      </c>
      <c r="K4" s="5" t="n">
        <f>IF(AND(H4=100,Q4=1,P4=TRUE),G4,"")</f>
        <v>67.5</v>
      </c>
      <c r="L4" s="2" t="str">
        <f>IF(R4&gt;0,"QA_FAIL",IF(K4="","QA_INCOMPLETE",IF(K4&lt;70,"QA_FAIL",IF(OR(K4&lt;85,S4&gt;0),"QA_REVISE","QA_PASS"))))</f>
        <v>QA_FAIL</v>
      </c>
      <c r="M4" s="2" t="inlineStr">
        <is>
          <t>SERP_ONLY</t>
        </is>
      </c>
      <c r="N4" s="2" t="n">
        <v>5</v>
      </c>
      <c r="O4" s="2" t="n">
        <v>5</v>
      </c>
      <c r="P4" s="2" t="b">
        <v>1</v>
      </c>
      <c r="Q4" s="6" t="n">
        <v>1</v>
      </c>
      <c r="R4" s="2" t="n">
        <f>COUNTIFS('QA_Issues'!$B$2:$B$21,B4,'QA_Issues'!$D$2:$D$21,"CRITICAL")</f>
        <v>0</v>
      </c>
      <c r="S4" s="2" t="n">
        <f>COUNTIFS('QA_Issues'!$B$2:$B$21,B4,'QA_Issues'!$D$2:$D$21,"MAJOR")</f>
        <v>1</v>
      </c>
      <c r="T4" s="2" t="n">
        <f>COUNTIFS('QA_Issues'!$B$2:$B$21,B4,'QA_Issues'!$D$2:$D$21,"MINOR")</f>
        <v>1</v>
      </c>
      <c r="U4" s="2" t="n">
        <f>COUNTIFS('QA_Issues'!$B$2:$B$21,B4,'QA_Issues'!$D$2:$D$21,"LIMITATION")</f>
        <v>0</v>
      </c>
      <c r="V4" s="2" t="inlineStr">
        <is>
          <t>["R6-ISS-023-PERS"]</t>
        </is>
      </c>
      <c r="W4" s="2" t="inlineStr">
        <is>
          <t>["evidence_batch_003_023", "https://jeminise.com/products/christmas-bedding-quilt-soft-microfiber-holiday-bedsprea-design-08", "serp_qa_023"]</t>
        </is>
      </c>
    </row>
    <row r="5" ht="42" customHeight="1">
      <c r="A5" s="3" t="n">
        <v>24</v>
      </c>
      <c r="B5" s="3" t="inlineStr">
        <is>
          <t>jeminise.com+christmas-bedding-quilt-soft-microfiber-holiday-bedsprea-design-09</t>
        </is>
      </c>
      <c r="C5" s="4" t="inlineStr">
        <is>
          <t>https://jeminise.com/products/christmas-bedding-quilt-soft-microfiber-holiday-bedsprea-design-09</t>
        </is>
      </c>
      <c r="D5" s="3" t="inlineStr">
        <is>
          <t>christmas-bedding-quilt-soft-microfiber-holiday-bedsprea-design-09</t>
        </is>
      </c>
      <c r="E5" s="3" t="inlineStr">
        <is>
          <t>8867158393031</t>
        </is>
      </c>
      <c r="F5" s="3" t="inlineStr">
        <is>
          <t>r6</t>
        </is>
      </c>
      <c r="G5" s="7" t="n">
        <f>SUMIF('QA_Criteria'!$A$2:$A$111,B5,'QA_Criteria'!$F$2:$F$111)</f>
        <v>67.5</v>
      </c>
      <c r="H5" s="7" t="n">
        <f>SUMIF('QA_Criteria'!$A$2:$A$111,B5,'QA_Criteria'!$G$2:$G$111)</f>
        <v>100</v>
      </c>
      <c r="I5" s="7" t="n">
        <f>G5</f>
        <v>67.5</v>
      </c>
      <c r="J5" s="7" t="n">
        <f>G5+(100-H5)</f>
        <v>67.5</v>
      </c>
      <c r="K5" s="7" t="n">
        <f>IF(AND(H5=100,Q5=1,P5=TRUE),G5,"")</f>
        <v>67.5</v>
      </c>
      <c r="L5" s="3" t="str">
        <f>IF(R5&gt;0,"QA_FAIL",IF(K5="","QA_INCOMPLETE",IF(K5&lt;70,"QA_FAIL",IF(OR(K5&lt;85,S5&gt;0),"QA_REVISE","QA_PASS"))))</f>
        <v>QA_FAIL</v>
      </c>
      <c r="M5" s="3" t="inlineStr">
        <is>
          <t>SERP_ONLY</t>
        </is>
      </c>
      <c r="N5" s="3" t="n">
        <v>5</v>
      </c>
      <c r="O5" s="3" t="n">
        <v>5</v>
      </c>
      <c r="P5" s="3" t="b">
        <v>1</v>
      </c>
      <c r="Q5" s="8" t="n">
        <v>1</v>
      </c>
      <c r="R5" s="3" t="n">
        <f>COUNTIFS('QA_Issues'!$B$2:$B$21,B5,'QA_Issues'!$D$2:$D$21,"CRITICAL")</f>
        <v>0</v>
      </c>
      <c r="S5" s="3" t="n">
        <f>COUNTIFS('QA_Issues'!$B$2:$B$21,B5,'QA_Issues'!$D$2:$D$21,"MAJOR")</f>
        <v>1</v>
      </c>
      <c r="T5" s="3" t="n">
        <f>COUNTIFS('QA_Issues'!$B$2:$B$21,B5,'QA_Issues'!$D$2:$D$21,"MINOR")</f>
        <v>1</v>
      </c>
      <c r="U5" s="3" t="n">
        <f>COUNTIFS('QA_Issues'!$B$2:$B$21,B5,'QA_Issues'!$D$2:$D$21,"LIMITATION")</f>
        <v>0</v>
      </c>
      <c r="V5" s="3" t="inlineStr">
        <is>
          <t>["R6-ISS-024-PERS"]</t>
        </is>
      </c>
      <c r="W5" s="3" t="inlineStr">
        <is>
          <t>["evidence_batch_003_024", "https://jeminise.com/products/christmas-bedding-quilt-soft-microfiber-holiday-bedsprea-design-09", "serp_qa_024"]</t>
        </is>
      </c>
    </row>
    <row r="6" ht="42" customHeight="1">
      <c r="A6" s="2" t="n">
        <v>25</v>
      </c>
      <c r="B6" s="2" t="inlineStr">
        <is>
          <t>jeminise.com+christmas-bedding-quilt-soft-microfiber-holiday-bedsprea-design-10</t>
        </is>
      </c>
      <c r="C6" s="4" t="inlineStr">
        <is>
          <t>https://jeminise.com/products/christmas-bedding-quilt-soft-microfiber-holiday-bedsprea-design-10</t>
        </is>
      </c>
      <c r="D6" s="2" t="inlineStr">
        <is>
          <t>christmas-bedding-quilt-soft-microfiber-holiday-bedsprea-design-10</t>
        </is>
      </c>
      <c r="E6" s="2" t="inlineStr">
        <is>
          <t>8867157737671</t>
        </is>
      </c>
      <c r="F6" s="2" t="inlineStr">
        <is>
          <t>r6</t>
        </is>
      </c>
      <c r="G6" s="5" t="n">
        <f>SUMIF('QA_Criteria'!$A$2:$A$111,B6,'QA_Criteria'!$F$2:$F$111)</f>
        <v>67.5</v>
      </c>
      <c r="H6" s="5" t="n">
        <f>SUMIF('QA_Criteria'!$A$2:$A$111,B6,'QA_Criteria'!$G$2:$G$111)</f>
        <v>100</v>
      </c>
      <c r="I6" s="5" t="n">
        <f>G6</f>
        <v>67.5</v>
      </c>
      <c r="J6" s="5" t="n">
        <f>G6+(100-H6)</f>
        <v>67.5</v>
      </c>
      <c r="K6" s="5" t="n">
        <f>IF(AND(H6=100,Q6=1,P6=TRUE),G6,"")</f>
        <v>67.5</v>
      </c>
      <c r="L6" s="2" t="str">
        <f>IF(R6&gt;0,"QA_FAIL",IF(K6="","QA_INCOMPLETE",IF(K6&lt;70,"QA_FAIL",IF(OR(K6&lt;85,S6&gt;0),"QA_REVISE","QA_PASS"))))</f>
        <v>QA_FAIL</v>
      </c>
      <c r="M6" s="2" t="inlineStr">
        <is>
          <t>SERP_ONLY</t>
        </is>
      </c>
      <c r="N6" s="2" t="n">
        <v>5</v>
      </c>
      <c r="O6" s="2" t="n">
        <v>5</v>
      </c>
      <c r="P6" s="2" t="b">
        <v>1</v>
      </c>
      <c r="Q6" s="6" t="n">
        <v>1</v>
      </c>
      <c r="R6" s="2" t="n">
        <f>COUNTIFS('QA_Issues'!$B$2:$B$21,B6,'QA_Issues'!$D$2:$D$21,"CRITICAL")</f>
        <v>0</v>
      </c>
      <c r="S6" s="2" t="n">
        <f>COUNTIFS('QA_Issues'!$B$2:$B$21,B6,'QA_Issues'!$D$2:$D$21,"MAJOR")</f>
        <v>1</v>
      </c>
      <c r="T6" s="2" t="n">
        <f>COUNTIFS('QA_Issues'!$B$2:$B$21,B6,'QA_Issues'!$D$2:$D$21,"MINOR")</f>
        <v>1</v>
      </c>
      <c r="U6" s="2" t="n">
        <f>COUNTIFS('QA_Issues'!$B$2:$B$21,B6,'QA_Issues'!$D$2:$D$21,"LIMITATION")</f>
        <v>0</v>
      </c>
      <c r="V6" s="2" t="inlineStr">
        <is>
          <t>["R6-ISS-025-PERS"]</t>
        </is>
      </c>
      <c r="W6" s="2" t="inlineStr">
        <is>
          <t>["evidence_batch_003_025", "https://jeminise.com/products/christmas-bedding-quilt-soft-microfiber-holiday-bedsprea-design-10", "serp_qa_025"]</t>
        </is>
      </c>
    </row>
    <row r="7" ht="42" customHeight="1">
      <c r="A7" s="3" t="n">
        <v>26</v>
      </c>
      <c r="B7" s="3" t="inlineStr">
        <is>
          <t>jeminise.com+christmas-bedding-quilt-soft-microfiber-holiday-bedsprea-design-11</t>
        </is>
      </c>
      <c r="C7" s="4" t="inlineStr">
        <is>
          <t>https://jeminise.com/products/christmas-bedding-quilt-soft-microfiber-holiday-bedsprea-design-11</t>
        </is>
      </c>
      <c r="D7" s="3" t="inlineStr">
        <is>
          <t>christmas-bedding-quilt-soft-microfiber-holiday-bedsprea-design-11</t>
        </is>
      </c>
      <c r="E7" s="3" t="inlineStr">
        <is>
          <t>8867158261959</t>
        </is>
      </c>
      <c r="F7" s="3" t="inlineStr">
        <is>
          <t>r6</t>
        </is>
      </c>
      <c r="G7" s="7" t="n">
        <f>SUMIF('QA_Criteria'!$A$2:$A$111,B7,'QA_Criteria'!$F$2:$F$111)</f>
        <v>67.5</v>
      </c>
      <c r="H7" s="7" t="n">
        <f>SUMIF('QA_Criteria'!$A$2:$A$111,B7,'QA_Criteria'!$G$2:$G$111)</f>
        <v>100</v>
      </c>
      <c r="I7" s="7" t="n">
        <f>G7</f>
        <v>67.5</v>
      </c>
      <c r="J7" s="7" t="n">
        <f>G7+(100-H7)</f>
        <v>67.5</v>
      </c>
      <c r="K7" s="7" t="n">
        <f>IF(AND(H7=100,Q7=1,P7=TRUE),G7,"")</f>
        <v>67.5</v>
      </c>
      <c r="L7" s="3" t="str">
        <f>IF(R7&gt;0,"QA_FAIL",IF(K7="","QA_INCOMPLETE",IF(K7&lt;70,"QA_FAIL",IF(OR(K7&lt;85,S7&gt;0),"QA_REVISE","QA_PASS"))))</f>
        <v>QA_FAIL</v>
      </c>
      <c r="M7" s="3" t="inlineStr">
        <is>
          <t>SERP_ONLY</t>
        </is>
      </c>
      <c r="N7" s="3" t="n">
        <v>5</v>
      </c>
      <c r="O7" s="3" t="n">
        <v>5</v>
      </c>
      <c r="P7" s="3" t="b">
        <v>1</v>
      </c>
      <c r="Q7" s="8" t="n">
        <v>1</v>
      </c>
      <c r="R7" s="3" t="n">
        <f>COUNTIFS('QA_Issues'!$B$2:$B$21,B7,'QA_Issues'!$D$2:$D$21,"CRITICAL")</f>
        <v>0</v>
      </c>
      <c r="S7" s="3" t="n">
        <f>COUNTIFS('QA_Issues'!$B$2:$B$21,B7,'QA_Issues'!$D$2:$D$21,"MAJOR")</f>
        <v>1</v>
      </c>
      <c r="T7" s="3" t="n">
        <f>COUNTIFS('QA_Issues'!$B$2:$B$21,B7,'QA_Issues'!$D$2:$D$21,"MINOR")</f>
        <v>1</v>
      </c>
      <c r="U7" s="3" t="n">
        <f>COUNTIFS('QA_Issues'!$B$2:$B$21,B7,'QA_Issues'!$D$2:$D$21,"LIMITATION")</f>
        <v>0</v>
      </c>
      <c r="V7" s="3" t="inlineStr">
        <is>
          <t>["R6-ISS-026-PERS"]</t>
        </is>
      </c>
      <c r="W7" s="3" t="inlineStr">
        <is>
          <t>["evidence_batch_003_026", "https://jeminise.com/products/christmas-bedding-quilt-soft-microfiber-holiday-bedsprea-design-11", "serp_qa_026"]</t>
        </is>
      </c>
    </row>
    <row r="8" ht="42" customHeight="1">
      <c r="A8" s="2" t="n">
        <v>27</v>
      </c>
      <c r="B8" s="2" t="inlineStr">
        <is>
          <t>jeminise.com+christmas-bedding-quilt-soft-microfiber-holiday-bedsprea-design-12</t>
        </is>
      </c>
      <c r="C8" s="4" t="inlineStr">
        <is>
          <t>https://jeminise.com/products/christmas-bedding-quilt-soft-microfiber-holiday-bedsprea-design-12</t>
        </is>
      </c>
      <c r="D8" s="2" t="inlineStr">
        <is>
          <t>christmas-bedding-quilt-soft-microfiber-holiday-bedsprea-design-12</t>
        </is>
      </c>
      <c r="E8" s="2" t="inlineStr">
        <is>
          <t>8867157803207</t>
        </is>
      </c>
      <c r="F8" s="2" t="inlineStr">
        <is>
          <t>r6</t>
        </is>
      </c>
      <c r="G8" s="5" t="n">
        <f>SUMIF('QA_Criteria'!$A$2:$A$111,B8,'QA_Criteria'!$F$2:$F$111)</f>
        <v>67.5</v>
      </c>
      <c r="H8" s="5" t="n">
        <f>SUMIF('QA_Criteria'!$A$2:$A$111,B8,'QA_Criteria'!$G$2:$G$111)</f>
        <v>100</v>
      </c>
      <c r="I8" s="5" t="n">
        <f>G8</f>
        <v>67.5</v>
      </c>
      <c r="J8" s="5" t="n">
        <f>G8+(100-H8)</f>
        <v>67.5</v>
      </c>
      <c r="K8" s="5" t="n">
        <f>IF(AND(H8=100,Q8=1,P8=TRUE),G8,"")</f>
        <v>67.5</v>
      </c>
      <c r="L8" s="2" t="str">
        <f>IF(R8&gt;0,"QA_FAIL",IF(K8="","QA_INCOMPLETE",IF(K8&lt;70,"QA_FAIL",IF(OR(K8&lt;85,S8&gt;0),"QA_REVISE","QA_PASS"))))</f>
        <v>QA_FAIL</v>
      </c>
      <c r="M8" s="2" t="inlineStr">
        <is>
          <t>SERP_ONLY</t>
        </is>
      </c>
      <c r="N8" s="2" t="n">
        <v>5</v>
      </c>
      <c r="O8" s="2" t="n">
        <v>5</v>
      </c>
      <c r="P8" s="2" t="b">
        <v>1</v>
      </c>
      <c r="Q8" s="6" t="n">
        <v>1</v>
      </c>
      <c r="R8" s="2" t="n">
        <f>COUNTIFS('QA_Issues'!$B$2:$B$21,B8,'QA_Issues'!$D$2:$D$21,"CRITICAL")</f>
        <v>0</v>
      </c>
      <c r="S8" s="2" t="n">
        <f>COUNTIFS('QA_Issues'!$B$2:$B$21,B8,'QA_Issues'!$D$2:$D$21,"MAJOR")</f>
        <v>1</v>
      </c>
      <c r="T8" s="2" t="n">
        <f>COUNTIFS('QA_Issues'!$B$2:$B$21,B8,'QA_Issues'!$D$2:$D$21,"MINOR")</f>
        <v>1</v>
      </c>
      <c r="U8" s="2" t="n">
        <f>COUNTIFS('QA_Issues'!$B$2:$B$21,B8,'QA_Issues'!$D$2:$D$21,"LIMITATION")</f>
        <v>0</v>
      </c>
      <c r="V8" s="2" t="inlineStr">
        <is>
          <t>["R6-ISS-027-PERS"]</t>
        </is>
      </c>
      <c r="W8" s="2" t="inlineStr">
        <is>
          <t>["evidence_batch_003_027", "https://jeminise.com/products/christmas-bedding-quilt-soft-microfiber-holiday-bedsprea-design-12", "serp_qa_027"]</t>
        </is>
      </c>
    </row>
    <row r="9" ht="42" customHeight="1">
      <c r="A9" s="3" t="n">
        <v>28</v>
      </c>
      <c r="B9" s="3" t="inlineStr">
        <is>
          <t>jeminise.com+christmas-bedding-quilt-soft-microfiber-holiday-bedspread</t>
        </is>
      </c>
      <c r="C9" s="4" t="inlineStr">
        <is>
          <t>https://jeminise.com/products/christmas-bedding-quilt-soft-microfiber-holiday-bedspread</t>
        </is>
      </c>
      <c r="D9" s="3" t="inlineStr">
        <is>
          <t>christmas-bedding-quilt-soft-microfiber-holiday-bedspread</t>
        </is>
      </c>
      <c r="E9" s="3" t="inlineStr">
        <is>
          <t>8867157704903</t>
        </is>
      </c>
      <c r="F9" s="3" t="inlineStr">
        <is>
          <t>r6</t>
        </is>
      </c>
      <c r="G9" s="7" t="n">
        <f>SUMIF('QA_Criteria'!$A$2:$A$111,B9,'QA_Criteria'!$F$2:$F$111)</f>
        <v>67.5</v>
      </c>
      <c r="H9" s="7" t="n">
        <f>SUMIF('QA_Criteria'!$A$2:$A$111,B9,'QA_Criteria'!$G$2:$G$111)</f>
        <v>100</v>
      </c>
      <c r="I9" s="7" t="n">
        <f>G9</f>
        <v>67.5</v>
      </c>
      <c r="J9" s="7" t="n">
        <f>G9+(100-H9)</f>
        <v>67.5</v>
      </c>
      <c r="K9" s="7" t="n">
        <f>IF(AND(H9=100,Q9=1,P9=TRUE),G9,"")</f>
        <v>67.5</v>
      </c>
      <c r="L9" s="3" t="str">
        <f>IF(R9&gt;0,"QA_FAIL",IF(K9="","QA_INCOMPLETE",IF(K9&lt;70,"QA_FAIL",IF(OR(K9&lt;85,S9&gt;0),"QA_REVISE","QA_PASS"))))</f>
        <v>QA_FAIL</v>
      </c>
      <c r="M9" s="3" t="inlineStr">
        <is>
          <t>SERP_ONLY</t>
        </is>
      </c>
      <c r="N9" s="3" t="n">
        <v>5</v>
      </c>
      <c r="O9" s="3" t="n">
        <v>5</v>
      </c>
      <c r="P9" s="3" t="b">
        <v>1</v>
      </c>
      <c r="Q9" s="8" t="n">
        <v>1</v>
      </c>
      <c r="R9" s="3" t="n">
        <f>COUNTIFS('QA_Issues'!$B$2:$B$21,B9,'QA_Issues'!$D$2:$D$21,"CRITICAL")</f>
        <v>0</v>
      </c>
      <c r="S9" s="3" t="n">
        <f>COUNTIFS('QA_Issues'!$B$2:$B$21,B9,'QA_Issues'!$D$2:$D$21,"MAJOR")</f>
        <v>1</v>
      </c>
      <c r="T9" s="3" t="n">
        <f>COUNTIFS('QA_Issues'!$B$2:$B$21,B9,'QA_Issues'!$D$2:$D$21,"MINOR")</f>
        <v>1</v>
      </c>
      <c r="U9" s="3" t="n">
        <f>COUNTIFS('QA_Issues'!$B$2:$B$21,B9,'QA_Issues'!$D$2:$D$21,"LIMITATION")</f>
        <v>0</v>
      </c>
      <c r="V9" s="3" t="inlineStr">
        <is>
          <t>["R6-ISS-028-PERS"]</t>
        </is>
      </c>
      <c r="W9" s="3" t="inlineStr">
        <is>
          <t>["evidence_batch_003_028", "https://jeminise.com/products/christmas-bedding-quilt-soft-microfiber-holiday-bedspread", "serp_qa_028"]</t>
        </is>
      </c>
    </row>
    <row r="10" ht="42" customHeight="1">
      <c r="A10" s="2" t="n">
        <v>29</v>
      </c>
      <c r="B10" s="2" t="inlineStr">
        <is>
          <t>jeminise.com+christmas-cardinal-on-branch-within-patchwork-winter-quilt-892d70543a-892d70543a</t>
        </is>
      </c>
      <c r="C10" s="4" t="inlineStr">
        <is>
          <t>https://jeminise.com/products/christmas-cardinal-on-branch-within-patchwork-winter-quilt-892d70543a-892d70543a</t>
        </is>
      </c>
      <c r="D10" s="2" t="inlineStr">
        <is>
          <t>christmas-cardinal-on-branch-within-patchwork-winter-quilt-892d70543a-892d70543a</t>
        </is>
      </c>
      <c r="E10" s="2" t="inlineStr">
        <is>
          <t>8834708111559</t>
        </is>
      </c>
      <c r="F10" s="2" t="inlineStr">
        <is>
          <t>r6</t>
        </is>
      </c>
      <c r="G10" s="5" t="n">
        <f>SUMIF('QA_Criteria'!$A$2:$A$111,B10,'QA_Criteria'!$F$2:$F$111)</f>
        <v>85.0</v>
      </c>
      <c r="H10" s="5" t="n">
        <f>SUMIF('QA_Criteria'!$A$2:$A$111,B10,'QA_Criteria'!$G$2:$G$111)</f>
        <v>100</v>
      </c>
      <c r="I10" s="5" t="n">
        <f>G10</f>
        <v>85.0</v>
      </c>
      <c r="J10" s="5" t="n">
        <f>G10+(100-H10)</f>
        <v>85.0</v>
      </c>
      <c r="K10" s="5" t="n">
        <f>IF(AND(H10=100,Q10=1,P10=TRUE),G10,"")</f>
        <v>85.0</v>
      </c>
      <c r="L10" s="2" t="str">
        <f>IF(R10&gt;0,"QA_FAIL",IF(K10="","QA_INCOMPLETE",IF(K10&lt;70,"QA_FAIL",IF(OR(K10&lt;85,S10&gt;0),"QA_REVISE","QA_PASS"))))</f>
        <v>QA_REVISE</v>
      </c>
      <c r="M10" s="2" t="inlineStr">
        <is>
          <t>SERP_ONLY</t>
        </is>
      </c>
      <c r="N10" s="2" t="n">
        <v>5</v>
      </c>
      <c r="O10" s="2" t="n">
        <v>5</v>
      </c>
      <c r="P10" s="2" t="b">
        <v>1</v>
      </c>
      <c r="Q10" s="6" t="n">
        <v>1</v>
      </c>
      <c r="R10" s="2" t="n">
        <f>COUNTIFS('QA_Issues'!$B$2:$B$21,B10,'QA_Issues'!$D$2:$D$21,"CRITICAL")</f>
        <v>0</v>
      </c>
      <c r="S10" s="2" t="n">
        <f>COUNTIFS('QA_Issues'!$B$2:$B$21,B10,'QA_Issues'!$D$2:$D$21,"MAJOR")</f>
        <v>1</v>
      </c>
      <c r="T10" s="2" t="n">
        <f>COUNTIFS('QA_Issues'!$B$2:$B$21,B10,'QA_Issues'!$D$2:$D$21,"MINOR")</f>
        <v>0</v>
      </c>
      <c r="U10" s="2" t="n">
        <f>COUNTIFS('QA_Issues'!$B$2:$B$21,B10,'QA_Issues'!$D$2:$D$21,"LIMITATION")</f>
        <v>0</v>
      </c>
      <c r="V10" s="2" t="inlineStr">
        <is>
          <t>["R6-ISS-029-PERS"]</t>
        </is>
      </c>
      <c r="W10" s="2" t="inlineStr">
        <is>
          <t>["evidence_batch_003_029", "https://jeminise.com/products/christmas-cardinal-on-branch-within-patchwork-winter-quilt-892d70543a-892d70543a", "serp_qa_029"]</t>
        </is>
      </c>
    </row>
    <row r="11" ht="42" customHeight="1">
      <c r="A11" s="3" t="n">
        <v>30</v>
      </c>
      <c r="B11" s="3" t="inlineStr">
        <is>
          <t>jeminise.com+christmas-cardinal-perched-on-branch-within-wreath-patchwork-winter-quilt-9e7c0b5896-9e7c0b5896</t>
        </is>
      </c>
      <c r="C11" s="4" t="inlineStr">
        <is>
          <t>https://jeminise.com/products/christmas-cardinal-perched-on-branch-within-wreath-patchwork-winter-quilt-9e7c0b5896-9e7c0b5896</t>
        </is>
      </c>
      <c r="D11" s="3" t="inlineStr">
        <is>
          <t>christmas-cardinal-perched-on-branch-within-wreath-patchwork-winter-quilt-9e7c0b5896-9e7c0b5896</t>
        </is>
      </c>
      <c r="E11" s="3" t="inlineStr">
        <is>
          <t>8834727805127</t>
        </is>
      </c>
      <c r="F11" s="3" t="inlineStr">
        <is>
          <t>r6</t>
        </is>
      </c>
      <c r="G11" s="7" t="n">
        <f>SUMIF('QA_Criteria'!$A$2:$A$111,B11,'QA_Criteria'!$F$2:$F$111)</f>
        <v>85.0</v>
      </c>
      <c r="H11" s="7" t="n">
        <f>SUMIF('QA_Criteria'!$A$2:$A$111,B11,'QA_Criteria'!$G$2:$G$111)</f>
        <v>100</v>
      </c>
      <c r="I11" s="7" t="n">
        <f>G11</f>
        <v>85.0</v>
      </c>
      <c r="J11" s="7" t="n">
        <f>G11+(100-H11)</f>
        <v>85.0</v>
      </c>
      <c r="K11" s="7" t="n">
        <f>IF(AND(H11=100,Q11=1,P11=TRUE),G11,"")</f>
        <v>85.0</v>
      </c>
      <c r="L11" s="3" t="str">
        <f>IF(R11&gt;0,"QA_FAIL",IF(K11="","QA_INCOMPLETE",IF(K11&lt;70,"QA_FAIL",IF(OR(K11&lt;85,S11&gt;0),"QA_REVISE","QA_PASS"))))</f>
        <v>QA_REVISE</v>
      </c>
      <c r="M11" s="3" t="inlineStr">
        <is>
          <t>SERP_ONLY</t>
        </is>
      </c>
      <c r="N11" s="3" t="n">
        <v>5</v>
      </c>
      <c r="O11" s="3" t="n">
        <v>5</v>
      </c>
      <c r="P11" s="3" t="b">
        <v>1</v>
      </c>
      <c r="Q11" s="8" t="n">
        <v>1</v>
      </c>
      <c r="R11" s="3" t="n">
        <f>COUNTIFS('QA_Issues'!$B$2:$B$21,B11,'QA_Issues'!$D$2:$D$21,"CRITICAL")</f>
        <v>0</v>
      </c>
      <c r="S11" s="3" t="n">
        <f>COUNTIFS('QA_Issues'!$B$2:$B$21,B11,'QA_Issues'!$D$2:$D$21,"MAJOR")</f>
        <v>1</v>
      </c>
      <c r="T11" s="3" t="n">
        <f>COUNTIFS('QA_Issues'!$B$2:$B$21,B11,'QA_Issues'!$D$2:$D$21,"MINOR")</f>
        <v>0</v>
      </c>
      <c r="U11" s="3" t="n">
        <f>COUNTIFS('QA_Issues'!$B$2:$B$21,B11,'QA_Issues'!$D$2:$D$21,"LIMITATION")</f>
        <v>0</v>
      </c>
      <c r="V11" s="3" t="inlineStr">
        <is>
          <t>["R6-ISS-030-PERS"]</t>
        </is>
      </c>
      <c r="W11" s="3" t="inlineStr">
        <is>
          <t>["evidence_batch_003_030", "https://jeminise.com/products/christmas-cardinal-perched-on-branch-within-wreath-patchwork-winter-quilt-9e7c0b5896-9e7c0b5896", "serp_qa_030"]</t>
        </is>
      </c>
    </row>
  </sheetData>
  <autoFilter ref="A1:W11"/>
  <conditionalFormatting sqref="L2:L11">
    <cfRule type="expression" priority="1" dxfId="0">
      <formula>L2="QA_PASS"</formula>
    </cfRule>
    <cfRule type="expression" priority="2" dxfId="1">
      <formula>L2="QA_REVISE"</formula>
    </cfRule>
    <cfRule type="expression" priority="3" dxfId="2">
      <formula>L2="QA_FAIL"</formula>
    </cfRule>
  </conditionalFormatting>
  <hyperlinks>
    <hyperlink ref="C2" ns1:id="rId1"/>
    <hyperlink ref="C3" ns1:id="rId2"/>
    <hyperlink ref="C4" ns1:id="rId3"/>
    <hyperlink ref="C5" ns1:id="rId4"/>
    <hyperlink ref="C6" ns1:id="rId5"/>
    <hyperlink ref="C7" ns1:id="rId6"/>
    <hyperlink ref="C8" ns1:id="rId7"/>
    <hyperlink ref="C9" ns1:id="rId8"/>
    <hyperlink ref="C10" ns1:id="rId9"/>
    <hyperlink ref="C11" ns1:id="rId10"/>
  </hyperlinks>
  <printOptions horizontalCentered="0"/>
  <pageMargins left="0.25" right="0.25" top="0.5" bottom="0.5" header="0.5" footer="0.5"/>
  <pageSetup orientation="landscape" fitToHeight="0" fitToWidth="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2" customWidth="1" min="3" max="3"/>
    <col width="12" customWidth="1" min="4" max="4"/>
    <col width="24" customWidth="1" min="5" max="5"/>
    <col width="23" customWidth="1" min="6" max="6"/>
    <col width="24" customWidth="1" min="7" max="7"/>
    <col width="42" customWidth="1" min="8" max="8"/>
    <col width="42" customWidth="1" min="9" max="9"/>
    <col width="42" customWidth="1" min="10" max="10"/>
    <col width="12" customWidth="1" min="11" max="11"/>
  </cols>
  <sheetData>
    <row r="1" ht="32" customHeight="1">
      <c r="A1" s="9" t="inlineStr">
        <is>
          <t>product_key</t>
        </is>
      </c>
      <c r="B1" s="9" t="inlineStr">
        <is>
          <t>criterion_id</t>
        </is>
      </c>
      <c r="C1" s="9" t="inlineStr">
        <is>
          <t>weight</t>
        </is>
      </c>
      <c r="D1" s="9" t="inlineStr">
        <is>
          <t>assessment</t>
        </is>
      </c>
      <c r="E1" s="9" t="inlineStr">
        <is>
          <t>rating</t>
        </is>
      </c>
      <c r="F1" s="9" t="inlineStr">
        <is>
          <t>earned_points</t>
        </is>
      </c>
      <c r="G1" s="9" t="inlineStr">
        <is>
          <t>assessed_weight</t>
        </is>
      </c>
      <c r="H1" s="9" t="inlineStr">
        <is>
          <t>reason</t>
        </is>
      </c>
      <c r="I1" s="9" t="inlineStr">
        <is>
          <t>evidence_refs</t>
        </is>
      </c>
      <c r="J1" s="9" t="inlineStr">
        <is>
          <t>issue_refs</t>
        </is>
      </c>
      <c r="K1" s="9" t="inlineStr">
        <is>
          <t>revision</t>
        </is>
      </c>
    </row>
    <row r="2" ht="42" customHeight="1">
      <c r="A2" s="2" t="inlineStr">
        <is>
          <t>jeminise.com+christmas-bedding-quilt-soft-microfiber-holiday-bedsprea-design-05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5" t="n">
        <f>IF(B2="I1",AVERAGEIF('QA_Images'!$A$2:$A$51,A2,'QA_Images'!$T$2:$T$51)/100,IF(D2="FULL",1,IF(D2="PARTIAL",0.5,IF(D2="FAIL",0,""))))</f>
        <v>1</v>
      </c>
      <c r="F2" s="5" t="n">
        <f>IF(E2="",0,C2*E2)</f>
        <v>15</v>
      </c>
      <c r="G2" s="5" t="n">
        <f>IF(B2="I1",20*AVERAGEIF('QA_Images'!$A$2:$A$51,A2,'QA_Images'!$U$2:$U$51)/100,IF(D2="NOT_CHECKED",0,C2))</f>
        <v>15</v>
      </c>
      <c r="H2" s="2" t="inlineStr">
        <is>
          <t>Live JSON id/handle, live H1 and all five current gallery images match the selected motif; personalization wording is not accepted without a live control.</t>
        </is>
      </c>
      <c r="I2" s="2" t="inlineStr">
        <is>
          <t>["evidence_batch_003_021", "https://jeminise.com/products/christmas-bedding-quilt-soft-microfiber-holiday-bedsprea-design-05", "serp_qa_021"]</t>
        </is>
      </c>
      <c r="J2" s="2" t="inlineStr">
        <is>
          <t>[]</t>
        </is>
      </c>
      <c r="K2" s="2" t="inlineStr">
        <is>
          <t>r6</t>
        </is>
      </c>
    </row>
    <row r="3" ht="42" customHeight="1">
      <c r="A3" s="3" t="inlineStr">
        <is>
          <t>jeminise.com+christmas-bedding-quilt-soft-microfiber-holiday-bedsprea-design-05</t>
        </is>
      </c>
      <c r="B3" s="3" t="inlineStr">
        <is>
          <t>P2</t>
        </is>
      </c>
      <c r="C3" s="3" t="n">
        <v>10</v>
      </c>
      <c r="D3" s="3" t="inlineStr">
        <is>
          <t>FULL</t>
        </is>
      </c>
      <c r="E3" s="7" t="n">
        <f>IF(B3="I1",AVERAGEIF('QA_Images'!$A$2:$A$51,A3,'QA_Images'!$T$2:$T$51)/100,IF(D3="FULL",1,IF(D3="PARTIAL",0.5,IF(D3="FAIL",0,""))))</f>
        <v>1</v>
      </c>
      <c r="F3" s="7" t="n">
        <f>IF(E3="",0,C3*E3)</f>
        <v>10</v>
      </c>
      <c r="G3" s="7" t="n">
        <f>IF(B3="I1",20*AVERAGEIF('QA_Images'!$A$2:$A$51,A3,'QA_Images'!$U$2:$U$51)/100,IF(D3="NOT_CHECKED",0,C3))</f>
        <v>10</v>
      </c>
      <c r="H3" s="3" t="inlineStr">
        <is>
          <t>Live JSON has 15 variants, five quilt sizes and three pillowcase choices. A live 1-text-input control is evidenced only at positions 21, 29 and 30; r6 personalization claims elsewhere are unsupported.</t>
        </is>
      </c>
      <c r="I3" s="3" t="inlineStr">
        <is>
          <t>["evidence_batch_003_021", "https://jeminise.com/products/christmas-bedding-quilt-soft-microfiber-holiday-bedsprea-design-05", "serp_qa_021"]</t>
        </is>
      </c>
      <c r="J3" s="3" t="inlineStr">
        <is>
          <t>[]</t>
        </is>
      </c>
      <c r="K3" s="3" t="inlineStr">
        <is>
          <t>r6</t>
        </is>
      </c>
    </row>
    <row r="4" ht="42" customHeight="1">
      <c r="A4" s="2" t="inlineStr">
        <is>
          <t>jeminise.com+christmas-bedding-quilt-soft-microfiber-holiday-bedsprea-design-05</t>
        </is>
      </c>
      <c r="B4" s="2" t="inlineStr">
        <is>
          <t>K1</t>
        </is>
      </c>
      <c r="C4" s="2" t="n">
        <v>10</v>
      </c>
      <c r="D4" s="2" t="inlineStr">
        <is>
          <t>PARTIAL</t>
        </is>
      </c>
      <c r="E4" s="5" t="n">
        <f>IF(B4="I1",AVERAGEIF('QA_Images'!$A$2:$A$51,A4,'QA_Images'!$T$2:$T$51)/100,IF(D4="FULL",1,IF(D4="PARTIAL",0.5,IF(D4="FAIL",0,""))))</f>
        <v>0.5</v>
      </c>
      <c r="F4" s="5" t="n">
        <f>IF(E4="",0,C4*E4)</f>
        <v>5.0</v>
      </c>
      <c r="G4" s="5" t="n">
        <f>IF(B4="I1",20*AVERAGEIF('QA_Images'!$A$2:$A$51,A4,'QA_Images'!$U$2:$U$51)/100,IF(D4="NOT_CHECKED",0,C4))</f>
        <v>10</v>
      </c>
      <c r="H4" s="2" t="inlineStr">
        <is>
          <t>Two US-English SERP queries per product were read. Motif terms distinguish candy cane gingerbread, village gingerbread, black tree, vintage tree, birdhouse/cardinal and snowman counts.</t>
        </is>
      </c>
      <c r="I4" s="2" t="inlineStr">
        <is>
          <t>["evidence_batch_003_021", "https://jeminise.com/products/christmas-bedding-quilt-soft-microfiber-holiday-bedsprea-design-05", "serp_qa_021"]</t>
        </is>
      </c>
      <c r="J4" s="2" t="inlineStr">
        <is>
          <t>[]</t>
        </is>
      </c>
      <c r="K4" s="2" t="inlineStr">
        <is>
          <t>r6</t>
        </is>
      </c>
    </row>
    <row r="5" ht="42" customHeight="1">
      <c r="A5" s="3" t="inlineStr">
        <is>
          <t>jeminise.com+christmas-bedding-quilt-soft-microfiber-holiday-bedsprea-design-05</t>
        </is>
      </c>
      <c r="B5" s="3" t="inlineStr">
        <is>
          <t>K2</t>
        </is>
      </c>
      <c r="C5" s="3" t="n">
        <v>5</v>
      </c>
      <c r="D5" s="3" t="inlineStr">
        <is>
          <t>PARTIAL</t>
        </is>
      </c>
      <c r="E5" s="7" t="n">
        <f>IF(B5="I1",AVERAGEIF('QA_Images'!$A$2:$A$51,A5,'QA_Images'!$T$2:$T$51)/100,IF(D5="FULL",1,IF(D5="PARTIAL",0.5,IF(D5="FAIL",0,""))))</f>
        <v>0.5</v>
      </c>
      <c r="F5" s="7" t="n">
        <f>IF(E5="",0,C5*E5)</f>
        <v>2.5</v>
      </c>
      <c r="G5" s="7" t="n">
        <f>IF(B5="I1",20*AVERAGEIF('QA_Images'!$A$2:$A$51,A5,'QA_Images'!$U$2:$U$51)/100,IF(D5="NOT_CHECKED",0,C5))</f>
        <v>5</v>
      </c>
      <c r="H5" s="3" t="inlineStr">
        <is>
          <t>SERP results support commercial/product intent, but comparator results were read without hard-pinned search-service locale.</t>
        </is>
      </c>
      <c r="I5" s="3" t="inlineStr">
        <is>
          <t>["evidence_batch_003_021", "https://jeminise.com/products/christmas-bedding-quilt-soft-microfiber-holiday-bedsprea-design-05", "serp_qa_021"]</t>
        </is>
      </c>
      <c r="J5" s="3" t="inlineStr">
        <is>
          <t>[]</t>
        </is>
      </c>
      <c r="K5" s="3" t="inlineStr">
        <is>
          <t>r6</t>
        </is>
      </c>
    </row>
    <row r="6" ht="42" customHeight="1">
      <c r="A6" s="2" t="inlineStr">
        <is>
          <t>jeminise.com+christmas-bedding-quilt-soft-microfiber-holiday-bedsprea-design-05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5" t="n">
        <f>IF(B6="I1",AVERAGEIF('QA_Images'!$A$2:$A$51,A6,'QA_Images'!$T$2:$T$51)/100,IF(D6="FULL",1,IF(D6="PARTIAL",0.5,IF(D6="FAIL",0,""))))</f>
        <v>0.5</v>
      </c>
      <c r="F6" s="5" t="n">
        <f>IF(E6="",0,C6*E6)</f>
        <v>2.5</v>
      </c>
      <c r="G6" s="5" t="n">
        <f>IF(B6="I1",20*AVERAGEIF('QA_Images'!$A$2:$A$51,A6,'QA_Images'!$U$2:$U$51)/100,IF(D6="NOT_CHECKED",0,C6))</f>
        <v>5</v>
      </c>
      <c r="H6" s="2" t="inlineStr">
        <is>
          <t>No search-volume claim is made; evidence is SERP_ONLY and therefore only partial for demand validation.</t>
        </is>
      </c>
      <c r="I6" s="2" t="inlineStr">
        <is>
          <t>["evidence_batch_003_021", "https://jeminise.com/products/christmas-bedding-quilt-soft-microfiber-holiday-bedsprea-design-05", "serp_qa_021"]</t>
        </is>
      </c>
      <c r="J6" s="2" t="inlineStr">
        <is>
          <t>[]</t>
        </is>
      </c>
      <c r="K6" s="2" t="inlineStr">
        <is>
          <t>r6</t>
        </is>
      </c>
    </row>
    <row r="7" ht="42" customHeight="1">
      <c r="A7" s="3" t="inlineStr">
        <is>
          <t>jeminise.com+christmas-bedding-quilt-soft-microfiber-holiday-bedsprea-design-05</t>
        </is>
      </c>
      <c r="B7" s="3" t="inlineStr">
        <is>
          <t>T1</t>
        </is>
      </c>
      <c r="C7" s="3" t="n">
        <v>10</v>
      </c>
      <c r="D7" s="3" t="inlineStr">
        <is>
          <t>FULL</t>
        </is>
      </c>
      <c r="E7" s="7" t="n">
        <f>IF(B7="I1",AVERAGEIF('QA_Images'!$A$2:$A$51,A7,'QA_Images'!$T$2:$T$51)/100,IF(D7="FULL",1,IF(D7="PARTIAL",0.5,IF(D7="FAIL",0,""))))</f>
        <v>1</v>
      </c>
      <c r="F7" s="7" t="n">
        <f>IF(E7="",0,C7*E7)</f>
        <v>10</v>
      </c>
      <c r="G7" s="7" t="n">
        <f>IF(B7="I1",20*AVERAGEIF('QA_Images'!$A$2:$A$51,A7,'QA_Images'!$U$2:$U$51)/100,IF(D7="NOT_CHECKED",0,C7))</f>
        <v>10</v>
      </c>
      <c r="H7" s="3" t="inlineStr">
        <is>
          <t>Proposed SEO title is specific English copy; “Personalized” is not accepted for positions 22-28 without a live control.</t>
        </is>
      </c>
      <c r="I7" s="3" t="inlineStr">
        <is>
          <t>["evidence_batch_003_021", "https://jeminise.com/products/christmas-bedding-quilt-soft-microfiber-holiday-bedsprea-design-05", "serp_qa_021"]</t>
        </is>
      </c>
      <c r="J7" s="3" t="inlineStr">
        <is>
          <t>[]</t>
        </is>
      </c>
      <c r="K7" s="3" t="inlineStr">
        <is>
          <t>r6</t>
        </is>
      </c>
    </row>
    <row r="8" ht="42" customHeight="1">
      <c r="A8" s="2" t="inlineStr">
        <is>
          <t>jeminise.com+christmas-bedding-quilt-soft-microfiber-holiday-bedsprea-design-05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5" t="n">
        <f>IF(B8="I1",AVERAGEIF('QA_Images'!$A$2:$A$51,A8,'QA_Images'!$T$2:$T$51)/100,IF(D8="FULL",1,IF(D8="PARTIAL",0.5,IF(D8="FAIL",0,""))))</f>
        <v>1</v>
      </c>
      <c r="F8" s="5" t="n">
        <f>IF(E8="",0,C8*E8)</f>
        <v>5</v>
      </c>
      <c r="G8" s="5" t="n">
        <f>IF(B8="I1",20*AVERAGEIF('QA_Images'!$A$2:$A$51,A8,'QA_Images'!$U$2:$U$51)/100,IF(D8="NOT_CHECKED",0,C8))</f>
        <v>5</v>
      </c>
      <c r="H8" s="2" t="inlineStr">
        <is>
          <t>Proposed H1/title intent is distinct and avoids the live encoding/truncation issue.</t>
        </is>
      </c>
      <c r="I8" s="2" t="inlineStr">
        <is>
          <t>["evidence_batch_003_021", "https://jeminise.com/products/christmas-bedding-quilt-soft-microfiber-holiday-bedsprea-design-05", "serp_qa_021"]</t>
        </is>
      </c>
      <c r="J8" s="2" t="inlineStr">
        <is>
          <t>[]</t>
        </is>
      </c>
      <c r="K8" s="2" t="inlineStr">
        <is>
          <t>r6</t>
        </is>
      </c>
    </row>
    <row r="9" ht="42" customHeight="1">
      <c r="A9" s="3" t="inlineStr">
        <is>
          <t>jeminise.com+christmas-bedding-quilt-soft-microfiber-holiday-bedsprea-design-05</t>
        </is>
      </c>
      <c r="B9" s="3" t="inlineStr">
        <is>
          <t>D1</t>
        </is>
      </c>
      <c r="C9" s="3" t="n">
        <v>5</v>
      </c>
      <c r="D9" s="3" t="inlineStr">
        <is>
          <t>FULL</t>
        </is>
      </c>
      <c r="E9" s="7" t="n">
        <f>IF(B9="I1",AVERAGEIF('QA_Images'!$A$2:$A$51,A9,'QA_Images'!$T$2:$T$51)/100,IF(D9="FULL",1,IF(D9="PARTIAL",0.5,IF(D9="FAIL",0,""))))</f>
        <v>1</v>
      </c>
      <c r="F9" s="7" t="n">
        <f>IF(E9="",0,C9*E9)</f>
        <v>5</v>
      </c>
      <c r="G9" s="7" t="n">
        <f>IF(B9="I1",20*AVERAGEIF('QA_Images'!$A$2:$A$51,A9,'QA_Images'!$U$2:$U$51)/100,IF(D9="NOT_CHECKED",0,C9))</f>
        <v>5</v>
      </c>
      <c r="H9" s="3" t="inlineStr">
        <is>
          <t>Proposed metadata is complete, customer-facing and supported by the motif evidence; 145-165 is an editorial target only.</t>
        </is>
      </c>
      <c r="I9" s="3" t="inlineStr">
        <is>
          <t>["evidence_batch_003_021", "https://jeminise.com/products/christmas-bedding-quilt-soft-microfiber-holiday-bedsprea-design-05", "serp_qa_021"]</t>
        </is>
      </c>
      <c r="J9" s="3" t="inlineStr">
        <is>
          <t>[]</t>
        </is>
      </c>
      <c r="K9" s="3" t="inlineStr">
        <is>
          <t>r6</t>
        </is>
      </c>
    </row>
    <row r="10" ht="42" customHeight="1">
      <c r="A10" s="2" t="inlineStr">
        <is>
          <t>jeminise.com+christmas-bedding-quilt-soft-microfiber-holiday-bedsprea-design-05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5" t="n">
        <f>IF(B10="I1",AVERAGEIF('QA_Images'!$A$2:$A$51,A10,'QA_Images'!$T$2:$T$51)/100,IF(D10="FULL",1,IF(D10="PARTIAL",0.5,IF(D10="FAIL",0,""))))</f>
        <v>1</v>
      </c>
      <c r="F10" s="5" t="n">
        <f>IF(E10="",0,C10*E10)</f>
        <v>10</v>
      </c>
      <c r="G10" s="5" t="n">
        <f>IF(B10="I1",20*AVERAGEIF('QA_Images'!$A$2:$A$51,A10,'QA_Images'!$U$2:$U$51)/100,IF(D10="NOT_CHECKED",0,C10))</f>
        <v>10</v>
      </c>
      <c r="H10" s="2" t="inlineStr">
        <is>
          <t>r6 description is customer-facing and removes process/QA wording. Position 29-30 incorrectly deny a live personalization field; other claims of a name field are unsupported where no live control was found.</t>
        </is>
      </c>
      <c r="I10" s="2" t="inlineStr">
        <is>
          <t>["evidence_batch_003_021", "https://jeminise.com/products/christmas-bedding-quilt-soft-microfiber-holiday-bedsprea-design-05", "serp_qa_021"]</t>
        </is>
      </c>
      <c r="J10" s="2" t="inlineStr">
        <is>
          <t>[]</t>
        </is>
      </c>
      <c r="K10" s="2" t="inlineStr">
        <is>
          <t>r6</t>
        </is>
      </c>
    </row>
    <row r="11" ht="42" customHeight="1">
      <c r="A11" s="3" t="inlineStr">
        <is>
          <t>jeminise.com+christmas-bedding-quilt-soft-microfiber-holiday-bedsprea-design-05</t>
        </is>
      </c>
      <c r="B11" s="3" t="inlineStr">
        <is>
          <t>I1</t>
        </is>
      </c>
      <c r="C11" s="3" t="n">
        <v>20</v>
      </c>
      <c r="D11" s="3" t="inlineStr">
        <is>
          <t>DERIVED</t>
        </is>
      </c>
      <c r="E11" s="7" t="n">
        <f>IF(B11="I1",AVERAGEIF('QA_Images'!$A$2:$A$51,A11,'QA_Images'!$T$2:$T$51)/100,IF(D11="FULL",1,IF(D11="PARTIAL",0.5,IF(D11="FAIL",0,""))))</f>
        <v>1</v>
      </c>
      <c r="F11" s="7" t="n">
        <f>IF(E11="",0,C11*E11)</f>
        <v>20</v>
      </c>
      <c r="G11" s="7" t="n">
        <f>IF(B11="I1",20*AVERAGEIF('QA_Images'!$A$2:$A$51,A11,'QA_Images'!$U$2:$U$51)/100,IF(D11="NOT_CHECKED",0,C11))</f>
        <v>20</v>
      </c>
      <c r="H11" s="3" t="inlineStr">
        <is>
          <t>Derived from the 5 images belonging to this product only; all 20 image rubric points are passed.</t>
        </is>
      </c>
      <c r="I11" s="3" t="inlineStr">
        <is>
          <t>["evidence_batch_003_021", "https://jeminise.com/products/christmas-bedding-quilt-soft-microfiber-holiday-bedsprea-design-05", "serp_qa_021"]</t>
        </is>
      </c>
      <c r="J11" s="3" t="inlineStr">
        <is>
          <t>[]</t>
        </is>
      </c>
      <c r="K11" s="3" t="inlineStr">
        <is>
          <t>r6</t>
        </is>
      </c>
    </row>
    <row r="12" ht="42" customHeight="1">
      <c r="A12" s="2" t="inlineStr">
        <is>
          <t>jeminise.com+christmas-bedding-quilt-soft-microfiber-holiday-bedsprea-design-05</t>
        </is>
      </c>
      <c r="B12" s="2" t="inlineStr">
        <is>
          <t>E1</t>
        </is>
      </c>
      <c r="C12" s="2" t="n">
        <v>5</v>
      </c>
      <c r="D12" s="2" t="inlineStr">
        <is>
          <t>FULL</t>
        </is>
      </c>
      <c r="E12" s="5" t="n">
        <f>IF(B12="I1",AVERAGEIF('QA_Images'!$A$2:$A$51,A12,'QA_Images'!$T$2:$T$51)/100,IF(D12="FULL",1,IF(D12="PARTIAL",0.5,IF(D12="FAIL",0,""))))</f>
        <v>1</v>
      </c>
      <c r="F12" s="5" t="n">
        <f>IF(E12="",0,C12*E12)</f>
        <v>5</v>
      </c>
      <c r="G12" s="5" t="n">
        <f>IF(B12="I1",20*AVERAGEIF('QA_Images'!$A$2:$A$51,A12,'QA_Images'!$U$2:$U$51)/100,IF(D12="NOT_CHECKED",0,C12))</f>
        <v>5</v>
      </c>
      <c r="H12" s="2" t="inlineStr">
        <is>
          <t>Product key, handle, ID, URL and evidence links reconcile to the locked inventory rows and live snapshot.</t>
        </is>
      </c>
      <c r="I12" s="2" t="inlineStr">
        <is>
          <t>["evidence_batch_003_021", "https://jeminise.com/products/christmas-bedding-quilt-soft-microfiber-holiday-bedsprea-design-05", "serp_qa_021"]</t>
        </is>
      </c>
      <c r="J12" s="2" t="inlineStr">
        <is>
          <t>[]</t>
        </is>
      </c>
      <c r="K12" s="2" t="inlineStr">
        <is>
          <t>r6</t>
        </is>
      </c>
    </row>
    <row r="13" ht="42" customHeight="1">
      <c r="A13" s="3" t="inlineStr">
        <is>
          <t>jeminise.com+christmas-bedding-quilt-soft-microfiber-holiday-bedsprea-design-06</t>
        </is>
      </c>
      <c r="B13" s="3" t="inlineStr">
        <is>
          <t>P1</t>
        </is>
      </c>
      <c r="C13" s="3" t="n">
        <v>15</v>
      </c>
      <c r="D13" s="3" t="inlineStr">
        <is>
          <t>PARTIAL</t>
        </is>
      </c>
      <c r="E13" s="7" t="n">
        <f>IF(B13="I1",AVERAGEIF('QA_Images'!$A$2:$A$51,A13,'QA_Images'!$T$2:$T$51)/100,IF(D13="FULL",1,IF(D13="PARTIAL",0.5,IF(D13="FAIL",0,""))))</f>
        <v>0.5</v>
      </c>
      <c r="F13" s="7" t="n">
        <f>IF(E13="",0,C13*E13)</f>
        <v>7.5</v>
      </c>
      <c r="G13" s="7" t="n">
        <f>IF(B13="I1",20*AVERAGEIF('QA_Images'!$A$2:$A$51,A13,'QA_Images'!$U$2:$U$51)/100,IF(D13="NOT_CHECKED",0,C13))</f>
        <v>15</v>
      </c>
      <c r="H13" s="3" t="inlineStr">
        <is>
          <t>Live JSON id/handle, live H1 and all five current gallery images match the selected motif; personalization wording is not accepted without a live control.</t>
        </is>
      </c>
      <c r="I13" s="3" t="inlineStr">
        <is>
          <t>["evidence_batch_003_022", "https://jeminise.com/products/christmas-bedding-quilt-soft-microfiber-holiday-bedsprea-design-06", "serp_qa_022"]</t>
        </is>
      </c>
      <c r="J13" s="3" t="inlineStr">
        <is>
          <t>["R6-ISS-022-PERS"]</t>
        </is>
      </c>
      <c r="K13" s="3" t="inlineStr">
        <is>
          <t>r6</t>
        </is>
      </c>
    </row>
    <row r="14" ht="42" customHeight="1">
      <c r="A14" s="2" t="inlineStr">
        <is>
          <t>jeminise.com+christmas-bedding-quilt-soft-microfiber-holiday-bedsprea-design-06</t>
        </is>
      </c>
      <c r="B14" s="2" t="inlineStr">
        <is>
          <t>P2</t>
        </is>
      </c>
      <c r="C14" s="2" t="n">
        <v>10</v>
      </c>
      <c r="D14" s="2" t="inlineStr">
        <is>
          <t>PARTIAL</t>
        </is>
      </c>
      <c r="E14" s="5" t="n">
        <f>IF(B14="I1",AVERAGEIF('QA_Images'!$A$2:$A$51,A14,'QA_Images'!$T$2:$T$51)/100,IF(D14="FULL",1,IF(D14="PARTIAL",0.5,IF(D14="FAIL",0,""))))</f>
        <v>0.5</v>
      </c>
      <c r="F14" s="5" t="n">
        <f>IF(E14="",0,C14*E14)</f>
        <v>5.0</v>
      </c>
      <c r="G14" s="5" t="n">
        <f>IF(B14="I1",20*AVERAGEIF('QA_Images'!$A$2:$A$51,A14,'QA_Images'!$U$2:$U$51)/100,IF(D14="NOT_CHECKED",0,C14))</f>
        <v>10</v>
      </c>
      <c r="H14" s="2" t="inlineStr">
        <is>
          <t>Live JSON has 15 variants, five quilt sizes and three pillowcase choices. A live 1-text-input control is evidenced only at positions 21, 29 and 30; r6 personalization claims elsewhere are unsupported.</t>
        </is>
      </c>
      <c r="I14" s="2" t="inlineStr">
        <is>
          <t>["evidence_batch_003_022", "https://jeminise.com/products/christmas-bedding-quilt-soft-microfiber-holiday-bedsprea-design-06", "serp_qa_022"]</t>
        </is>
      </c>
      <c r="J14" s="2" t="inlineStr">
        <is>
          <t>["R6-ISS-022-PERS"]</t>
        </is>
      </c>
      <c r="K14" s="2" t="inlineStr">
        <is>
          <t>r6</t>
        </is>
      </c>
    </row>
    <row r="15" ht="42" customHeight="1">
      <c r="A15" s="3" t="inlineStr">
        <is>
          <t>jeminise.com+christmas-bedding-quilt-soft-microfiber-holiday-bedsprea-design-06</t>
        </is>
      </c>
      <c r="B15" s="3" t="inlineStr">
        <is>
          <t>K1</t>
        </is>
      </c>
      <c r="C15" s="3" t="n">
        <v>10</v>
      </c>
      <c r="D15" s="3" t="inlineStr">
        <is>
          <t>PARTIAL</t>
        </is>
      </c>
      <c r="E15" s="7" t="n">
        <f>IF(B15="I1",AVERAGEIF('QA_Images'!$A$2:$A$51,A15,'QA_Images'!$T$2:$T$51)/100,IF(D15="FULL",1,IF(D15="PARTIAL",0.5,IF(D15="FAIL",0,""))))</f>
        <v>0.5</v>
      </c>
      <c r="F15" s="7" t="n">
        <f>IF(E15="",0,C15*E15)</f>
        <v>5.0</v>
      </c>
      <c r="G15" s="7" t="n">
        <f>IF(B15="I1",20*AVERAGEIF('QA_Images'!$A$2:$A$51,A15,'QA_Images'!$U$2:$U$51)/100,IF(D15="NOT_CHECKED",0,C15))</f>
        <v>10</v>
      </c>
      <c r="H15" s="3" t="inlineStr">
        <is>
          <t>Two US-English SERP queries per product were read. Motif terms distinguish candy cane gingerbread, village gingerbread, black tree, vintage tree, birdhouse/cardinal and snowman counts.</t>
        </is>
      </c>
      <c r="I15" s="3" t="inlineStr">
        <is>
          <t>["evidence_batch_003_022", "https://jeminise.com/products/christmas-bedding-quilt-soft-microfiber-holiday-bedsprea-design-06", "serp_qa_022"]</t>
        </is>
      </c>
      <c r="J15" s="3" t="inlineStr">
        <is>
          <t>["R6-ISS-022-PERS"]</t>
        </is>
      </c>
      <c r="K15" s="3" t="inlineStr">
        <is>
          <t>r6</t>
        </is>
      </c>
    </row>
    <row r="16" ht="42" customHeight="1">
      <c r="A16" s="2" t="inlineStr">
        <is>
          <t>jeminise.com+christmas-bedding-quilt-soft-microfiber-holiday-bedsprea-design-06</t>
        </is>
      </c>
      <c r="B16" s="2" t="inlineStr">
        <is>
          <t>K2</t>
        </is>
      </c>
      <c r="C16" s="2" t="n">
        <v>5</v>
      </c>
      <c r="D16" s="2" t="inlineStr">
        <is>
          <t>PARTIAL</t>
        </is>
      </c>
      <c r="E16" s="5" t="n">
        <f>IF(B16="I1",AVERAGEIF('QA_Images'!$A$2:$A$51,A16,'QA_Images'!$T$2:$T$51)/100,IF(D16="FULL",1,IF(D16="PARTIAL",0.5,IF(D16="FAIL",0,""))))</f>
        <v>0.5</v>
      </c>
      <c r="F16" s="5" t="n">
        <f>IF(E16="",0,C16*E16)</f>
        <v>2.5</v>
      </c>
      <c r="G16" s="5" t="n">
        <f>IF(B16="I1",20*AVERAGEIF('QA_Images'!$A$2:$A$51,A16,'QA_Images'!$U$2:$U$51)/100,IF(D16="NOT_CHECKED",0,C16))</f>
        <v>5</v>
      </c>
      <c r="H16" s="2" t="inlineStr">
        <is>
          <t>SERP results support commercial/product intent, but comparator results were read without hard-pinned search-service locale.</t>
        </is>
      </c>
      <c r="I16" s="2" t="inlineStr">
        <is>
          <t>["evidence_batch_003_022", "https://jeminise.com/products/christmas-bedding-quilt-soft-microfiber-holiday-bedsprea-design-06", "serp_qa_022"]</t>
        </is>
      </c>
      <c r="J16" s="2" t="inlineStr">
        <is>
          <t>["R6-ISS-022-PERS"]</t>
        </is>
      </c>
      <c r="K16" s="2" t="inlineStr">
        <is>
          <t>r6</t>
        </is>
      </c>
    </row>
    <row r="17" ht="42" customHeight="1">
      <c r="A17" s="3" t="inlineStr">
        <is>
          <t>jeminise.com+christmas-bedding-quilt-soft-microfiber-holiday-bedsprea-design-06</t>
        </is>
      </c>
      <c r="B17" s="3" t="inlineStr">
        <is>
          <t>K3</t>
        </is>
      </c>
      <c r="C17" s="3" t="n">
        <v>5</v>
      </c>
      <c r="D17" s="3" t="inlineStr">
        <is>
          <t>PARTIAL</t>
        </is>
      </c>
      <c r="E17" s="7" t="n">
        <f>IF(B17="I1",AVERAGEIF('QA_Images'!$A$2:$A$51,A17,'QA_Images'!$T$2:$T$51)/100,IF(D17="FULL",1,IF(D17="PARTIAL",0.5,IF(D17="FAIL",0,""))))</f>
        <v>0.5</v>
      </c>
      <c r="F17" s="7" t="n">
        <f>IF(E17="",0,C17*E17)</f>
        <v>2.5</v>
      </c>
      <c r="G17" s="7" t="n">
        <f>IF(B17="I1",20*AVERAGEIF('QA_Images'!$A$2:$A$51,A17,'QA_Images'!$U$2:$U$51)/100,IF(D17="NOT_CHECKED",0,C17))</f>
        <v>5</v>
      </c>
      <c r="H17" s="3" t="inlineStr">
        <is>
          <t>No search-volume claim is made; evidence is SERP_ONLY and therefore only partial for demand validation.</t>
        </is>
      </c>
      <c r="I17" s="3" t="inlineStr">
        <is>
          <t>["evidence_batch_003_022", "https://jeminise.com/products/christmas-bedding-quilt-soft-microfiber-holiday-bedsprea-design-06", "serp_qa_022"]</t>
        </is>
      </c>
      <c r="J17" s="3" t="inlineStr">
        <is>
          <t>["R6-ISS-022-PERS"]</t>
        </is>
      </c>
      <c r="K17" s="3" t="inlineStr">
        <is>
          <t>r6</t>
        </is>
      </c>
    </row>
    <row r="18" ht="42" customHeight="1">
      <c r="A18" s="2" t="inlineStr">
        <is>
          <t>jeminise.com+christmas-bedding-quilt-soft-microfiber-holiday-bedsprea-design-06</t>
        </is>
      </c>
      <c r="B18" s="2" t="inlineStr">
        <is>
          <t>T1</t>
        </is>
      </c>
      <c r="C18" s="2" t="n">
        <v>10</v>
      </c>
      <c r="D18" s="2" t="inlineStr">
        <is>
          <t>PARTIAL</t>
        </is>
      </c>
      <c r="E18" s="5" t="n">
        <f>IF(B18="I1",AVERAGEIF('QA_Images'!$A$2:$A$51,A18,'QA_Images'!$T$2:$T$51)/100,IF(D18="FULL",1,IF(D18="PARTIAL",0.5,IF(D18="FAIL",0,""))))</f>
        <v>0.5</v>
      </c>
      <c r="F18" s="5" t="n">
        <f>IF(E18="",0,C18*E18)</f>
        <v>5.0</v>
      </c>
      <c r="G18" s="5" t="n">
        <f>IF(B18="I1",20*AVERAGEIF('QA_Images'!$A$2:$A$51,A18,'QA_Images'!$U$2:$U$51)/100,IF(D18="NOT_CHECKED",0,C18))</f>
        <v>10</v>
      </c>
      <c r="H18" s="2" t="inlineStr">
        <is>
          <t>Proposed SEO title is specific English copy; “Personalized” is not accepted for positions 22-28 without a live control.</t>
        </is>
      </c>
      <c r="I18" s="2" t="inlineStr">
        <is>
          <t>["evidence_batch_003_022", "https://jeminise.com/products/christmas-bedding-quilt-soft-microfiber-holiday-bedsprea-design-06", "serp_qa_022"]</t>
        </is>
      </c>
      <c r="J18" s="2" t="inlineStr">
        <is>
          <t>["R6-ISS-022-PERS"]</t>
        </is>
      </c>
      <c r="K18" s="2" t="inlineStr">
        <is>
          <t>r6</t>
        </is>
      </c>
    </row>
    <row r="19" ht="42" customHeight="1">
      <c r="A19" s="3" t="inlineStr">
        <is>
          <t>jeminise.com+christmas-bedding-quilt-soft-microfiber-holiday-bedsprea-design-06</t>
        </is>
      </c>
      <c r="B19" s="3" t="inlineStr">
        <is>
          <t>T2</t>
        </is>
      </c>
      <c r="C19" s="3" t="n">
        <v>5</v>
      </c>
      <c r="D19" s="3" t="inlineStr">
        <is>
          <t>FULL</t>
        </is>
      </c>
      <c r="E19" s="7" t="n">
        <f>IF(B19="I1",AVERAGEIF('QA_Images'!$A$2:$A$51,A19,'QA_Images'!$T$2:$T$51)/100,IF(D19="FULL",1,IF(D19="PARTIAL",0.5,IF(D19="FAIL",0,""))))</f>
        <v>1</v>
      </c>
      <c r="F19" s="7" t="n">
        <f>IF(E19="",0,C19*E19)</f>
        <v>5</v>
      </c>
      <c r="G19" s="7" t="n">
        <f>IF(B19="I1",20*AVERAGEIF('QA_Images'!$A$2:$A$51,A19,'QA_Images'!$U$2:$U$51)/100,IF(D19="NOT_CHECKED",0,C19))</f>
        <v>5</v>
      </c>
      <c r="H19" s="3" t="inlineStr">
        <is>
          <t>Proposed H1/title intent is distinct and avoids the live encoding/truncation issue.</t>
        </is>
      </c>
      <c r="I19" s="3" t="inlineStr">
        <is>
          <t>["evidence_batch_003_022", "https://jeminise.com/products/christmas-bedding-quilt-soft-microfiber-holiday-bedsprea-design-06", "serp_qa_022"]</t>
        </is>
      </c>
      <c r="J19" s="3" t="inlineStr">
        <is>
          <t>["R6-ISS-022-PERS"]</t>
        </is>
      </c>
      <c r="K19" s="3" t="inlineStr">
        <is>
          <t>r6</t>
        </is>
      </c>
    </row>
    <row r="20" ht="42" customHeight="1">
      <c r="A20" s="2" t="inlineStr">
        <is>
          <t>jeminise.com+christmas-bedding-quilt-soft-microfiber-holiday-bedsprea-design-06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5" t="n">
        <f>IF(B20="I1",AVERAGEIF('QA_Images'!$A$2:$A$51,A20,'QA_Images'!$T$2:$T$51)/100,IF(D20="FULL",1,IF(D20="PARTIAL",0.5,IF(D20="FAIL",0,""))))</f>
        <v>1</v>
      </c>
      <c r="F20" s="5" t="n">
        <f>IF(E20="",0,C20*E20)</f>
        <v>5</v>
      </c>
      <c r="G20" s="5" t="n">
        <f>IF(B20="I1",20*AVERAGEIF('QA_Images'!$A$2:$A$51,A20,'QA_Images'!$U$2:$U$51)/100,IF(D20="NOT_CHECKED",0,C20))</f>
        <v>5</v>
      </c>
      <c r="H20" s="2" t="inlineStr">
        <is>
          <t>Proposed metadata is complete, customer-facing and supported by the motif evidence; 145-165 is an editorial target only.</t>
        </is>
      </c>
      <c r="I20" s="2" t="inlineStr">
        <is>
          <t>["evidence_batch_003_022", "https://jeminise.com/products/christmas-bedding-quilt-soft-microfiber-holiday-bedsprea-design-06", "serp_qa_022"]</t>
        </is>
      </c>
      <c r="J20" s="2" t="inlineStr">
        <is>
          <t>["R6-ISS-022-PERS"]</t>
        </is>
      </c>
      <c r="K20" s="2" t="inlineStr">
        <is>
          <t>r6</t>
        </is>
      </c>
    </row>
    <row r="21" ht="42" customHeight="1">
      <c r="A21" s="3" t="inlineStr">
        <is>
          <t>jeminise.com+christmas-bedding-quilt-soft-microfiber-holiday-bedsprea-design-06</t>
        </is>
      </c>
      <c r="B21" s="3" t="inlineStr">
        <is>
          <t>D2</t>
        </is>
      </c>
      <c r="C21" s="3" t="n">
        <v>10</v>
      </c>
      <c r="D21" s="3" t="inlineStr">
        <is>
          <t>PARTIAL</t>
        </is>
      </c>
      <c r="E21" s="7" t="n">
        <f>IF(B21="I1",AVERAGEIF('QA_Images'!$A$2:$A$51,A21,'QA_Images'!$T$2:$T$51)/100,IF(D21="FULL",1,IF(D21="PARTIAL",0.5,IF(D21="FAIL",0,""))))</f>
        <v>0.5</v>
      </c>
      <c r="F21" s="7" t="n">
        <f>IF(E21="",0,C21*E21)</f>
        <v>5.0</v>
      </c>
      <c r="G21" s="7" t="n">
        <f>IF(B21="I1",20*AVERAGEIF('QA_Images'!$A$2:$A$51,A21,'QA_Images'!$U$2:$U$51)/100,IF(D21="NOT_CHECKED",0,C21))</f>
        <v>10</v>
      </c>
      <c r="H21" s="3" t="inlineStr">
        <is>
          <t>r6 description is customer-facing and removes process/QA wording. Position 29-30 incorrectly deny a live personalization field; other claims of a name field are unsupported where no live control was found.</t>
        </is>
      </c>
      <c r="I21" s="3" t="inlineStr">
        <is>
          <t>["evidence_batch_003_022", "https://jeminise.com/products/christmas-bedding-quilt-soft-microfiber-holiday-bedsprea-design-06", "serp_qa_022"]</t>
        </is>
      </c>
      <c r="J21" s="3" t="inlineStr">
        <is>
          <t>["R6-ISS-022-PERS"]</t>
        </is>
      </c>
      <c r="K21" s="3" t="inlineStr">
        <is>
          <t>r6</t>
        </is>
      </c>
    </row>
    <row r="22" ht="42" customHeight="1">
      <c r="A22" s="2" t="inlineStr">
        <is>
          <t>jeminise.com+christmas-bedding-quilt-soft-microfiber-holiday-bedsprea-design-06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5" t="n">
        <f>IF(B22="I1",AVERAGEIF('QA_Images'!$A$2:$A$51,A22,'QA_Images'!$T$2:$T$51)/100,IF(D22="FULL",1,IF(D22="PARTIAL",0.5,IF(D22="FAIL",0,""))))</f>
        <v>1</v>
      </c>
      <c r="F22" s="5" t="n">
        <f>IF(E22="",0,C22*E22)</f>
        <v>20</v>
      </c>
      <c r="G22" s="5" t="n">
        <f>IF(B22="I1",20*AVERAGEIF('QA_Images'!$A$2:$A$51,A22,'QA_Images'!$U$2:$U$51)/100,IF(D22="NOT_CHECKED",0,C22))</f>
        <v>20</v>
      </c>
      <c r="H22" s="2" t="inlineStr">
        <is>
          <t>Derived from the 5 images belonging to this product only; all 20 image rubric points are passed.</t>
        </is>
      </c>
      <c r="I22" s="2" t="inlineStr">
        <is>
          <t>["evidence_batch_003_022", "https://jeminise.com/products/christmas-bedding-quilt-soft-microfiber-holiday-bedsprea-design-06", "serp_qa_022"]</t>
        </is>
      </c>
      <c r="J22" s="2" t="inlineStr">
        <is>
          <t>["R6-ISS-022-PERS"]</t>
        </is>
      </c>
      <c r="K22" s="2" t="inlineStr">
        <is>
          <t>r6</t>
        </is>
      </c>
    </row>
    <row r="23" ht="42" customHeight="1">
      <c r="A23" s="3" t="inlineStr">
        <is>
          <t>jeminise.com+christmas-bedding-quilt-soft-microfiber-holiday-bedsprea-design-06</t>
        </is>
      </c>
      <c r="B23" s="3" t="inlineStr">
        <is>
          <t>E1</t>
        </is>
      </c>
      <c r="C23" s="3" t="n">
        <v>5</v>
      </c>
      <c r="D23" s="3" t="inlineStr">
        <is>
          <t>FULL</t>
        </is>
      </c>
      <c r="E23" s="7" t="n">
        <f>IF(B23="I1",AVERAGEIF('QA_Images'!$A$2:$A$51,A23,'QA_Images'!$T$2:$T$51)/100,IF(D23="FULL",1,IF(D23="PARTIAL",0.5,IF(D23="FAIL",0,""))))</f>
        <v>1</v>
      </c>
      <c r="F23" s="7" t="n">
        <f>IF(E23="",0,C23*E23)</f>
        <v>5</v>
      </c>
      <c r="G23" s="7" t="n">
        <f>IF(B23="I1",20*AVERAGEIF('QA_Images'!$A$2:$A$51,A23,'QA_Images'!$U$2:$U$51)/100,IF(D23="NOT_CHECKED",0,C23))</f>
        <v>5</v>
      </c>
      <c r="H23" s="3" t="inlineStr">
        <is>
          <t>Product key, handle, ID, URL and evidence links reconcile to the locked inventory rows and live snapshot.</t>
        </is>
      </c>
      <c r="I23" s="3" t="inlineStr">
        <is>
          <t>["evidence_batch_003_022", "https://jeminise.com/products/christmas-bedding-quilt-soft-microfiber-holiday-bedsprea-design-06", "serp_qa_022"]</t>
        </is>
      </c>
      <c r="J23" s="3" t="inlineStr">
        <is>
          <t>["R6-ISS-022-PERS"]</t>
        </is>
      </c>
      <c r="K23" s="3" t="inlineStr">
        <is>
          <t>r6</t>
        </is>
      </c>
    </row>
    <row r="24" ht="42" customHeight="1">
      <c r="A24" s="2" t="inlineStr">
        <is>
          <t>jeminise.com+christmas-bedding-quilt-soft-microfiber-holiday-bedsprea-design-08</t>
        </is>
      </c>
      <c r="B24" s="2" t="inlineStr">
        <is>
          <t>P1</t>
        </is>
      </c>
      <c r="C24" s="2" t="n">
        <v>15</v>
      </c>
      <c r="D24" s="2" t="inlineStr">
        <is>
          <t>PARTIAL</t>
        </is>
      </c>
      <c r="E24" s="5" t="n">
        <f>IF(B24="I1",AVERAGEIF('QA_Images'!$A$2:$A$51,A24,'QA_Images'!$T$2:$T$51)/100,IF(D24="FULL",1,IF(D24="PARTIAL",0.5,IF(D24="FAIL",0,""))))</f>
        <v>0.5</v>
      </c>
      <c r="F24" s="5" t="n">
        <f>IF(E24="",0,C24*E24)</f>
        <v>7.5</v>
      </c>
      <c r="G24" s="5" t="n">
        <f>IF(B24="I1",20*AVERAGEIF('QA_Images'!$A$2:$A$51,A24,'QA_Images'!$U$2:$U$51)/100,IF(D24="NOT_CHECKED",0,C24))</f>
        <v>15</v>
      </c>
      <c r="H24" s="2" t="inlineStr">
        <is>
          <t>Live JSON id/handle, live H1 and all five current gallery images match the selected motif; personalization wording is not accepted without a live control.</t>
        </is>
      </c>
      <c r="I24" s="2" t="inlineStr">
        <is>
          <t>["evidence_batch_003_023", "https://jeminise.com/products/christmas-bedding-quilt-soft-microfiber-holiday-bedsprea-design-08", "serp_qa_023"]</t>
        </is>
      </c>
      <c r="J24" s="2" t="inlineStr">
        <is>
          <t>["R6-ISS-023-PERS"]</t>
        </is>
      </c>
      <c r="K24" s="2" t="inlineStr">
        <is>
          <t>r6</t>
        </is>
      </c>
    </row>
    <row r="25" ht="42" customHeight="1">
      <c r="A25" s="3" t="inlineStr">
        <is>
          <t>jeminise.com+christmas-bedding-quilt-soft-microfiber-holiday-bedsprea-design-08</t>
        </is>
      </c>
      <c r="B25" s="3" t="inlineStr">
        <is>
          <t>P2</t>
        </is>
      </c>
      <c r="C25" s="3" t="n">
        <v>10</v>
      </c>
      <c r="D25" s="3" t="inlineStr">
        <is>
          <t>PARTIAL</t>
        </is>
      </c>
      <c r="E25" s="7" t="n">
        <f>IF(B25="I1",AVERAGEIF('QA_Images'!$A$2:$A$51,A25,'QA_Images'!$T$2:$T$51)/100,IF(D25="FULL",1,IF(D25="PARTIAL",0.5,IF(D25="FAIL",0,""))))</f>
        <v>0.5</v>
      </c>
      <c r="F25" s="7" t="n">
        <f>IF(E25="",0,C25*E25)</f>
        <v>5.0</v>
      </c>
      <c r="G25" s="7" t="n">
        <f>IF(B25="I1",20*AVERAGEIF('QA_Images'!$A$2:$A$51,A25,'QA_Images'!$U$2:$U$51)/100,IF(D25="NOT_CHECKED",0,C25))</f>
        <v>10</v>
      </c>
      <c r="H25" s="3" t="inlineStr">
        <is>
          <t>Live JSON has 15 variants, five quilt sizes and three pillowcase choices. A live 1-text-input control is evidenced only at positions 21, 29 and 30; r6 personalization claims elsewhere are unsupported.</t>
        </is>
      </c>
      <c r="I25" s="3" t="inlineStr">
        <is>
          <t>["evidence_batch_003_023", "https://jeminise.com/products/christmas-bedding-quilt-soft-microfiber-holiday-bedsprea-design-08", "serp_qa_023"]</t>
        </is>
      </c>
      <c r="J25" s="3" t="inlineStr">
        <is>
          <t>["R6-ISS-023-PERS"]</t>
        </is>
      </c>
      <c r="K25" s="3" t="inlineStr">
        <is>
          <t>r6</t>
        </is>
      </c>
    </row>
    <row r="26" ht="42" customHeight="1">
      <c r="A26" s="2" t="inlineStr">
        <is>
          <t>jeminise.com+christmas-bedding-quilt-soft-microfiber-holiday-bedsprea-design-08</t>
        </is>
      </c>
      <c r="B26" s="2" t="inlineStr">
        <is>
          <t>K1</t>
        </is>
      </c>
      <c r="C26" s="2" t="n">
        <v>10</v>
      </c>
      <c r="D26" s="2" t="inlineStr">
        <is>
          <t>PARTIAL</t>
        </is>
      </c>
      <c r="E26" s="5" t="n">
        <f>IF(B26="I1",AVERAGEIF('QA_Images'!$A$2:$A$51,A26,'QA_Images'!$T$2:$T$51)/100,IF(D26="FULL",1,IF(D26="PARTIAL",0.5,IF(D26="FAIL",0,""))))</f>
        <v>0.5</v>
      </c>
      <c r="F26" s="5" t="n">
        <f>IF(E26="",0,C26*E26)</f>
        <v>5.0</v>
      </c>
      <c r="G26" s="5" t="n">
        <f>IF(B26="I1",20*AVERAGEIF('QA_Images'!$A$2:$A$51,A26,'QA_Images'!$U$2:$U$51)/100,IF(D26="NOT_CHECKED",0,C26))</f>
        <v>10</v>
      </c>
      <c r="H26" s="2" t="inlineStr">
        <is>
          <t>Two US-English SERP queries per product were read. Motif terms distinguish candy cane gingerbread, village gingerbread, black tree, vintage tree, birdhouse/cardinal and snowman counts.</t>
        </is>
      </c>
      <c r="I26" s="2" t="inlineStr">
        <is>
          <t>["evidence_batch_003_023", "https://jeminise.com/products/christmas-bedding-quilt-soft-microfiber-holiday-bedsprea-design-08", "serp_qa_023"]</t>
        </is>
      </c>
      <c r="J26" s="2" t="inlineStr">
        <is>
          <t>["R6-ISS-023-PERS"]</t>
        </is>
      </c>
      <c r="K26" s="2" t="inlineStr">
        <is>
          <t>r6</t>
        </is>
      </c>
    </row>
    <row r="27" ht="42" customHeight="1">
      <c r="A27" s="3" t="inlineStr">
        <is>
          <t>jeminise.com+christmas-bedding-quilt-soft-microfiber-holiday-bedsprea-design-08</t>
        </is>
      </c>
      <c r="B27" s="3" t="inlineStr">
        <is>
          <t>K2</t>
        </is>
      </c>
      <c r="C27" s="3" t="n">
        <v>5</v>
      </c>
      <c r="D27" s="3" t="inlineStr">
        <is>
          <t>PARTIAL</t>
        </is>
      </c>
      <c r="E27" s="7" t="n">
        <f>IF(B27="I1",AVERAGEIF('QA_Images'!$A$2:$A$51,A27,'QA_Images'!$T$2:$T$51)/100,IF(D27="FULL",1,IF(D27="PARTIAL",0.5,IF(D27="FAIL",0,""))))</f>
        <v>0.5</v>
      </c>
      <c r="F27" s="7" t="n">
        <f>IF(E27="",0,C27*E27)</f>
        <v>2.5</v>
      </c>
      <c r="G27" s="7" t="n">
        <f>IF(B27="I1",20*AVERAGEIF('QA_Images'!$A$2:$A$51,A27,'QA_Images'!$U$2:$U$51)/100,IF(D27="NOT_CHECKED",0,C27))</f>
        <v>5</v>
      </c>
      <c r="H27" s="3" t="inlineStr">
        <is>
          <t>SERP results support commercial/product intent, but comparator results were read without hard-pinned search-service locale.</t>
        </is>
      </c>
      <c r="I27" s="3" t="inlineStr">
        <is>
          <t>["evidence_batch_003_023", "https://jeminise.com/products/christmas-bedding-quilt-soft-microfiber-holiday-bedsprea-design-08", "serp_qa_023"]</t>
        </is>
      </c>
      <c r="J27" s="3" t="inlineStr">
        <is>
          <t>["R6-ISS-023-PERS"]</t>
        </is>
      </c>
      <c r="K27" s="3" t="inlineStr">
        <is>
          <t>r6</t>
        </is>
      </c>
    </row>
    <row r="28" ht="42" customHeight="1">
      <c r="A28" s="2" t="inlineStr">
        <is>
          <t>jeminise.com+christmas-bedding-quilt-soft-microfiber-holiday-bedsprea-design-08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5" t="n">
        <f>IF(B28="I1",AVERAGEIF('QA_Images'!$A$2:$A$51,A28,'QA_Images'!$T$2:$T$51)/100,IF(D28="FULL",1,IF(D28="PARTIAL",0.5,IF(D28="FAIL",0,""))))</f>
        <v>0.5</v>
      </c>
      <c r="F28" s="5" t="n">
        <f>IF(E28="",0,C28*E28)</f>
        <v>2.5</v>
      </c>
      <c r="G28" s="5" t="n">
        <f>IF(B28="I1",20*AVERAGEIF('QA_Images'!$A$2:$A$51,A28,'QA_Images'!$U$2:$U$51)/100,IF(D28="NOT_CHECKED",0,C28))</f>
        <v>5</v>
      </c>
      <c r="H28" s="2" t="inlineStr">
        <is>
          <t>No search-volume claim is made; evidence is SERP_ONLY and therefore only partial for demand validation.</t>
        </is>
      </c>
      <c r="I28" s="2" t="inlineStr">
        <is>
          <t>["evidence_batch_003_023", "https://jeminise.com/products/christmas-bedding-quilt-soft-microfiber-holiday-bedsprea-design-08", "serp_qa_023"]</t>
        </is>
      </c>
      <c r="J28" s="2" t="inlineStr">
        <is>
          <t>["R6-ISS-023-PERS"]</t>
        </is>
      </c>
      <c r="K28" s="2" t="inlineStr">
        <is>
          <t>r6</t>
        </is>
      </c>
    </row>
    <row r="29" ht="42" customHeight="1">
      <c r="A29" s="3" t="inlineStr">
        <is>
          <t>jeminise.com+christmas-bedding-quilt-soft-microfiber-holiday-bedsprea-design-08</t>
        </is>
      </c>
      <c r="B29" s="3" t="inlineStr">
        <is>
          <t>T1</t>
        </is>
      </c>
      <c r="C29" s="3" t="n">
        <v>10</v>
      </c>
      <c r="D29" s="3" t="inlineStr">
        <is>
          <t>PARTIAL</t>
        </is>
      </c>
      <c r="E29" s="7" t="n">
        <f>IF(B29="I1",AVERAGEIF('QA_Images'!$A$2:$A$51,A29,'QA_Images'!$T$2:$T$51)/100,IF(D29="FULL",1,IF(D29="PARTIAL",0.5,IF(D29="FAIL",0,""))))</f>
        <v>0.5</v>
      </c>
      <c r="F29" s="7" t="n">
        <f>IF(E29="",0,C29*E29)</f>
        <v>5.0</v>
      </c>
      <c r="G29" s="7" t="n">
        <f>IF(B29="I1",20*AVERAGEIF('QA_Images'!$A$2:$A$51,A29,'QA_Images'!$U$2:$U$51)/100,IF(D29="NOT_CHECKED",0,C29))</f>
        <v>10</v>
      </c>
      <c r="H29" s="3" t="inlineStr">
        <is>
          <t>Proposed SEO title is specific English copy; “Personalized” is not accepted for positions 22-28 without a live control.</t>
        </is>
      </c>
      <c r="I29" s="3" t="inlineStr">
        <is>
          <t>["evidence_batch_003_023", "https://jeminise.com/products/christmas-bedding-quilt-soft-microfiber-holiday-bedsprea-design-08", "serp_qa_023"]</t>
        </is>
      </c>
      <c r="J29" s="3" t="inlineStr">
        <is>
          <t>["R6-ISS-023-PERS"]</t>
        </is>
      </c>
      <c r="K29" s="3" t="inlineStr">
        <is>
          <t>r6</t>
        </is>
      </c>
    </row>
    <row r="30" ht="42" customHeight="1">
      <c r="A30" s="2" t="inlineStr">
        <is>
          <t>jeminise.com+christmas-bedding-quilt-soft-microfiber-holiday-bedsprea-design-08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5" t="n">
        <f>IF(B30="I1",AVERAGEIF('QA_Images'!$A$2:$A$51,A30,'QA_Images'!$T$2:$T$51)/100,IF(D30="FULL",1,IF(D30="PARTIAL",0.5,IF(D30="FAIL",0,""))))</f>
        <v>1</v>
      </c>
      <c r="F30" s="5" t="n">
        <f>IF(E30="",0,C30*E30)</f>
        <v>5</v>
      </c>
      <c r="G30" s="5" t="n">
        <f>IF(B30="I1",20*AVERAGEIF('QA_Images'!$A$2:$A$51,A30,'QA_Images'!$U$2:$U$51)/100,IF(D30="NOT_CHECKED",0,C30))</f>
        <v>5</v>
      </c>
      <c r="H30" s="2" t="inlineStr">
        <is>
          <t>Proposed H1/title intent is distinct and avoids the live encoding/truncation issue.</t>
        </is>
      </c>
      <c r="I30" s="2" t="inlineStr">
        <is>
          <t>["evidence_batch_003_023", "https://jeminise.com/products/christmas-bedding-quilt-soft-microfiber-holiday-bedsprea-design-08", "serp_qa_023"]</t>
        </is>
      </c>
      <c r="J30" s="2" t="inlineStr">
        <is>
          <t>["R6-ISS-023-PERS"]</t>
        </is>
      </c>
      <c r="K30" s="2" t="inlineStr">
        <is>
          <t>r6</t>
        </is>
      </c>
    </row>
    <row r="31" ht="42" customHeight="1">
      <c r="A31" s="3" t="inlineStr">
        <is>
          <t>jeminise.com+christmas-bedding-quilt-soft-microfiber-holiday-bedsprea-design-08</t>
        </is>
      </c>
      <c r="B31" s="3" t="inlineStr">
        <is>
          <t>D1</t>
        </is>
      </c>
      <c r="C31" s="3" t="n">
        <v>5</v>
      </c>
      <c r="D31" s="3" t="inlineStr">
        <is>
          <t>FULL</t>
        </is>
      </c>
      <c r="E31" s="7" t="n">
        <f>IF(B31="I1",AVERAGEIF('QA_Images'!$A$2:$A$51,A31,'QA_Images'!$T$2:$T$51)/100,IF(D31="FULL",1,IF(D31="PARTIAL",0.5,IF(D31="FAIL",0,""))))</f>
        <v>1</v>
      </c>
      <c r="F31" s="7" t="n">
        <f>IF(E31="",0,C31*E31)</f>
        <v>5</v>
      </c>
      <c r="G31" s="7" t="n">
        <f>IF(B31="I1",20*AVERAGEIF('QA_Images'!$A$2:$A$51,A31,'QA_Images'!$U$2:$U$51)/100,IF(D31="NOT_CHECKED",0,C31))</f>
        <v>5</v>
      </c>
      <c r="H31" s="3" t="inlineStr">
        <is>
          <t>Proposed metadata is complete, customer-facing and supported by the motif evidence; 145-165 is an editorial target only.</t>
        </is>
      </c>
      <c r="I31" s="3" t="inlineStr">
        <is>
          <t>["evidence_batch_003_023", "https://jeminise.com/products/christmas-bedding-quilt-soft-microfiber-holiday-bedsprea-design-08", "serp_qa_023"]</t>
        </is>
      </c>
      <c r="J31" s="3" t="inlineStr">
        <is>
          <t>["R6-ISS-023-PERS"]</t>
        </is>
      </c>
      <c r="K31" s="3" t="inlineStr">
        <is>
          <t>r6</t>
        </is>
      </c>
    </row>
    <row r="32" ht="42" customHeight="1">
      <c r="A32" s="2" t="inlineStr">
        <is>
          <t>jeminise.com+christmas-bedding-quilt-soft-microfiber-holiday-bedsprea-design-08</t>
        </is>
      </c>
      <c r="B32" s="2" t="inlineStr">
        <is>
          <t>D2</t>
        </is>
      </c>
      <c r="C32" s="2" t="n">
        <v>10</v>
      </c>
      <c r="D32" s="2" t="inlineStr">
        <is>
          <t>PARTIAL</t>
        </is>
      </c>
      <c r="E32" s="5" t="n">
        <f>IF(B32="I1",AVERAGEIF('QA_Images'!$A$2:$A$51,A32,'QA_Images'!$T$2:$T$51)/100,IF(D32="FULL",1,IF(D32="PARTIAL",0.5,IF(D32="FAIL",0,""))))</f>
        <v>0.5</v>
      </c>
      <c r="F32" s="5" t="n">
        <f>IF(E32="",0,C32*E32)</f>
        <v>5.0</v>
      </c>
      <c r="G32" s="5" t="n">
        <f>IF(B32="I1",20*AVERAGEIF('QA_Images'!$A$2:$A$51,A32,'QA_Images'!$U$2:$U$51)/100,IF(D32="NOT_CHECKED",0,C32))</f>
        <v>10</v>
      </c>
      <c r="H32" s="2" t="inlineStr">
        <is>
          <t>r6 description is customer-facing and removes process/QA wording. Position 29-30 incorrectly deny a live personalization field; other claims of a name field are unsupported where no live control was found.</t>
        </is>
      </c>
      <c r="I32" s="2" t="inlineStr">
        <is>
          <t>["evidence_batch_003_023", "https://jeminise.com/products/christmas-bedding-quilt-soft-microfiber-holiday-bedsprea-design-08", "serp_qa_023"]</t>
        </is>
      </c>
      <c r="J32" s="2" t="inlineStr">
        <is>
          <t>["R6-ISS-023-PERS"]</t>
        </is>
      </c>
      <c r="K32" s="2" t="inlineStr">
        <is>
          <t>r6</t>
        </is>
      </c>
    </row>
    <row r="33" ht="42" customHeight="1">
      <c r="A33" s="3" t="inlineStr">
        <is>
          <t>jeminise.com+christmas-bedding-quilt-soft-microfiber-holiday-bedsprea-design-08</t>
        </is>
      </c>
      <c r="B33" s="3" t="inlineStr">
        <is>
          <t>I1</t>
        </is>
      </c>
      <c r="C33" s="3" t="n">
        <v>20</v>
      </c>
      <c r="D33" s="3" t="inlineStr">
        <is>
          <t>DERIVED</t>
        </is>
      </c>
      <c r="E33" s="7" t="n">
        <f>IF(B33="I1",AVERAGEIF('QA_Images'!$A$2:$A$51,A33,'QA_Images'!$T$2:$T$51)/100,IF(D33="FULL",1,IF(D33="PARTIAL",0.5,IF(D33="FAIL",0,""))))</f>
        <v>1</v>
      </c>
      <c r="F33" s="7" t="n">
        <f>IF(E33="",0,C33*E33)</f>
        <v>20</v>
      </c>
      <c r="G33" s="7" t="n">
        <f>IF(B33="I1",20*AVERAGEIF('QA_Images'!$A$2:$A$51,A33,'QA_Images'!$U$2:$U$51)/100,IF(D33="NOT_CHECKED",0,C33))</f>
        <v>20</v>
      </c>
      <c r="H33" s="3" t="inlineStr">
        <is>
          <t>Derived from the 5 images belonging to this product only; all 20 image rubric points are passed.</t>
        </is>
      </c>
      <c r="I33" s="3" t="inlineStr">
        <is>
          <t>["evidence_batch_003_023", "https://jeminise.com/products/christmas-bedding-quilt-soft-microfiber-holiday-bedsprea-design-08", "serp_qa_023"]</t>
        </is>
      </c>
      <c r="J33" s="3" t="inlineStr">
        <is>
          <t>["R6-ISS-023-PERS"]</t>
        </is>
      </c>
      <c r="K33" s="3" t="inlineStr">
        <is>
          <t>r6</t>
        </is>
      </c>
    </row>
    <row r="34" ht="42" customHeight="1">
      <c r="A34" s="2" t="inlineStr">
        <is>
          <t>jeminise.com+christmas-bedding-quilt-soft-microfiber-holiday-bedsprea-design-08</t>
        </is>
      </c>
      <c r="B34" s="2" t="inlineStr">
        <is>
          <t>E1</t>
        </is>
      </c>
      <c r="C34" s="2" t="n">
        <v>5</v>
      </c>
      <c r="D34" s="2" t="inlineStr">
        <is>
          <t>FULL</t>
        </is>
      </c>
      <c r="E34" s="5" t="n">
        <f>IF(B34="I1",AVERAGEIF('QA_Images'!$A$2:$A$51,A34,'QA_Images'!$T$2:$T$51)/100,IF(D34="FULL",1,IF(D34="PARTIAL",0.5,IF(D34="FAIL",0,""))))</f>
        <v>1</v>
      </c>
      <c r="F34" s="5" t="n">
        <f>IF(E34="",0,C34*E34)</f>
        <v>5</v>
      </c>
      <c r="G34" s="5" t="n">
        <f>IF(B34="I1",20*AVERAGEIF('QA_Images'!$A$2:$A$51,A34,'QA_Images'!$U$2:$U$51)/100,IF(D34="NOT_CHECKED",0,C34))</f>
        <v>5</v>
      </c>
      <c r="H34" s="2" t="inlineStr">
        <is>
          <t>Product key, handle, ID, URL and evidence links reconcile to the locked inventory rows and live snapshot.</t>
        </is>
      </c>
      <c r="I34" s="2" t="inlineStr">
        <is>
          <t>["evidence_batch_003_023", "https://jeminise.com/products/christmas-bedding-quilt-soft-microfiber-holiday-bedsprea-design-08", "serp_qa_023"]</t>
        </is>
      </c>
      <c r="J34" s="2" t="inlineStr">
        <is>
          <t>["R6-ISS-023-PERS"]</t>
        </is>
      </c>
      <c r="K34" s="2" t="inlineStr">
        <is>
          <t>r6</t>
        </is>
      </c>
    </row>
    <row r="35" ht="42" customHeight="1">
      <c r="A35" s="3" t="inlineStr">
        <is>
          <t>jeminise.com+christmas-bedding-quilt-soft-microfiber-holiday-bedsprea-design-09</t>
        </is>
      </c>
      <c r="B35" s="3" t="inlineStr">
        <is>
          <t>P1</t>
        </is>
      </c>
      <c r="C35" s="3" t="n">
        <v>15</v>
      </c>
      <c r="D35" s="3" t="inlineStr">
        <is>
          <t>PARTIAL</t>
        </is>
      </c>
      <c r="E35" s="7" t="n">
        <f>IF(B35="I1",AVERAGEIF('QA_Images'!$A$2:$A$51,A35,'QA_Images'!$T$2:$T$51)/100,IF(D35="FULL",1,IF(D35="PARTIAL",0.5,IF(D35="FAIL",0,""))))</f>
        <v>0.5</v>
      </c>
      <c r="F35" s="7" t="n">
        <f>IF(E35="",0,C35*E35)</f>
        <v>7.5</v>
      </c>
      <c r="G35" s="7" t="n">
        <f>IF(B35="I1",20*AVERAGEIF('QA_Images'!$A$2:$A$51,A35,'QA_Images'!$U$2:$U$51)/100,IF(D35="NOT_CHECKED",0,C35))</f>
        <v>15</v>
      </c>
      <c r="H35" s="3" t="inlineStr">
        <is>
          <t>Live JSON id/handle, live H1 and all five current gallery images match the selected motif; personalization wording is not accepted without a live control.</t>
        </is>
      </c>
      <c r="I35" s="3" t="inlineStr">
        <is>
          <t>["evidence_batch_003_024", "https://jeminise.com/products/christmas-bedding-quilt-soft-microfiber-holiday-bedsprea-design-09", "serp_qa_024"]</t>
        </is>
      </c>
      <c r="J35" s="3" t="inlineStr">
        <is>
          <t>["R6-ISS-024-PERS"]</t>
        </is>
      </c>
      <c r="K35" s="3" t="inlineStr">
        <is>
          <t>r6</t>
        </is>
      </c>
    </row>
    <row r="36" ht="42" customHeight="1">
      <c r="A36" s="2" t="inlineStr">
        <is>
          <t>jeminise.com+christmas-bedding-quilt-soft-microfiber-holiday-bedsprea-design-09</t>
        </is>
      </c>
      <c r="B36" s="2" t="inlineStr">
        <is>
          <t>P2</t>
        </is>
      </c>
      <c r="C36" s="2" t="n">
        <v>10</v>
      </c>
      <c r="D36" s="2" t="inlineStr">
        <is>
          <t>PARTIAL</t>
        </is>
      </c>
      <c r="E36" s="5" t="n">
        <f>IF(B36="I1",AVERAGEIF('QA_Images'!$A$2:$A$51,A36,'QA_Images'!$T$2:$T$51)/100,IF(D36="FULL",1,IF(D36="PARTIAL",0.5,IF(D36="FAIL",0,""))))</f>
        <v>0.5</v>
      </c>
      <c r="F36" s="5" t="n">
        <f>IF(E36="",0,C36*E36)</f>
        <v>5.0</v>
      </c>
      <c r="G36" s="5" t="n">
        <f>IF(B36="I1",20*AVERAGEIF('QA_Images'!$A$2:$A$51,A36,'QA_Images'!$U$2:$U$51)/100,IF(D36="NOT_CHECKED",0,C36))</f>
        <v>10</v>
      </c>
      <c r="H36" s="2" t="inlineStr">
        <is>
          <t>Live JSON has 15 variants, five quilt sizes and three pillowcase choices. A live 1-text-input control is evidenced only at positions 21, 29 and 30; r6 personalization claims elsewhere are unsupported.</t>
        </is>
      </c>
      <c r="I36" s="2" t="inlineStr">
        <is>
          <t>["evidence_batch_003_024", "https://jeminise.com/products/christmas-bedding-quilt-soft-microfiber-holiday-bedsprea-design-09", "serp_qa_024"]</t>
        </is>
      </c>
      <c r="J36" s="2" t="inlineStr">
        <is>
          <t>["R6-ISS-024-PERS"]</t>
        </is>
      </c>
      <c r="K36" s="2" t="inlineStr">
        <is>
          <t>r6</t>
        </is>
      </c>
    </row>
    <row r="37" ht="42" customHeight="1">
      <c r="A37" s="3" t="inlineStr">
        <is>
          <t>jeminise.com+christmas-bedding-quilt-soft-microfiber-holiday-bedsprea-design-09</t>
        </is>
      </c>
      <c r="B37" s="3" t="inlineStr">
        <is>
          <t>K1</t>
        </is>
      </c>
      <c r="C37" s="3" t="n">
        <v>10</v>
      </c>
      <c r="D37" s="3" t="inlineStr">
        <is>
          <t>PARTIAL</t>
        </is>
      </c>
      <c r="E37" s="7" t="n">
        <f>IF(B37="I1",AVERAGEIF('QA_Images'!$A$2:$A$51,A37,'QA_Images'!$T$2:$T$51)/100,IF(D37="FULL",1,IF(D37="PARTIAL",0.5,IF(D37="FAIL",0,""))))</f>
        <v>0.5</v>
      </c>
      <c r="F37" s="7" t="n">
        <f>IF(E37="",0,C37*E37)</f>
        <v>5.0</v>
      </c>
      <c r="G37" s="7" t="n">
        <f>IF(B37="I1",20*AVERAGEIF('QA_Images'!$A$2:$A$51,A37,'QA_Images'!$U$2:$U$51)/100,IF(D37="NOT_CHECKED",0,C37))</f>
        <v>10</v>
      </c>
      <c r="H37" s="3" t="inlineStr">
        <is>
          <t>Two US-English SERP queries per product were read. Motif terms distinguish candy cane gingerbread, village gingerbread, black tree, vintage tree, birdhouse/cardinal and snowman counts.</t>
        </is>
      </c>
      <c r="I37" s="3" t="inlineStr">
        <is>
          <t>["evidence_batch_003_024", "https://jeminise.com/products/christmas-bedding-quilt-soft-microfiber-holiday-bedsprea-design-09", "serp_qa_024"]</t>
        </is>
      </c>
      <c r="J37" s="3" t="inlineStr">
        <is>
          <t>["R6-ISS-024-PERS"]</t>
        </is>
      </c>
      <c r="K37" s="3" t="inlineStr">
        <is>
          <t>r6</t>
        </is>
      </c>
    </row>
    <row r="38" ht="42" customHeight="1">
      <c r="A38" s="2" t="inlineStr">
        <is>
          <t>jeminise.com+christmas-bedding-quilt-soft-microfiber-holiday-bedsprea-design-09</t>
        </is>
      </c>
      <c r="B38" s="2" t="inlineStr">
        <is>
          <t>K2</t>
        </is>
      </c>
      <c r="C38" s="2" t="n">
        <v>5</v>
      </c>
      <c r="D38" s="2" t="inlineStr">
        <is>
          <t>PARTIAL</t>
        </is>
      </c>
      <c r="E38" s="5" t="n">
        <f>IF(B38="I1",AVERAGEIF('QA_Images'!$A$2:$A$51,A38,'QA_Images'!$T$2:$T$51)/100,IF(D38="FULL",1,IF(D38="PARTIAL",0.5,IF(D38="FAIL",0,""))))</f>
        <v>0.5</v>
      </c>
      <c r="F38" s="5" t="n">
        <f>IF(E38="",0,C38*E38)</f>
        <v>2.5</v>
      </c>
      <c r="G38" s="5" t="n">
        <f>IF(B38="I1",20*AVERAGEIF('QA_Images'!$A$2:$A$51,A38,'QA_Images'!$U$2:$U$51)/100,IF(D38="NOT_CHECKED",0,C38))</f>
        <v>5</v>
      </c>
      <c r="H38" s="2" t="inlineStr">
        <is>
          <t>SERP results support commercial/product intent, but comparator results were read without hard-pinned search-service locale.</t>
        </is>
      </c>
      <c r="I38" s="2" t="inlineStr">
        <is>
          <t>["evidence_batch_003_024", "https://jeminise.com/products/christmas-bedding-quilt-soft-microfiber-holiday-bedsprea-design-09", "serp_qa_024"]</t>
        </is>
      </c>
      <c r="J38" s="2" t="inlineStr">
        <is>
          <t>["R6-ISS-024-PERS"]</t>
        </is>
      </c>
      <c r="K38" s="2" t="inlineStr">
        <is>
          <t>r6</t>
        </is>
      </c>
    </row>
    <row r="39" ht="42" customHeight="1">
      <c r="A39" s="3" t="inlineStr">
        <is>
          <t>jeminise.com+christmas-bedding-quilt-soft-microfiber-holiday-bedsprea-design-09</t>
        </is>
      </c>
      <c r="B39" s="3" t="inlineStr">
        <is>
          <t>K3</t>
        </is>
      </c>
      <c r="C39" s="3" t="n">
        <v>5</v>
      </c>
      <c r="D39" s="3" t="inlineStr">
        <is>
          <t>PARTIAL</t>
        </is>
      </c>
      <c r="E39" s="7" t="n">
        <f>IF(B39="I1",AVERAGEIF('QA_Images'!$A$2:$A$51,A39,'QA_Images'!$T$2:$T$51)/100,IF(D39="FULL",1,IF(D39="PARTIAL",0.5,IF(D39="FAIL",0,""))))</f>
        <v>0.5</v>
      </c>
      <c r="F39" s="7" t="n">
        <f>IF(E39="",0,C39*E39)</f>
        <v>2.5</v>
      </c>
      <c r="G39" s="7" t="n">
        <f>IF(B39="I1",20*AVERAGEIF('QA_Images'!$A$2:$A$51,A39,'QA_Images'!$U$2:$U$51)/100,IF(D39="NOT_CHECKED",0,C39))</f>
        <v>5</v>
      </c>
      <c r="H39" s="3" t="inlineStr">
        <is>
          <t>No search-volume claim is made; evidence is SERP_ONLY and therefore only partial for demand validation.</t>
        </is>
      </c>
      <c r="I39" s="3" t="inlineStr">
        <is>
          <t>["evidence_batch_003_024", "https://jeminise.com/products/christmas-bedding-quilt-soft-microfiber-holiday-bedsprea-design-09", "serp_qa_024"]</t>
        </is>
      </c>
      <c r="J39" s="3" t="inlineStr">
        <is>
          <t>["R6-ISS-024-PERS"]</t>
        </is>
      </c>
      <c r="K39" s="3" t="inlineStr">
        <is>
          <t>r6</t>
        </is>
      </c>
    </row>
    <row r="40" ht="42" customHeight="1">
      <c r="A40" s="2" t="inlineStr">
        <is>
          <t>jeminise.com+christmas-bedding-quilt-soft-microfiber-holiday-bedsprea-design-09</t>
        </is>
      </c>
      <c r="B40" s="2" t="inlineStr">
        <is>
          <t>T1</t>
        </is>
      </c>
      <c r="C40" s="2" t="n">
        <v>10</v>
      </c>
      <c r="D40" s="2" t="inlineStr">
        <is>
          <t>PARTIAL</t>
        </is>
      </c>
      <c r="E40" s="5" t="n">
        <f>IF(B40="I1",AVERAGEIF('QA_Images'!$A$2:$A$51,A40,'QA_Images'!$T$2:$T$51)/100,IF(D40="FULL",1,IF(D40="PARTIAL",0.5,IF(D40="FAIL",0,""))))</f>
        <v>0.5</v>
      </c>
      <c r="F40" s="5" t="n">
        <f>IF(E40="",0,C40*E40)</f>
        <v>5.0</v>
      </c>
      <c r="G40" s="5" t="n">
        <f>IF(B40="I1",20*AVERAGEIF('QA_Images'!$A$2:$A$51,A40,'QA_Images'!$U$2:$U$51)/100,IF(D40="NOT_CHECKED",0,C40))</f>
        <v>10</v>
      </c>
      <c r="H40" s="2" t="inlineStr">
        <is>
          <t>Proposed SEO title is specific English copy; “Personalized” is not accepted for positions 22-28 without a live control.</t>
        </is>
      </c>
      <c r="I40" s="2" t="inlineStr">
        <is>
          <t>["evidence_batch_003_024", "https://jeminise.com/products/christmas-bedding-quilt-soft-microfiber-holiday-bedsprea-design-09", "serp_qa_024"]</t>
        </is>
      </c>
      <c r="J40" s="2" t="inlineStr">
        <is>
          <t>["R6-ISS-024-PERS"]</t>
        </is>
      </c>
      <c r="K40" s="2" t="inlineStr">
        <is>
          <t>r6</t>
        </is>
      </c>
    </row>
    <row r="41" ht="42" customHeight="1">
      <c r="A41" s="3" t="inlineStr">
        <is>
          <t>jeminise.com+christmas-bedding-quilt-soft-microfiber-holiday-bedsprea-design-09</t>
        </is>
      </c>
      <c r="B41" s="3" t="inlineStr">
        <is>
          <t>T2</t>
        </is>
      </c>
      <c r="C41" s="3" t="n">
        <v>5</v>
      </c>
      <c r="D41" s="3" t="inlineStr">
        <is>
          <t>FULL</t>
        </is>
      </c>
      <c r="E41" s="7" t="n">
        <f>IF(B41="I1",AVERAGEIF('QA_Images'!$A$2:$A$51,A41,'QA_Images'!$T$2:$T$51)/100,IF(D41="FULL",1,IF(D41="PARTIAL",0.5,IF(D41="FAIL",0,""))))</f>
        <v>1</v>
      </c>
      <c r="F41" s="7" t="n">
        <f>IF(E41="",0,C41*E41)</f>
        <v>5</v>
      </c>
      <c r="G41" s="7" t="n">
        <f>IF(B41="I1",20*AVERAGEIF('QA_Images'!$A$2:$A$51,A41,'QA_Images'!$U$2:$U$51)/100,IF(D41="NOT_CHECKED",0,C41))</f>
        <v>5</v>
      </c>
      <c r="H41" s="3" t="inlineStr">
        <is>
          <t>Proposed H1/title intent is distinct and avoids the live encoding/truncation issue.</t>
        </is>
      </c>
      <c r="I41" s="3" t="inlineStr">
        <is>
          <t>["evidence_batch_003_024", "https://jeminise.com/products/christmas-bedding-quilt-soft-microfiber-holiday-bedsprea-design-09", "serp_qa_024"]</t>
        </is>
      </c>
      <c r="J41" s="3" t="inlineStr">
        <is>
          <t>["R6-ISS-024-PERS"]</t>
        </is>
      </c>
      <c r="K41" s="3" t="inlineStr">
        <is>
          <t>r6</t>
        </is>
      </c>
    </row>
    <row r="42" ht="42" customHeight="1">
      <c r="A42" s="2" t="inlineStr">
        <is>
          <t>jeminise.com+christmas-bedding-quilt-soft-microfiber-holiday-bedsprea-design-09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5" t="n">
        <f>IF(B42="I1",AVERAGEIF('QA_Images'!$A$2:$A$51,A42,'QA_Images'!$T$2:$T$51)/100,IF(D42="FULL",1,IF(D42="PARTIAL",0.5,IF(D42="FAIL",0,""))))</f>
        <v>1</v>
      </c>
      <c r="F42" s="5" t="n">
        <f>IF(E42="",0,C42*E42)</f>
        <v>5</v>
      </c>
      <c r="G42" s="5" t="n">
        <f>IF(B42="I1",20*AVERAGEIF('QA_Images'!$A$2:$A$51,A42,'QA_Images'!$U$2:$U$51)/100,IF(D42="NOT_CHECKED",0,C42))</f>
        <v>5</v>
      </c>
      <c r="H42" s="2" t="inlineStr">
        <is>
          <t>Proposed metadata is complete, customer-facing and supported by the motif evidence; 145-165 is an editorial target only.</t>
        </is>
      </c>
      <c r="I42" s="2" t="inlineStr">
        <is>
          <t>["evidence_batch_003_024", "https://jeminise.com/products/christmas-bedding-quilt-soft-microfiber-holiday-bedsprea-design-09", "serp_qa_024"]</t>
        </is>
      </c>
      <c r="J42" s="2" t="inlineStr">
        <is>
          <t>["R6-ISS-024-PERS"]</t>
        </is>
      </c>
      <c r="K42" s="2" t="inlineStr">
        <is>
          <t>r6</t>
        </is>
      </c>
    </row>
    <row r="43" ht="42" customHeight="1">
      <c r="A43" s="3" t="inlineStr">
        <is>
          <t>jeminise.com+christmas-bedding-quilt-soft-microfiber-holiday-bedsprea-design-09</t>
        </is>
      </c>
      <c r="B43" s="3" t="inlineStr">
        <is>
          <t>D2</t>
        </is>
      </c>
      <c r="C43" s="3" t="n">
        <v>10</v>
      </c>
      <c r="D43" s="3" t="inlineStr">
        <is>
          <t>PARTIAL</t>
        </is>
      </c>
      <c r="E43" s="7" t="n">
        <f>IF(B43="I1",AVERAGEIF('QA_Images'!$A$2:$A$51,A43,'QA_Images'!$T$2:$T$51)/100,IF(D43="FULL",1,IF(D43="PARTIAL",0.5,IF(D43="FAIL",0,""))))</f>
        <v>0.5</v>
      </c>
      <c r="F43" s="7" t="n">
        <f>IF(E43="",0,C43*E43)</f>
        <v>5.0</v>
      </c>
      <c r="G43" s="7" t="n">
        <f>IF(B43="I1",20*AVERAGEIF('QA_Images'!$A$2:$A$51,A43,'QA_Images'!$U$2:$U$51)/100,IF(D43="NOT_CHECKED",0,C43))</f>
        <v>10</v>
      </c>
      <c r="H43" s="3" t="inlineStr">
        <is>
          <t>r6 description is customer-facing and removes process/QA wording. Position 29-30 incorrectly deny a live personalization field; other claims of a name field are unsupported where no live control was found.</t>
        </is>
      </c>
      <c r="I43" s="3" t="inlineStr">
        <is>
          <t>["evidence_batch_003_024", "https://jeminise.com/products/christmas-bedding-quilt-soft-microfiber-holiday-bedsprea-design-09", "serp_qa_024"]</t>
        </is>
      </c>
      <c r="J43" s="3" t="inlineStr">
        <is>
          <t>["R6-ISS-024-PERS"]</t>
        </is>
      </c>
      <c r="K43" s="3" t="inlineStr">
        <is>
          <t>r6</t>
        </is>
      </c>
    </row>
    <row r="44" ht="42" customHeight="1">
      <c r="A44" s="2" t="inlineStr">
        <is>
          <t>jeminise.com+christmas-bedding-quilt-soft-microfiber-holiday-bedsprea-design-09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5" t="n">
        <f>IF(B44="I1",AVERAGEIF('QA_Images'!$A$2:$A$51,A44,'QA_Images'!$T$2:$T$51)/100,IF(D44="FULL",1,IF(D44="PARTIAL",0.5,IF(D44="FAIL",0,""))))</f>
        <v>1</v>
      </c>
      <c r="F44" s="5" t="n">
        <f>IF(E44="",0,C44*E44)</f>
        <v>20</v>
      </c>
      <c r="G44" s="5" t="n">
        <f>IF(B44="I1",20*AVERAGEIF('QA_Images'!$A$2:$A$51,A44,'QA_Images'!$U$2:$U$51)/100,IF(D44="NOT_CHECKED",0,C44))</f>
        <v>20</v>
      </c>
      <c r="H44" s="2" t="inlineStr">
        <is>
          <t>Derived from the 5 images belonging to this product only; all 20 image rubric points are passed.</t>
        </is>
      </c>
      <c r="I44" s="2" t="inlineStr">
        <is>
          <t>["evidence_batch_003_024", "https://jeminise.com/products/christmas-bedding-quilt-soft-microfiber-holiday-bedsprea-design-09", "serp_qa_024"]</t>
        </is>
      </c>
      <c r="J44" s="2" t="inlineStr">
        <is>
          <t>["R6-ISS-024-PERS"]</t>
        </is>
      </c>
      <c r="K44" s="2" t="inlineStr">
        <is>
          <t>r6</t>
        </is>
      </c>
    </row>
    <row r="45" ht="42" customHeight="1">
      <c r="A45" s="3" t="inlineStr">
        <is>
          <t>jeminise.com+christmas-bedding-quilt-soft-microfiber-holiday-bedsprea-design-09</t>
        </is>
      </c>
      <c r="B45" s="3" t="inlineStr">
        <is>
          <t>E1</t>
        </is>
      </c>
      <c r="C45" s="3" t="n">
        <v>5</v>
      </c>
      <c r="D45" s="3" t="inlineStr">
        <is>
          <t>FULL</t>
        </is>
      </c>
      <c r="E45" s="7" t="n">
        <f>IF(B45="I1",AVERAGEIF('QA_Images'!$A$2:$A$51,A45,'QA_Images'!$T$2:$T$51)/100,IF(D45="FULL",1,IF(D45="PARTIAL",0.5,IF(D45="FAIL",0,""))))</f>
        <v>1</v>
      </c>
      <c r="F45" s="7" t="n">
        <f>IF(E45="",0,C45*E45)</f>
        <v>5</v>
      </c>
      <c r="G45" s="7" t="n">
        <f>IF(B45="I1",20*AVERAGEIF('QA_Images'!$A$2:$A$51,A45,'QA_Images'!$U$2:$U$51)/100,IF(D45="NOT_CHECKED",0,C45))</f>
        <v>5</v>
      </c>
      <c r="H45" s="3" t="inlineStr">
        <is>
          <t>Product key, handle, ID, URL and evidence links reconcile to the locked inventory rows and live snapshot.</t>
        </is>
      </c>
      <c r="I45" s="3" t="inlineStr">
        <is>
          <t>["evidence_batch_003_024", "https://jeminise.com/products/christmas-bedding-quilt-soft-microfiber-holiday-bedsprea-design-09", "serp_qa_024"]</t>
        </is>
      </c>
      <c r="J45" s="3" t="inlineStr">
        <is>
          <t>["R6-ISS-024-PERS"]</t>
        </is>
      </c>
      <c r="K45" s="3" t="inlineStr">
        <is>
          <t>r6</t>
        </is>
      </c>
    </row>
    <row r="46" ht="42" customHeight="1">
      <c r="A46" s="2" t="inlineStr">
        <is>
          <t>jeminise.com+christmas-bedding-quilt-soft-microfiber-holiday-bedsprea-design-10</t>
        </is>
      </c>
      <c r="B46" s="2" t="inlineStr">
        <is>
          <t>P1</t>
        </is>
      </c>
      <c r="C46" s="2" t="n">
        <v>15</v>
      </c>
      <c r="D46" s="2" t="inlineStr">
        <is>
          <t>PARTIAL</t>
        </is>
      </c>
      <c r="E46" s="5" t="n">
        <f>IF(B46="I1",AVERAGEIF('QA_Images'!$A$2:$A$51,A46,'QA_Images'!$T$2:$T$51)/100,IF(D46="FULL",1,IF(D46="PARTIAL",0.5,IF(D46="FAIL",0,""))))</f>
        <v>0.5</v>
      </c>
      <c r="F46" s="5" t="n">
        <f>IF(E46="",0,C46*E46)</f>
        <v>7.5</v>
      </c>
      <c r="G46" s="5" t="n">
        <f>IF(B46="I1",20*AVERAGEIF('QA_Images'!$A$2:$A$51,A46,'QA_Images'!$U$2:$U$51)/100,IF(D46="NOT_CHECKED",0,C46))</f>
        <v>15</v>
      </c>
      <c r="H46" s="2" t="inlineStr">
        <is>
          <t>Live JSON id/handle, live H1 and all five current gallery images match the selected motif; personalization wording is not accepted without a live control.</t>
        </is>
      </c>
      <c r="I46" s="2" t="inlineStr">
        <is>
          <t>["evidence_batch_003_025", "https://jeminise.com/products/christmas-bedding-quilt-soft-microfiber-holiday-bedsprea-design-10", "serp_qa_025"]</t>
        </is>
      </c>
      <c r="J46" s="2" t="inlineStr">
        <is>
          <t>["R6-ISS-025-PERS"]</t>
        </is>
      </c>
      <c r="K46" s="2" t="inlineStr">
        <is>
          <t>r6</t>
        </is>
      </c>
    </row>
    <row r="47" ht="42" customHeight="1">
      <c r="A47" s="3" t="inlineStr">
        <is>
          <t>jeminise.com+christmas-bedding-quilt-soft-microfiber-holiday-bedsprea-design-10</t>
        </is>
      </c>
      <c r="B47" s="3" t="inlineStr">
        <is>
          <t>P2</t>
        </is>
      </c>
      <c r="C47" s="3" t="n">
        <v>10</v>
      </c>
      <c r="D47" s="3" t="inlineStr">
        <is>
          <t>PARTIAL</t>
        </is>
      </c>
      <c r="E47" s="7" t="n">
        <f>IF(B47="I1",AVERAGEIF('QA_Images'!$A$2:$A$51,A47,'QA_Images'!$T$2:$T$51)/100,IF(D47="FULL",1,IF(D47="PARTIAL",0.5,IF(D47="FAIL",0,""))))</f>
        <v>0.5</v>
      </c>
      <c r="F47" s="7" t="n">
        <f>IF(E47="",0,C47*E47)</f>
        <v>5.0</v>
      </c>
      <c r="G47" s="7" t="n">
        <f>IF(B47="I1",20*AVERAGEIF('QA_Images'!$A$2:$A$51,A47,'QA_Images'!$U$2:$U$51)/100,IF(D47="NOT_CHECKED",0,C47))</f>
        <v>10</v>
      </c>
      <c r="H47" s="3" t="inlineStr">
        <is>
          <t>Live JSON has 15 variants, five quilt sizes and three pillowcase choices. A live 1-text-input control is evidenced only at positions 21, 29 and 30; r6 personalization claims elsewhere are unsupported.</t>
        </is>
      </c>
      <c r="I47" s="3" t="inlineStr">
        <is>
          <t>["evidence_batch_003_025", "https://jeminise.com/products/christmas-bedding-quilt-soft-microfiber-holiday-bedsprea-design-10", "serp_qa_025"]</t>
        </is>
      </c>
      <c r="J47" s="3" t="inlineStr">
        <is>
          <t>["R6-ISS-025-PERS"]</t>
        </is>
      </c>
      <c r="K47" s="3" t="inlineStr">
        <is>
          <t>r6</t>
        </is>
      </c>
    </row>
    <row r="48" ht="42" customHeight="1">
      <c r="A48" s="2" t="inlineStr">
        <is>
          <t>jeminise.com+christmas-bedding-quilt-soft-microfiber-holiday-bedsprea-design-10</t>
        </is>
      </c>
      <c r="B48" s="2" t="inlineStr">
        <is>
          <t>K1</t>
        </is>
      </c>
      <c r="C48" s="2" t="n">
        <v>10</v>
      </c>
      <c r="D48" s="2" t="inlineStr">
        <is>
          <t>PARTIAL</t>
        </is>
      </c>
      <c r="E48" s="5" t="n">
        <f>IF(B48="I1",AVERAGEIF('QA_Images'!$A$2:$A$51,A48,'QA_Images'!$T$2:$T$51)/100,IF(D48="FULL",1,IF(D48="PARTIAL",0.5,IF(D48="FAIL",0,""))))</f>
        <v>0.5</v>
      </c>
      <c r="F48" s="5" t="n">
        <f>IF(E48="",0,C48*E48)</f>
        <v>5.0</v>
      </c>
      <c r="G48" s="5" t="n">
        <f>IF(B48="I1",20*AVERAGEIF('QA_Images'!$A$2:$A$51,A48,'QA_Images'!$U$2:$U$51)/100,IF(D48="NOT_CHECKED",0,C48))</f>
        <v>10</v>
      </c>
      <c r="H48" s="2" t="inlineStr">
        <is>
          <t>Two US-English SERP queries per product were read. Motif terms distinguish candy cane gingerbread, village gingerbread, black tree, vintage tree, birdhouse/cardinal and snowman counts.</t>
        </is>
      </c>
      <c r="I48" s="2" t="inlineStr">
        <is>
          <t>["evidence_batch_003_025", "https://jeminise.com/products/christmas-bedding-quilt-soft-microfiber-holiday-bedsprea-design-10", "serp_qa_025"]</t>
        </is>
      </c>
      <c r="J48" s="2" t="inlineStr">
        <is>
          <t>["R6-ISS-025-PERS"]</t>
        </is>
      </c>
      <c r="K48" s="2" t="inlineStr">
        <is>
          <t>r6</t>
        </is>
      </c>
    </row>
    <row r="49" ht="42" customHeight="1">
      <c r="A49" s="3" t="inlineStr">
        <is>
          <t>jeminise.com+christmas-bedding-quilt-soft-microfiber-holiday-bedsprea-design-10</t>
        </is>
      </c>
      <c r="B49" s="3" t="inlineStr">
        <is>
          <t>K2</t>
        </is>
      </c>
      <c r="C49" s="3" t="n">
        <v>5</v>
      </c>
      <c r="D49" s="3" t="inlineStr">
        <is>
          <t>PARTIAL</t>
        </is>
      </c>
      <c r="E49" s="7" t="n">
        <f>IF(B49="I1",AVERAGEIF('QA_Images'!$A$2:$A$51,A49,'QA_Images'!$T$2:$T$51)/100,IF(D49="FULL",1,IF(D49="PARTIAL",0.5,IF(D49="FAIL",0,""))))</f>
        <v>0.5</v>
      </c>
      <c r="F49" s="7" t="n">
        <f>IF(E49="",0,C49*E49)</f>
        <v>2.5</v>
      </c>
      <c r="G49" s="7" t="n">
        <f>IF(B49="I1",20*AVERAGEIF('QA_Images'!$A$2:$A$51,A49,'QA_Images'!$U$2:$U$51)/100,IF(D49="NOT_CHECKED",0,C49))</f>
        <v>5</v>
      </c>
      <c r="H49" s="3" t="inlineStr">
        <is>
          <t>SERP results support commercial/product intent, but comparator results were read without hard-pinned search-service locale.</t>
        </is>
      </c>
      <c r="I49" s="3" t="inlineStr">
        <is>
          <t>["evidence_batch_003_025", "https://jeminise.com/products/christmas-bedding-quilt-soft-microfiber-holiday-bedsprea-design-10", "serp_qa_025"]</t>
        </is>
      </c>
      <c r="J49" s="3" t="inlineStr">
        <is>
          <t>["R6-ISS-025-PERS"]</t>
        </is>
      </c>
      <c r="K49" s="3" t="inlineStr">
        <is>
          <t>r6</t>
        </is>
      </c>
    </row>
    <row r="50" ht="42" customHeight="1">
      <c r="A50" s="2" t="inlineStr">
        <is>
          <t>jeminise.com+christmas-bedding-quilt-soft-microfiber-holiday-bedsprea-design-10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5" t="n">
        <f>IF(B50="I1",AVERAGEIF('QA_Images'!$A$2:$A$51,A50,'QA_Images'!$T$2:$T$51)/100,IF(D50="FULL",1,IF(D50="PARTIAL",0.5,IF(D50="FAIL",0,""))))</f>
        <v>0.5</v>
      </c>
      <c r="F50" s="5" t="n">
        <f>IF(E50="",0,C50*E50)</f>
        <v>2.5</v>
      </c>
      <c r="G50" s="5" t="n">
        <f>IF(B50="I1",20*AVERAGEIF('QA_Images'!$A$2:$A$51,A50,'QA_Images'!$U$2:$U$51)/100,IF(D50="NOT_CHECKED",0,C50))</f>
        <v>5</v>
      </c>
      <c r="H50" s="2" t="inlineStr">
        <is>
          <t>No search-volume claim is made; evidence is SERP_ONLY and therefore only partial for demand validation.</t>
        </is>
      </c>
      <c r="I50" s="2" t="inlineStr">
        <is>
          <t>["evidence_batch_003_025", "https://jeminise.com/products/christmas-bedding-quilt-soft-microfiber-holiday-bedsprea-design-10", "serp_qa_025"]</t>
        </is>
      </c>
      <c r="J50" s="2" t="inlineStr">
        <is>
          <t>["R6-ISS-025-PERS"]</t>
        </is>
      </c>
      <c r="K50" s="2" t="inlineStr">
        <is>
          <t>r6</t>
        </is>
      </c>
    </row>
    <row r="51" ht="42" customHeight="1">
      <c r="A51" s="3" t="inlineStr">
        <is>
          <t>jeminise.com+christmas-bedding-quilt-soft-microfiber-holiday-bedsprea-design-10</t>
        </is>
      </c>
      <c r="B51" s="3" t="inlineStr">
        <is>
          <t>T1</t>
        </is>
      </c>
      <c r="C51" s="3" t="n">
        <v>10</v>
      </c>
      <c r="D51" s="3" t="inlineStr">
        <is>
          <t>PARTIAL</t>
        </is>
      </c>
      <c r="E51" s="7" t="n">
        <f>IF(B51="I1",AVERAGEIF('QA_Images'!$A$2:$A$51,A51,'QA_Images'!$T$2:$T$51)/100,IF(D51="FULL",1,IF(D51="PARTIAL",0.5,IF(D51="FAIL",0,""))))</f>
        <v>0.5</v>
      </c>
      <c r="F51" s="7" t="n">
        <f>IF(E51="",0,C51*E51)</f>
        <v>5.0</v>
      </c>
      <c r="G51" s="7" t="n">
        <f>IF(B51="I1",20*AVERAGEIF('QA_Images'!$A$2:$A$51,A51,'QA_Images'!$U$2:$U$51)/100,IF(D51="NOT_CHECKED",0,C51))</f>
        <v>10</v>
      </c>
      <c r="H51" s="3" t="inlineStr">
        <is>
          <t>Proposed SEO title is specific English copy; “Personalized” is not accepted for positions 22-28 without a live control.</t>
        </is>
      </c>
      <c r="I51" s="3" t="inlineStr">
        <is>
          <t>["evidence_batch_003_025", "https://jeminise.com/products/christmas-bedding-quilt-soft-microfiber-holiday-bedsprea-design-10", "serp_qa_025"]</t>
        </is>
      </c>
      <c r="J51" s="3" t="inlineStr">
        <is>
          <t>["R6-ISS-025-PERS"]</t>
        </is>
      </c>
      <c r="K51" s="3" t="inlineStr">
        <is>
          <t>r6</t>
        </is>
      </c>
    </row>
    <row r="52" ht="42" customHeight="1">
      <c r="A52" s="2" t="inlineStr">
        <is>
          <t>jeminise.com+christmas-bedding-quilt-soft-microfiber-holiday-bedsprea-design-10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5" t="n">
        <f>IF(B52="I1",AVERAGEIF('QA_Images'!$A$2:$A$51,A52,'QA_Images'!$T$2:$T$51)/100,IF(D52="FULL",1,IF(D52="PARTIAL",0.5,IF(D52="FAIL",0,""))))</f>
        <v>1</v>
      </c>
      <c r="F52" s="5" t="n">
        <f>IF(E52="",0,C52*E52)</f>
        <v>5</v>
      </c>
      <c r="G52" s="5" t="n">
        <f>IF(B52="I1",20*AVERAGEIF('QA_Images'!$A$2:$A$51,A52,'QA_Images'!$U$2:$U$51)/100,IF(D52="NOT_CHECKED",0,C52))</f>
        <v>5</v>
      </c>
      <c r="H52" s="2" t="inlineStr">
        <is>
          <t>Proposed H1/title intent is distinct and avoids the live encoding/truncation issue.</t>
        </is>
      </c>
      <c r="I52" s="2" t="inlineStr">
        <is>
          <t>["evidence_batch_003_025", "https://jeminise.com/products/christmas-bedding-quilt-soft-microfiber-holiday-bedsprea-design-10", "serp_qa_025"]</t>
        </is>
      </c>
      <c r="J52" s="2" t="inlineStr">
        <is>
          <t>["R6-ISS-025-PERS"]</t>
        </is>
      </c>
      <c r="K52" s="2" t="inlineStr">
        <is>
          <t>r6</t>
        </is>
      </c>
    </row>
    <row r="53" ht="42" customHeight="1">
      <c r="A53" s="3" t="inlineStr">
        <is>
          <t>jeminise.com+christmas-bedding-quilt-soft-microfiber-holiday-bedsprea-design-10</t>
        </is>
      </c>
      <c r="B53" s="3" t="inlineStr">
        <is>
          <t>D1</t>
        </is>
      </c>
      <c r="C53" s="3" t="n">
        <v>5</v>
      </c>
      <c r="D53" s="3" t="inlineStr">
        <is>
          <t>FULL</t>
        </is>
      </c>
      <c r="E53" s="7" t="n">
        <f>IF(B53="I1",AVERAGEIF('QA_Images'!$A$2:$A$51,A53,'QA_Images'!$T$2:$T$51)/100,IF(D53="FULL",1,IF(D53="PARTIAL",0.5,IF(D53="FAIL",0,""))))</f>
        <v>1</v>
      </c>
      <c r="F53" s="7" t="n">
        <f>IF(E53="",0,C53*E53)</f>
        <v>5</v>
      </c>
      <c r="G53" s="7" t="n">
        <f>IF(B53="I1",20*AVERAGEIF('QA_Images'!$A$2:$A$51,A53,'QA_Images'!$U$2:$U$51)/100,IF(D53="NOT_CHECKED",0,C53))</f>
        <v>5</v>
      </c>
      <c r="H53" s="3" t="inlineStr">
        <is>
          <t>Proposed metadata is complete, customer-facing and supported by the motif evidence; 145-165 is an editorial target only.</t>
        </is>
      </c>
      <c r="I53" s="3" t="inlineStr">
        <is>
          <t>["evidence_batch_003_025", "https://jeminise.com/products/christmas-bedding-quilt-soft-microfiber-holiday-bedsprea-design-10", "serp_qa_025"]</t>
        </is>
      </c>
      <c r="J53" s="3" t="inlineStr">
        <is>
          <t>["R6-ISS-025-PERS"]</t>
        </is>
      </c>
      <c r="K53" s="3" t="inlineStr">
        <is>
          <t>r6</t>
        </is>
      </c>
    </row>
    <row r="54" ht="42" customHeight="1">
      <c r="A54" s="2" t="inlineStr">
        <is>
          <t>jeminise.com+christmas-bedding-quilt-soft-microfiber-holiday-bedsprea-design-10</t>
        </is>
      </c>
      <c r="B54" s="2" t="inlineStr">
        <is>
          <t>D2</t>
        </is>
      </c>
      <c r="C54" s="2" t="n">
        <v>10</v>
      </c>
      <c r="D54" s="2" t="inlineStr">
        <is>
          <t>PARTIAL</t>
        </is>
      </c>
      <c r="E54" s="5" t="n">
        <f>IF(B54="I1",AVERAGEIF('QA_Images'!$A$2:$A$51,A54,'QA_Images'!$T$2:$T$51)/100,IF(D54="FULL",1,IF(D54="PARTIAL",0.5,IF(D54="FAIL",0,""))))</f>
        <v>0.5</v>
      </c>
      <c r="F54" s="5" t="n">
        <f>IF(E54="",0,C54*E54)</f>
        <v>5.0</v>
      </c>
      <c r="G54" s="5" t="n">
        <f>IF(B54="I1",20*AVERAGEIF('QA_Images'!$A$2:$A$51,A54,'QA_Images'!$U$2:$U$51)/100,IF(D54="NOT_CHECKED",0,C54))</f>
        <v>10</v>
      </c>
      <c r="H54" s="2" t="inlineStr">
        <is>
          <t>r6 description is customer-facing and removes process/QA wording. Position 29-30 incorrectly deny a live personalization field; other claims of a name field are unsupported where no live control was found.</t>
        </is>
      </c>
      <c r="I54" s="2" t="inlineStr">
        <is>
          <t>["evidence_batch_003_025", "https://jeminise.com/products/christmas-bedding-quilt-soft-microfiber-holiday-bedsprea-design-10", "serp_qa_025"]</t>
        </is>
      </c>
      <c r="J54" s="2" t="inlineStr">
        <is>
          <t>["R6-ISS-025-PERS"]</t>
        </is>
      </c>
      <c r="K54" s="2" t="inlineStr">
        <is>
          <t>r6</t>
        </is>
      </c>
    </row>
    <row r="55" ht="42" customHeight="1">
      <c r="A55" s="3" t="inlineStr">
        <is>
          <t>jeminise.com+christmas-bedding-quilt-soft-microfiber-holiday-bedsprea-design-10</t>
        </is>
      </c>
      <c r="B55" s="3" t="inlineStr">
        <is>
          <t>I1</t>
        </is>
      </c>
      <c r="C55" s="3" t="n">
        <v>20</v>
      </c>
      <c r="D55" s="3" t="inlineStr">
        <is>
          <t>DERIVED</t>
        </is>
      </c>
      <c r="E55" s="7" t="n">
        <f>IF(B55="I1",AVERAGEIF('QA_Images'!$A$2:$A$51,A55,'QA_Images'!$T$2:$T$51)/100,IF(D55="FULL",1,IF(D55="PARTIAL",0.5,IF(D55="FAIL",0,""))))</f>
        <v>1</v>
      </c>
      <c r="F55" s="7" t="n">
        <f>IF(E55="",0,C55*E55)</f>
        <v>20</v>
      </c>
      <c r="G55" s="7" t="n">
        <f>IF(B55="I1",20*AVERAGEIF('QA_Images'!$A$2:$A$51,A55,'QA_Images'!$U$2:$U$51)/100,IF(D55="NOT_CHECKED",0,C55))</f>
        <v>20</v>
      </c>
      <c r="H55" s="3" t="inlineStr">
        <is>
          <t>Derived from the 5 images belonging to this product only; all 20 image rubric points are passed.</t>
        </is>
      </c>
      <c r="I55" s="3" t="inlineStr">
        <is>
          <t>["evidence_batch_003_025", "https://jeminise.com/products/christmas-bedding-quilt-soft-microfiber-holiday-bedsprea-design-10", "serp_qa_025"]</t>
        </is>
      </c>
      <c r="J55" s="3" t="inlineStr">
        <is>
          <t>["R6-ISS-025-PERS"]</t>
        </is>
      </c>
      <c r="K55" s="3" t="inlineStr">
        <is>
          <t>r6</t>
        </is>
      </c>
    </row>
    <row r="56" ht="42" customHeight="1">
      <c r="A56" s="2" t="inlineStr">
        <is>
          <t>jeminise.com+christmas-bedding-quilt-soft-microfiber-holiday-bedsprea-design-10</t>
        </is>
      </c>
      <c r="B56" s="2" t="inlineStr">
        <is>
          <t>E1</t>
        </is>
      </c>
      <c r="C56" s="2" t="n">
        <v>5</v>
      </c>
      <c r="D56" s="2" t="inlineStr">
        <is>
          <t>FULL</t>
        </is>
      </c>
      <c r="E56" s="5" t="n">
        <f>IF(B56="I1",AVERAGEIF('QA_Images'!$A$2:$A$51,A56,'QA_Images'!$T$2:$T$51)/100,IF(D56="FULL",1,IF(D56="PARTIAL",0.5,IF(D56="FAIL",0,""))))</f>
        <v>1</v>
      </c>
      <c r="F56" s="5" t="n">
        <f>IF(E56="",0,C56*E56)</f>
        <v>5</v>
      </c>
      <c r="G56" s="5" t="n">
        <f>IF(B56="I1",20*AVERAGEIF('QA_Images'!$A$2:$A$51,A56,'QA_Images'!$U$2:$U$51)/100,IF(D56="NOT_CHECKED",0,C56))</f>
        <v>5</v>
      </c>
      <c r="H56" s="2" t="inlineStr">
        <is>
          <t>Product key, handle, ID, URL and evidence links reconcile to the locked inventory rows and live snapshot.</t>
        </is>
      </c>
      <c r="I56" s="2" t="inlineStr">
        <is>
          <t>["evidence_batch_003_025", "https://jeminise.com/products/christmas-bedding-quilt-soft-microfiber-holiday-bedsprea-design-10", "serp_qa_025"]</t>
        </is>
      </c>
      <c r="J56" s="2" t="inlineStr">
        <is>
          <t>["R6-ISS-025-PERS"]</t>
        </is>
      </c>
      <c r="K56" s="2" t="inlineStr">
        <is>
          <t>r6</t>
        </is>
      </c>
    </row>
    <row r="57" ht="42" customHeight="1">
      <c r="A57" s="3" t="inlineStr">
        <is>
          <t>jeminise.com+christmas-bedding-quilt-soft-microfiber-holiday-bedsprea-design-11</t>
        </is>
      </c>
      <c r="B57" s="3" t="inlineStr">
        <is>
          <t>P1</t>
        </is>
      </c>
      <c r="C57" s="3" t="n">
        <v>15</v>
      </c>
      <c r="D57" s="3" t="inlineStr">
        <is>
          <t>PARTIAL</t>
        </is>
      </c>
      <c r="E57" s="7" t="n">
        <f>IF(B57="I1",AVERAGEIF('QA_Images'!$A$2:$A$51,A57,'QA_Images'!$T$2:$T$51)/100,IF(D57="FULL",1,IF(D57="PARTIAL",0.5,IF(D57="FAIL",0,""))))</f>
        <v>0.5</v>
      </c>
      <c r="F57" s="7" t="n">
        <f>IF(E57="",0,C57*E57)</f>
        <v>7.5</v>
      </c>
      <c r="G57" s="7" t="n">
        <f>IF(B57="I1",20*AVERAGEIF('QA_Images'!$A$2:$A$51,A57,'QA_Images'!$U$2:$U$51)/100,IF(D57="NOT_CHECKED",0,C57))</f>
        <v>15</v>
      </c>
      <c r="H57" s="3" t="inlineStr">
        <is>
          <t>Live JSON id/handle, live H1 and all five current gallery images match the selected motif; personalization wording is not accepted without a live control.</t>
        </is>
      </c>
      <c r="I57" s="3" t="inlineStr">
        <is>
          <t>["evidence_batch_003_026", "https://jeminise.com/products/christmas-bedding-quilt-soft-microfiber-holiday-bedsprea-design-11", "serp_qa_026"]</t>
        </is>
      </c>
      <c r="J57" s="3" t="inlineStr">
        <is>
          <t>["R6-ISS-026-PERS"]</t>
        </is>
      </c>
      <c r="K57" s="3" t="inlineStr">
        <is>
          <t>r6</t>
        </is>
      </c>
    </row>
    <row r="58" ht="42" customHeight="1">
      <c r="A58" s="2" t="inlineStr">
        <is>
          <t>jeminise.com+christmas-bedding-quilt-soft-microfiber-holiday-bedsprea-design-11</t>
        </is>
      </c>
      <c r="B58" s="2" t="inlineStr">
        <is>
          <t>P2</t>
        </is>
      </c>
      <c r="C58" s="2" t="n">
        <v>10</v>
      </c>
      <c r="D58" s="2" t="inlineStr">
        <is>
          <t>PARTIAL</t>
        </is>
      </c>
      <c r="E58" s="5" t="n">
        <f>IF(B58="I1",AVERAGEIF('QA_Images'!$A$2:$A$51,A58,'QA_Images'!$T$2:$T$51)/100,IF(D58="FULL",1,IF(D58="PARTIAL",0.5,IF(D58="FAIL",0,""))))</f>
        <v>0.5</v>
      </c>
      <c r="F58" s="5" t="n">
        <f>IF(E58="",0,C58*E58)</f>
        <v>5.0</v>
      </c>
      <c r="G58" s="5" t="n">
        <f>IF(B58="I1",20*AVERAGEIF('QA_Images'!$A$2:$A$51,A58,'QA_Images'!$U$2:$U$51)/100,IF(D58="NOT_CHECKED",0,C58))</f>
        <v>10</v>
      </c>
      <c r="H58" s="2" t="inlineStr">
        <is>
          <t>Live JSON has 15 variants, five quilt sizes and three pillowcase choices. A live 1-text-input control is evidenced only at positions 21, 29 and 30; r6 personalization claims elsewhere are unsupported.</t>
        </is>
      </c>
      <c r="I58" s="2" t="inlineStr">
        <is>
          <t>["evidence_batch_003_026", "https://jeminise.com/products/christmas-bedding-quilt-soft-microfiber-holiday-bedsprea-design-11", "serp_qa_026"]</t>
        </is>
      </c>
      <c r="J58" s="2" t="inlineStr">
        <is>
          <t>["R6-ISS-026-PERS"]</t>
        </is>
      </c>
      <c r="K58" s="2" t="inlineStr">
        <is>
          <t>r6</t>
        </is>
      </c>
    </row>
    <row r="59" ht="42" customHeight="1">
      <c r="A59" s="3" t="inlineStr">
        <is>
          <t>jeminise.com+christmas-bedding-quilt-soft-microfiber-holiday-bedsprea-design-11</t>
        </is>
      </c>
      <c r="B59" s="3" t="inlineStr">
        <is>
          <t>K1</t>
        </is>
      </c>
      <c r="C59" s="3" t="n">
        <v>10</v>
      </c>
      <c r="D59" s="3" t="inlineStr">
        <is>
          <t>PARTIAL</t>
        </is>
      </c>
      <c r="E59" s="7" t="n">
        <f>IF(B59="I1",AVERAGEIF('QA_Images'!$A$2:$A$51,A59,'QA_Images'!$T$2:$T$51)/100,IF(D59="FULL",1,IF(D59="PARTIAL",0.5,IF(D59="FAIL",0,""))))</f>
        <v>0.5</v>
      </c>
      <c r="F59" s="7" t="n">
        <f>IF(E59="",0,C59*E59)</f>
        <v>5.0</v>
      </c>
      <c r="G59" s="7" t="n">
        <f>IF(B59="I1",20*AVERAGEIF('QA_Images'!$A$2:$A$51,A59,'QA_Images'!$U$2:$U$51)/100,IF(D59="NOT_CHECKED",0,C59))</f>
        <v>10</v>
      </c>
      <c r="H59" s="3" t="inlineStr">
        <is>
          <t>Two US-English SERP queries per product were read. Motif terms distinguish candy cane gingerbread, village gingerbread, black tree, vintage tree, birdhouse/cardinal and snowman counts.</t>
        </is>
      </c>
      <c r="I59" s="3" t="inlineStr">
        <is>
          <t>["evidence_batch_003_026", "https://jeminise.com/products/christmas-bedding-quilt-soft-microfiber-holiday-bedsprea-design-11", "serp_qa_026"]</t>
        </is>
      </c>
      <c r="J59" s="3" t="inlineStr">
        <is>
          <t>["R6-ISS-026-PERS"]</t>
        </is>
      </c>
      <c r="K59" s="3" t="inlineStr">
        <is>
          <t>r6</t>
        </is>
      </c>
    </row>
    <row r="60" ht="42" customHeight="1">
      <c r="A60" s="2" t="inlineStr">
        <is>
          <t>jeminise.com+christmas-bedding-quilt-soft-microfiber-holiday-bedsprea-design-11</t>
        </is>
      </c>
      <c r="B60" s="2" t="inlineStr">
        <is>
          <t>K2</t>
        </is>
      </c>
      <c r="C60" s="2" t="n">
        <v>5</v>
      </c>
      <c r="D60" s="2" t="inlineStr">
        <is>
          <t>PARTIAL</t>
        </is>
      </c>
      <c r="E60" s="5" t="n">
        <f>IF(B60="I1",AVERAGEIF('QA_Images'!$A$2:$A$51,A60,'QA_Images'!$T$2:$T$51)/100,IF(D60="FULL",1,IF(D60="PARTIAL",0.5,IF(D60="FAIL",0,""))))</f>
        <v>0.5</v>
      </c>
      <c r="F60" s="5" t="n">
        <f>IF(E60="",0,C60*E60)</f>
        <v>2.5</v>
      </c>
      <c r="G60" s="5" t="n">
        <f>IF(B60="I1",20*AVERAGEIF('QA_Images'!$A$2:$A$51,A60,'QA_Images'!$U$2:$U$51)/100,IF(D60="NOT_CHECKED",0,C60))</f>
        <v>5</v>
      </c>
      <c r="H60" s="2" t="inlineStr">
        <is>
          <t>SERP results support commercial/product intent, but comparator results were read without hard-pinned search-service locale.</t>
        </is>
      </c>
      <c r="I60" s="2" t="inlineStr">
        <is>
          <t>["evidence_batch_003_026", "https://jeminise.com/products/christmas-bedding-quilt-soft-microfiber-holiday-bedsprea-design-11", "serp_qa_026"]</t>
        </is>
      </c>
      <c r="J60" s="2" t="inlineStr">
        <is>
          <t>["R6-ISS-026-PERS"]</t>
        </is>
      </c>
      <c r="K60" s="2" t="inlineStr">
        <is>
          <t>r6</t>
        </is>
      </c>
    </row>
    <row r="61" ht="42" customHeight="1">
      <c r="A61" s="3" t="inlineStr">
        <is>
          <t>jeminise.com+christmas-bedding-quilt-soft-microfiber-holiday-bedsprea-design-11</t>
        </is>
      </c>
      <c r="B61" s="3" t="inlineStr">
        <is>
          <t>K3</t>
        </is>
      </c>
      <c r="C61" s="3" t="n">
        <v>5</v>
      </c>
      <c r="D61" s="3" t="inlineStr">
        <is>
          <t>PARTIAL</t>
        </is>
      </c>
      <c r="E61" s="7" t="n">
        <f>IF(B61="I1",AVERAGEIF('QA_Images'!$A$2:$A$51,A61,'QA_Images'!$T$2:$T$51)/100,IF(D61="FULL",1,IF(D61="PARTIAL",0.5,IF(D61="FAIL",0,""))))</f>
        <v>0.5</v>
      </c>
      <c r="F61" s="7" t="n">
        <f>IF(E61="",0,C61*E61)</f>
        <v>2.5</v>
      </c>
      <c r="G61" s="7" t="n">
        <f>IF(B61="I1",20*AVERAGEIF('QA_Images'!$A$2:$A$51,A61,'QA_Images'!$U$2:$U$51)/100,IF(D61="NOT_CHECKED",0,C61))</f>
        <v>5</v>
      </c>
      <c r="H61" s="3" t="inlineStr">
        <is>
          <t>No search-volume claim is made; evidence is SERP_ONLY and therefore only partial for demand validation.</t>
        </is>
      </c>
      <c r="I61" s="3" t="inlineStr">
        <is>
          <t>["evidence_batch_003_026", "https://jeminise.com/products/christmas-bedding-quilt-soft-microfiber-holiday-bedsprea-design-11", "serp_qa_026"]</t>
        </is>
      </c>
      <c r="J61" s="3" t="inlineStr">
        <is>
          <t>["R6-ISS-026-PERS"]</t>
        </is>
      </c>
      <c r="K61" s="3" t="inlineStr">
        <is>
          <t>r6</t>
        </is>
      </c>
    </row>
    <row r="62" ht="42" customHeight="1">
      <c r="A62" s="2" t="inlineStr">
        <is>
          <t>jeminise.com+christmas-bedding-quilt-soft-microfiber-holiday-bedsprea-design-11</t>
        </is>
      </c>
      <c r="B62" s="2" t="inlineStr">
        <is>
          <t>T1</t>
        </is>
      </c>
      <c r="C62" s="2" t="n">
        <v>10</v>
      </c>
      <c r="D62" s="2" t="inlineStr">
        <is>
          <t>PARTIAL</t>
        </is>
      </c>
      <c r="E62" s="5" t="n">
        <f>IF(B62="I1",AVERAGEIF('QA_Images'!$A$2:$A$51,A62,'QA_Images'!$T$2:$T$51)/100,IF(D62="FULL",1,IF(D62="PARTIAL",0.5,IF(D62="FAIL",0,""))))</f>
        <v>0.5</v>
      </c>
      <c r="F62" s="5" t="n">
        <f>IF(E62="",0,C62*E62)</f>
        <v>5.0</v>
      </c>
      <c r="G62" s="5" t="n">
        <f>IF(B62="I1",20*AVERAGEIF('QA_Images'!$A$2:$A$51,A62,'QA_Images'!$U$2:$U$51)/100,IF(D62="NOT_CHECKED",0,C62))</f>
        <v>10</v>
      </c>
      <c r="H62" s="2" t="inlineStr">
        <is>
          <t>Proposed SEO title is specific English copy; “Personalized” is not accepted for positions 22-28 without a live control.</t>
        </is>
      </c>
      <c r="I62" s="2" t="inlineStr">
        <is>
          <t>["evidence_batch_003_026", "https://jeminise.com/products/christmas-bedding-quilt-soft-microfiber-holiday-bedsprea-design-11", "serp_qa_026"]</t>
        </is>
      </c>
      <c r="J62" s="2" t="inlineStr">
        <is>
          <t>["R6-ISS-026-PERS"]</t>
        </is>
      </c>
      <c r="K62" s="2" t="inlineStr">
        <is>
          <t>r6</t>
        </is>
      </c>
    </row>
    <row r="63" ht="42" customHeight="1">
      <c r="A63" s="3" t="inlineStr">
        <is>
          <t>jeminise.com+christmas-bedding-quilt-soft-microfiber-holiday-bedsprea-design-11</t>
        </is>
      </c>
      <c r="B63" s="3" t="inlineStr">
        <is>
          <t>T2</t>
        </is>
      </c>
      <c r="C63" s="3" t="n">
        <v>5</v>
      </c>
      <c r="D63" s="3" t="inlineStr">
        <is>
          <t>FULL</t>
        </is>
      </c>
      <c r="E63" s="7" t="n">
        <f>IF(B63="I1",AVERAGEIF('QA_Images'!$A$2:$A$51,A63,'QA_Images'!$T$2:$T$51)/100,IF(D63="FULL",1,IF(D63="PARTIAL",0.5,IF(D63="FAIL",0,""))))</f>
        <v>1</v>
      </c>
      <c r="F63" s="7" t="n">
        <f>IF(E63="",0,C63*E63)</f>
        <v>5</v>
      </c>
      <c r="G63" s="7" t="n">
        <f>IF(B63="I1",20*AVERAGEIF('QA_Images'!$A$2:$A$51,A63,'QA_Images'!$U$2:$U$51)/100,IF(D63="NOT_CHECKED",0,C63))</f>
        <v>5</v>
      </c>
      <c r="H63" s="3" t="inlineStr">
        <is>
          <t>Proposed H1/title intent is distinct and avoids the live encoding/truncation issue.</t>
        </is>
      </c>
      <c r="I63" s="3" t="inlineStr">
        <is>
          <t>["evidence_batch_003_026", "https://jeminise.com/products/christmas-bedding-quilt-soft-microfiber-holiday-bedsprea-design-11", "serp_qa_026"]</t>
        </is>
      </c>
      <c r="J63" s="3" t="inlineStr">
        <is>
          <t>["R6-ISS-026-PERS"]</t>
        </is>
      </c>
      <c r="K63" s="3" t="inlineStr">
        <is>
          <t>r6</t>
        </is>
      </c>
    </row>
    <row r="64" ht="42" customHeight="1">
      <c r="A64" s="2" t="inlineStr">
        <is>
          <t>jeminise.com+christmas-bedding-quilt-soft-microfiber-holiday-bedsprea-design-11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5" t="n">
        <f>IF(B64="I1",AVERAGEIF('QA_Images'!$A$2:$A$51,A64,'QA_Images'!$T$2:$T$51)/100,IF(D64="FULL",1,IF(D64="PARTIAL",0.5,IF(D64="FAIL",0,""))))</f>
        <v>1</v>
      </c>
      <c r="F64" s="5" t="n">
        <f>IF(E64="",0,C64*E64)</f>
        <v>5</v>
      </c>
      <c r="G64" s="5" t="n">
        <f>IF(B64="I1",20*AVERAGEIF('QA_Images'!$A$2:$A$51,A64,'QA_Images'!$U$2:$U$51)/100,IF(D64="NOT_CHECKED",0,C64))</f>
        <v>5</v>
      </c>
      <c r="H64" s="2" t="inlineStr">
        <is>
          <t>Proposed metadata is complete, customer-facing and supported by the motif evidence; 145-165 is an editorial target only.</t>
        </is>
      </c>
      <c r="I64" s="2" t="inlineStr">
        <is>
          <t>["evidence_batch_003_026", "https://jeminise.com/products/christmas-bedding-quilt-soft-microfiber-holiday-bedsprea-design-11", "serp_qa_026"]</t>
        </is>
      </c>
      <c r="J64" s="2" t="inlineStr">
        <is>
          <t>["R6-ISS-026-PERS"]</t>
        </is>
      </c>
      <c r="K64" s="2" t="inlineStr">
        <is>
          <t>r6</t>
        </is>
      </c>
    </row>
    <row r="65" ht="42" customHeight="1">
      <c r="A65" s="3" t="inlineStr">
        <is>
          <t>jeminise.com+christmas-bedding-quilt-soft-microfiber-holiday-bedsprea-design-11</t>
        </is>
      </c>
      <c r="B65" s="3" t="inlineStr">
        <is>
          <t>D2</t>
        </is>
      </c>
      <c r="C65" s="3" t="n">
        <v>10</v>
      </c>
      <c r="D65" s="3" t="inlineStr">
        <is>
          <t>PARTIAL</t>
        </is>
      </c>
      <c r="E65" s="7" t="n">
        <f>IF(B65="I1",AVERAGEIF('QA_Images'!$A$2:$A$51,A65,'QA_Images'!$T$2:$T$51)/100,IF(D65="FULL",1,IF(D65="PARTIAL",0.5,IF(D65="FAIL",0,""))))</f>
        <v>0.5</v>
      </c>
      <c r="F65" s="7" t="n">
        <f>IF(E65="",0,C65*E65)</f>
        <v>5.0</v>
      </c>
      <c r="G65" s="7" t="n">
        <f>IF(B65="I1",20*AVERAGEIF('QA_Images'!$A$2:$A$51,A65,'QA_Images'!$U$2:$U$51)/100,IF(D65="NOT_CHECKED",0,C65))</f>
        <v>10</v>
      </c>
      <c r="H65" s="3" t="inlineStr">
        <is>
          <t>r6 description is customer-facing and removes process/QA wording. Position 29-30 incorrectly deny a live personalization field; other claims of a name field are unsupported where no live control was found.</t>
        </is>
      </c>
      <c r="I65" s="3" t="inlineStr">
        <is>
          <t>["evidence_batch_003_026", "https://jeminise.com/products/christmas-bedding-quilt-soft-microfiber-holiday-bedsprea-design-11", "serp_qa_026"]</t>
        </is>
      </c>
      <c r="J65" s="3" t="inlineStr">
        <is>
          <t>["R6-ISS-026-PERS"]</t>
        </is>
      </c>
      <c r="K65" s="3" t="inlineStr">
        <is>
          <t>r6</t>
        </is>
      </c>
    </row>
    <row r="66" ht="42" customHeight="1">
      <c r="A66" s="2" t="inlineStr">
        <is>
          <t>jeminise.com+christmas-bedding-quilt-soft-microfiber-holiday-bedsprea-design-11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5" t="n">
        <f>IF(B66="I1",AVERAGEIF('QA_Images'!$A$2:$A$51,A66,'QA_Images'!$T$2:$T$51)/100,IF(D66="FULL",1,IF(D66="PARTIAL",0.5,IF(D66="FAIL",0,""))))</f>
        <v>1</v>
      </c>
      <c r="F66" s="5" t="n">
        <f>IF(E66="",0,C66*E66)</f>
        <v>20</v>
      </c>
      <c r="G66" s="5" t="n">
        <f>IF(B66="I1",20*AVERAGEIF('QA_Images'!$A$2:$A$51,A66,'QA_Images'!$U$2:$U$51)/100,IF(D66="NOT_CHECKED",0,C66))</f>
        <v>20</v>
      </c>
      <c r="H66" s="2" t="inlineStr">
        <is>
          <t>Derived from the 5 images belonging to this product only; all 20 image rubric points are passed.</t>
        </is>
      </c>
      <c r="I66" s="2" t="inlineStr">
        <is>
          <t>["evidence_batch_003_026", "https://jeminise.com/products/christmas-bedding-quilt-soft-microfiber-holiday-bedsprea-design-11", "serp_qa_026"]</t>
        </is>
      </c>
      <c r="J66" s="2" t="inlineStr">
        <is>
          <t>["R6-ISS-026-PERS"]</t>
        </is>
      </c>
      <c r="K66" s="2" t="inlineStr">
        <is>
          <t>r6</t>
        </is>
      </c>
    </row>
    <row r="67" ht="42" customHeight="1">
      <c r="A67" s="3" t="inlineStr">
        <is>
          <t>jeminise.com+christmas-bedding-quilt-soft-microfiber-holiday-bedsprea-design-11</t>
        </is>
      </c>
      <c r="B67" s="3" t="inlineStr">
        <is>
          <t>E1</t>
        </is>
      </c>
      <c r="C67" s="3" t="n">
        <v>5</v>
      </c>
      <c r="D67" s="3" t="inlineStr">
        <is>
          <t>FULL</t>
        </is>
      </c>
      <c r="E67" s="7" t="n">
        <f>IF(B67="I1",AVERAGEIF('QA_Images'!$A$2:$A$51,A67,'QA_Images'!$T$2:$T$51)/100,IF(D67="FULL",1,IF(D67="PARTIAL",0.5,IF(D67="FAIL",0,""))))</f>
        <v>1</v>
      </c>
      <c r="F67" s="7" t="n">
        <f>IF(E67="",0,C67*E67)</f>
        <v>5</v>
      </c>
      <c r="G67" s="7" t="n">
        <f>IF(B67="I1",20*AVERAGEIF('QA_Images'!$A$2:$A$51,A67,'QA_Images'!$U$2:$U$51)/100,IF(D67="NOT_CHECKED",0,C67))</f>
        <v>5</v>
      </c>
      <c r="H67" s="3" t="inlineStr">
        <is>
          <t>Product key, handle, ID, URL and evidence links reconcile to the locked inventory rows and live snapshot.</t>
        </is>
      </c>
      <c r="I67" s="3" t="inlineStr">
        <is>
          <t>["evidence_batch_003_026", "https://jeminise.com/products/christmas-bedding-quilt-soft-microfiber-holiday-bedsprea-design-11", "serp_qa_026"]</t>
        </is>
      </c>
      <c r="J67" s="3" t="inlineStr">
        <is>
          <t>["R6-ISS-026-PERS"]</t>
        </is>
      </c>
      <c r="K67" s="3" t="inlineStr">
        <is>
          <t>r6</t>
        </is>
      </c>
    </row>
    <row r="68" ht="42" customHeight="1">
      <c r="A68" s="2" t="inlineStr">
        <is>
          <t>jeminise.com+christmas-bedding-quilt-soft-microfiber-holiday-bedsprea-design-12</t>
        </is>
      </c>
      <c r="B68" s="2" t="inlineStr">
        <is>
          <t>P1</t>
        </is>
      </c>
      <c r="C68" s="2" t="n">
        <v>15</v>
      </c>
      <c r="D68" s="2" t="inlineStr">
        <is>
          <t>PARTIAL</t>
        </is>
      </c>
      <c r="E68" s="5" t="n">
        <f>IF(B68="I1",AVERAGEIF('QA_Images'!$A$2:$A$51,A68,'QA_Images'!$T$2:$T$51)/100,IF(D68="FULL",1,IF(D68="PARTIAL",0.5,IF(D68="FAIL",0,""))))</f>
        <v>0.5</v>
      </c>
      <c r="F68" s="5" t="n">
        <f>IF(E68="",0,C68*E68)</f>
        <v>7.5</v>
      </c>
      <c r="G68" s="5" t="n">
        <f>IF(B68="I1",20*AVERAGEIF('QA_Images'!$A$2:$A$51,A68,'QA_Images'!$U$2:$U$51)/100,IF(D68="NOT_CHECKED",0,C68))</f>
        <v>15</v>
      </c>
      <c r="H68" s="2" t="inlineStr">
        <is>
          <t>Live JSON id/handle, live H1 and all five current gallery images match the selected motif; personalization wording is not accepted without a live control.</t>
        </is>
      </c>
      <c r="I68" s="2" t="inlineStr">
        <is>
          <t>["evidence_batch_003_027", "https://jeminise.com/products/christmas-bedding-quilt-soft-microfiber-holiday-bedsprea-design-12", "serp_qa_027"]</t>
        </is>
      </c>
      <c r="J68" s="2" t="inlineStr">
        <is>
          <t>["R6-ISS-027-PERS"]</t>
        </is>
      </c>
      <c r="K68" s="2" t="inlineStr">
        <is>
          <t>r6</t>
        </is>
      </c>
    </row>
    <row r="69" ht="42" customHeight="1">
      <c r="A69" s="3" t="inlineStr">
        <is>
          <t>jeminise.com+christmas-bedding-quilt-soft-microfiber-holiday-bedsprea-design-12</t>
        </is>
      </c>
      <c r="B69" s="3" t="inlineStr">
        <is>
          <t>P2</t>
        </is>
      </c>
      <c r="C69" s="3" t="n">
        <v>10</v>
      </c>
      <c r="D69" s="3" t="inlineStr">
        <is>
          <t>PARTIAL</t>
        </is>
      </c>
      <c r="E69" s="7" t="n">
        <f>IF(B69="I1",AVERAGEIF('QA_Images'!$A$2:$A$51,A69,'QA_Images'!$T$2:$T$51)/100,IF(D69="FULL",1,IF(D69="PARTIAL",0.5,IF(D69="FAIL",0,""))))</f>
        <v>0.5</v>
      </c>
      <c r="F69" s="7" t="n">
        <f>IF(E69="",0,C69*E69)</f>
        <v>5.0</v>
      </c>
      <c r="G69" s="7" t="n">
        <f>IF(B69="I1",20*AVERAGEIF('QA_Images'!$A$2:$A$51,A69,'QA_Images'!$U$2:$U$51)/100,IF(D69="NOT_CHECKED",0,C69))</f>
        <v>10</v>
      </c>
      <c r="H69" s="3" t="inlineStr">
        <is>
          <t>Live JSON has 15 variants, five quilt sizes and three pillowcase choices. A live 1-text-input control is evidenced only at positions 21, 29 and 30; r6 personalization claims elsewhere are unsupported.</t>
        </is>
      </c>
      <c r="I69" s="3" t="inlineStr">
        <is>
          <t>["evidence_batch_003_027", "https://jeminise.com/products/christmas-bedding-quilt-soft-microfiber-holiday-bedsprea-design-12", "serp_qa_027"]</t>
        </is>
      </c>
      <c r="J69" s="3" t="inlineStr">
        <is>
          <t>["R6-ISS-027-PERS"]</t>
        </is>
      </c>
      <c r="K69" s="3" t="inlineStr">
        <is>
          <t>r6</t>
        </is>
      </c>
    </row>
    <row r="70" ht="42" customHeight="1">
      <c r="A70" s="2" t="inlineStr">
        <is>
          <t>jeminise.com+christmas-bedding-quilt-soft-microfiber-holiday-bedsprea-design-12</t>
        </is>
      </c>
      <c r="B70" s="2" t="inlineStr">
        <is>
          <t>K1</t>
        </is>
      </c>
      <c r="C70" s="2" t="n">
        <v>10</v>
      </c>
      <c r="D70" s="2" t="inlineStr">
        <is>
          <t>PARTIAL</t>
        </is>
      </c>
      <c r="E70" s="5" t="n">
        <f>IF(B70="I1",AVERAGEIF('QA_Images'!$A$2:$A$51,A70,'QA_Images'!$T$2:$T$51)/100,IF(D70="FULL",1,IF(D70="PARTIAL",0.5,IF(D70="FAIL",0,""))))</f>
        <v>0.5</v>
      </c>
      <c r="F70" s="5" t="n">
        <f>IF(E70="",0,C70*E70)</f>
        <v>5.0</v>
      </c>
      <c r="G70" s="5" t="n">
        <f>IF(B70="I1",20*AVERAGEIF('QA_Images'!$A$2:$A$51,A70,'QA_Images'!$U$2:$U$51)/100,IF(D70="NOT_CHECKED",0,C70))</f>
        <v>10</v>
      </c>
      <c r="H70" s="2" t="inlineStr">
        <is>
          <t>Two US-English SERP queries per product were read. Motif terms distinguish candy cane gingerbread, village gingerbread, black tree, vintage tree, birdhouse/cardinal and snowman counts.</t>
        </is>
      </c>
      <c r="I70" s="2" t="inlineStr">
        <is>
          <t>["evidence_batch_003_027", "https://jeminise.com/products/christmas-bedding-quilt-soft-microfiber-holiday-bedsprea-design-12", "serp_qa_027"]</t>
        </is>
      </c>
      <c r="J70" s="2" t="inlineStr">
        <is>
          <t>["R6-ISS-027-PERS"]</t>
        </is>
      </c>
      <c r="K70" s="2" t="inlineStr">
        <is>
          <t>r6</t>
        </is>
      </c>
    </row>
    <row r="71" ht="42" customHeight="1">
      <c r="A71" s="3" t="inlineStr">
        <is>
          <t>jeminise.com+christmas-bedding-quilt-soft-microfiber-holiday-bedsprea-design-12</t>
        </is>
      </c>
      <c r="B71" s="3" t="inlineStr">
        <is>
          <t>K2</t>
        </is>
      </c>
      <c r="C71" s="3" t="n">
        <v>5</v>
      </c>
      <c r="D71" s="3" t="inlineStr">
        <is>
          <t>PARTIAL</t>
        </is>
      </c>
      <c r="E71" s="7" t="n">
        <f>IF(B71="I1",AVERAGEIF('QA_Images'!$A$2:$A$51,A71,'QA_Images'!$T$2:$T$51)/100,IF(D71="FULL",1,IF(D71="PARTIAL",0.5,IF(D71="FAIL",0,""))))</f>
        <v>0.5</v>
      </c>
      <c r="F71" s="7" t="n">
        <f>IF(E71="",0,C71*E71)</f>
        <v>2.5</v>
      </c>
      <c r="G71" s="7" t="n">
        <f>IF(B71="I1",20*AVERAGEIF('QA_Images'!$A$2:$A$51,A71,'QA_Images'!$U$2:$U$51)/100,IF(D71="NOT_CHECKED",0,C71))</f>
        <v>5</v>
      </c>
      <c r="H71" s="3" t="inlineStr">
        <is>
          <t>SERP results support commercial/product intent, but comparator results were read without hard-pinned search-service locale.</t>
        </is>
      </c>
      <c r="I71" s="3" t="inlineStr">
        <is>
          <t>["evidence_batch_003_027", "https://jeminise.com/products/christmas-bedding-quilt-soft-microfiber-holiday-bedsprea-design-12", "serp_qa_027"]</t>
        </is>
      </c>
      <c r="J71" s="3" t="inlineStr">
        <is>
          <t>["R6-ISS-027-PERS"]</t>
        </is>
      </c>
      <c r="K71" s="3" t="inlineStr">
        <is>
          <t>r6</t>
        </is>
      </c>
    </row>
    <row r="72" ht="42" customHeight="1">
      <c r="A72" s="2" t="inlineStr">
        <is>
          <t>jeminise.com+christmas-bedding-quilt-soft-microfiber-holiday-bedsprea-design-12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5" t="n">
        <f>IF(B72="I1",AVERAGEIF('QA_Images'!$A$2:$A$51,A72,'QA_Images'!$T$2:$T$51)/100,IF(D72="FULL",1,IF(D72="PARTIAL",0.5,IF(D72="FAIL",0,""))))</f>
        <v>0.5</v>
      </c>
      <c r="F72" s="5" t="n">
        <f>IF(E72="",0,C72*E72)</f>
        <v>2.5</v>
      </c>
      <c r="G72" s="5" t="n">
        <f>IF(B72="I1",20*AVERAGEIF('QA_Images'!$A$2:$A$51,A72,'QA_Images'!$U$2:$U$51)/100,IF(D72="NOT_CHECKED",0,C72))</f>
        <v>5</v>
      </c>
      <c r="H72" s="2" t="inlineStr">
        <is>
          <t>No search-volume claim is made; evidence is SERP_ONLY and therefore only partial for demand validation.</t>
        </is>
      </c>
      <c r="I72" s="2" t="inlineStr">
        <is>
          <t>["evidence_batch_003_027", "https://jeminise.com/products/christmas-bedding-quilt-soft-microfiber-holiday-bedsprea-design-12", "serp_qa_027"]</t>
        </is>
      </c>
      <c r="J72" s="2" t="inlineStr">
        <is>
          <t>["R6-ISS-027-PERS"]</t>
        </is>
      </c>
      <c r="K72" s="2" t="inlineStr">
        <is>
          <t>r6</t>
        </is>
      </c>
    </row>
    <row r="73" ht="42" customHeight="1">
      <c r="A73" s="3" t="inlineStr">
        <is>
          <t>jeminise.com+christmas-bedding-quilt-soft-microfiber-holiday-bedsprea-design-12</t>
        </is>
      </c>
      <c r="B73" s="3" t="inlineStr">
        <is>
          <t>T1</t>
        </is>
      </c>
      <c r="C73" s="3" t="n">
        <v>10</v>
      </c>
      <c r="D73" s="3" t="inlineStr">
        <is>
          <t>PARTIAL</t>
        </is>
      </c>
      <c r="E73" s="7" t="n">
        <f>IF(B73="I1",AVERAGEIF('QA_Images'!$A$2:$A$51,A73,'QA_Images'!$T$2:$T$51)/100,IF(D73="FULL",1,IF(D73="PARTIAL",0.5,IF(D73="FAIL",0,""))))</f>
        <v>0.5</v>
      </c>
      <c r="F73" s="7" t="n">
        <f>IF(E73="",0,C73*E73)</f>
        <v>5.0</v>
      </c>
      <c r="G73" s="7" t="n">
        <f>IF(B73="I1",20*AVERAGEIF('QA_Images'!$A$2:$A$51,A73,'QA_Images'!$U$2:$U$51)/100,IF(D73="NOT_CHECKED",0,C73))</f>
        <v>10</v>
      </c>
      <c r="H73" s="3" t="inlineStr">
        <is>
          <t>Proposed SEO title is specific English copy; “Personalized” is not accepted for positions 22-28 without a live control.</t>
        </is>
      </c>
      <c r="I73" s="3" t="inlineStr">
        <is>
          <t>["evidence_batch_003_027", "https://jeminise.com/products/christmas-bedding-quilt-soft-microfiber-holiday-bedsprea-design-12", "serp_qa_027"]</t>
        </is>
      </c>
      <c r="J73" s="3" t="inlineStr">
        <is>
          <t>["R6-ISS-027-PERS"]</t>
        </is>
      </c>
      <c r="K73" s="3" t="inlineStr">
        <is>
          <t>r6</t>
        </is>
      </c>
    </row>
    <row r="74" ht="42" customHeight="1">
      <c r="A74" s="2" t="inlineStr">
        <is>
          <t>jeminise.com+christmas-bedding-quilt-soft-microfiber-holiday-bedsprea-design-12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5" t="n">
        <f>IF(B74="I1",AVERAGEIF('QA_Images'!$A$2:$A$51,A74,'QA_Images'!$T$2:$T$51)/100,IF(D74="FULL",1,IF(D74="PARTIAL",0.5,IF(D74="FAIL",0,""))))</f>
        <v>1</v>
      </c>
      <c r="F74" s="5" t="n">
        <f>IF(E74="",0,C74*E74)</f>
        <v>5</v>
      </c>
      <c r="G74" s="5" t="n">
        <f>IF(B74="I1",20*AVERAGEIF('QA_Images'!$A$2:$A$51,A74,'QA_Images'!$U$2:$U$51)/100,IF(D74="NOT_CHECKED",0,C74))</f>
        <v>5</v>
      </c>
      <c r="H74" s="2" t="inlineStr">
        <is>
          <t>Proposed H1/title intent is distinct and avoids the live encoding/truncation issue.</t>
        </is>
      </c>
      <c r="I74" s="2" t="inlineStr">
        <is>
          <t>["evidence_batch_003_027", "https://jeminise.com/products/christmas-bedding-quilt-soft-microfiber-holiday-bedsprea-design-12", "serp_qa_027"]</t>
        </is>
      </c>
      <c r="J74" s="2" t="inlineStr">
        <is>
          <t>["R6-ISS-027-PERS"]</t>
        </is>
      </c>
      <c r="K74" s="2" t="inlineStr">
        <is>
          <t>r6</t>
        </is>
      </c>
    </row>
    <row r="75" ht="42" customHeight="1">
      <c r="A75" s="3" t="inlineStr">
        <is>
          <t>jeminise.com+christmas-bedding-quilt-soft-microfiber-holiday-bedsprea-design-12</t>
        </is>
      </c>
      <c r="B75" s="3" t="inlineStr">
        <is>
          <t>D1</t>
        </is>
      </c>
      <c r="C75" s="3" t="n">
        <v>5</v>
      </c>
      <c r="D75" s="3" t="inlineStr">
        <is>
          <t>FULL</t>
        </is>
      </c>
      <c r="E75" s="7" t="n">
        <f>IF(B75="I1",AVERAGEIF('QA_Images'!$A$2:$A$51,A75,'QA_Images'!$T$2:$T$51)/100,IF(D75="FULL",1,IF(D75="PARTIAL",0.5,IF(D75="FAIL",0,""))))</f>
        <v>1</v>
      </c>
      <c r="F75" s="7" t="n">
        <f>IF(E75="",0,C75*E75)</f>
        <v>5</v>
      </c>
      <c r="G75" s="7" t="n">
        <f>IF(B75="I1",20*AVERAGEIF('QA_Images'!$A$2:$A$51,A75,'QA_Images'!$U$2:$U$51)/100,IF(D75="NOT_CHECKED",0,C75))</f>
        <v>5</v>
      </c>
      <c r="H75" s="3" t="inlineStr">
        <is>
          <t>Proposed metadata is complete, customer-facing and supported by the motif evidence; 145-165 is an editorial target only.</t>
        </is>
      </c>
      <c r="I75" s="3" t="inlineStr">
        <is>
          <t>["evidence_batch_003_027", "https://jeminise.com/products/christmas-bedding-quilt-soft-microfiber-holiday-bedsprea-design-12", "serp_qa_027"]</t>
        </is>
      </c>
      <c r="J75" s="3" t="inlineStr">
        <is>
          <t>["R6-ISS-027-PERS"]</t>
        </is>
      </c>
      <c r="K75" s="3" t="inlineStr">
        <is>
          <t>r6</t>
        </is>
      </c>
    </row>
    <row r="76" ht="42" customHeight="1">
      <c r="A76" s="2" t="inlineStr">
        <is>
          <t>jeminise.com+christmas-bedding-quilt-soft-microfiber-holiday-bedsprea-design-12</t>
        </is>
      </c>
      <c r="B76" s="2" t="inlineStr">
        <is>
          <t>D2</t>
        </is>
      </c>
      <c r="C76" s="2" t="n">
        <v>10</v>
      </c>
      <c r="D76" s="2" t="inlineStr">
        <is>
          <t>PARTIAL</t>
        </is>
      </c>
      <c r="E76" s="5" t="n">
        <f>IF(B76="I1",AVERAGEIF('QA_Images'!$A$2:$A$51,A76,'QA_Images'!$T$2:$T$51)/100,IF(D76="FULL",1,IF(D76="PARTIAL",0.5,IF(D76="FAIL",0,""))))</f>
        <v>0.5</v>
      </c>
      <c r="F76" s="5" t="n">
        <f>IF(E76="",0,C76*E76)</f>
        <v>5.0</v>
      </c>
      <c r="G76" s="5" t="n">
        <f>IF(B76="I1",20*AVERAGEIF('QA_Images'!$A$2:$A$51,A76,'QA_Images'!$U$2:$U$51)/100,IF(D76="NOT_CHECKED",0,C76))</f>
        <v>10</v>
      </c>
      <c r="H76" s="2" t="inlineStr">
        <is>
          <t>r6 description is customer-facing and removes process/QA wording. Position 29-30 incorrectly deny a live personalization field; other claims of a name field are unsupported where no live control was found.</t>
        </is>
      </c>
      <c r="I76" s="2" t="inlineStr">
        <is>
          <t>["evidence_batch_003_027", "https://jeminise.com/products/christmas-bedding-quilt-soft-microfiber-holiday-bedsprea-design-12", "serp_qa_027"]</t>
        </is>
      </c>
      <c r="J76" s="2" t="inlineStr">
        <is>
          <t>["R6-ISS-027-PERS"]</t>
        </is>
      </c>
      <c r="K76" s="2" t="inlineStr">
        <is>
          <t>r6</t>
        </is>
      </c>
    </row>
    <row r="77" ht="42" customHeight="1">
      <c r="A77" s="3" t="inlineStr">
        <is>
          <t>jeminise.com+christmas-bedding-quilt-soft-microfiber-holiday-bedsprea-design-12</t>
        </is>
      </c>
      <c r="B77" s="3" t="inlineStr">
        <is>
          <t>I1</t>
        </is>
      </c>
      <c r="C77" s="3" t="n">
        <v>20</v>
      </c>
      <c r="D77" s="3" t="inlineStr">
        <is>
          <t>DERIVED</t>
        </is>
      </c>
      <c r="E77" s="7" t="n">
        <f>IF(B77="I1",AVERAGEIF('QA_Images'!$A$2:$A$51,A77,'QA_Images'!$T$2:$T$51)/100,IF(D77="FULL",1,IF(D77="PARTIAL",0.5,IF(D77="FAIL",0,""))))</f>
        <v>1</v>
      </c>
      <c r="F77" s="7" t="n">
        <f>IF(E77="",0,C77*E77)</f>
        <v>20</v>
      </c>
      <c r="G77" s="7" t="n">
        <f>IF(B77="I1",20*AVERAGEIF('QA_Images'!$A$2:$A$51,A77,'QA_Images'!$U$2:$U$51)/100,IF(D77="NOT_CHECKED",0,C77))</f>
        <v>20</v>
      </c>
      <c r="H77" s="3" t="inlineStr">
        <is>
          <t>Derived from the 5 images belonging to this product only; all 20 image rubric points are passed.</t>
        </is>
      </c>
      <c r="I77" s="3" t="inlineStr">
        <is>
          <t>["evidence_batch_003_027", "https://jeminise.com/products/christmas-bedding-quilt-soft-microfiber-holiday-bedsprea-design-12", "serp_qa_027"]</t>
        </is>
      </c>
      <c r="J77" s="3" t="inlineStr">
        <is>
          <t>["R6-ISS-027-PERS"]</t>
        </is>
      </c>
      <c r="K77" s="3" t="inlineStr">
        <is>
          <t>r6</t>
        </is>
      </c>
    </row>
    <row r="78" ht="42" customHeight="1">
      <c r="A78" s="2" t="inlineStr">
        <is>
          <t>jeminise.com+christmas-bedding-quilt-soft-microfiber-holiday-bedsprea-design-12</t>
        </is>
      </c>
      <c r="B78" s="2" t="inlineStr">
        <is>
          <t>E1</t>
        </is>
      </c>
      <c r="C78" s="2" t="n">
        <v>5</v>
      </c>
      <c r="D78" s="2" t="inlineStr">
        <is>
          <t>FULL</t>
        </is>
      </c>
      <c r="E78" s="5" t="n">
        <f>IF(B78="I1",AVERAGEIF('QA_Images'!$A$2:$A$51,A78,'QA_Images'!$T$2:$T$51)/100,IF(D78="FULL",1,IF(D78="PARTIAL",0.5,IF(D78="FAIL",0,""))))</f>
        <v>1</v>
      </c>
      <c r="F78" s="5" t="n">
        <f>IF(E78="",0,C78*E78)</f>
        <v>5</v>
      </c>
      <c r="G78" s="5" t="n">
        <f>IF(B78="I1",20*AVERAGEIF('QA_Images'!$A$2:$A$51,A78,'QA_Images'!$U$2:$U$51)/100,IF(D78="NOT_CHECKED",0,C78))</f>
        <v>5</v>
      </c>
      <c r="H78" s="2" t="inlineStr">
        <is>
          <t>Product key, handle, ID, URL and evidence links reconcile to the locked inventory rows and live snapshot.</t>
        </is>
      </c>
      <c r="I78" s="2" t="inlineStr">
        <is>
          <t>["evidence_batch_003_027", "https://jeminise.com/products/christmas-bedding-quilt-soft-microfiber-holiday-bedsprea-design-12", "serp_qa_027"]</t>
        </is>
      </c>
      <c r="J78" s="2" t="inlineStr">
        <is>
          <t>["R6-ISS-027-PERS"]</t>
        </is>
      </c>
      <c r="K78" s="2" t="inlineStr">
        <is>
          <t>r6</t>
        </is>
      </c>
    </row>
    <row r="79" ht="42" customHeight="1">
      <c r="A79" s="3" t="inlineStr">
        <is>
          <t>jeminise.com+christmas-bedding-quilt-soft-microfiber-holiday-bedspread</t>
        </is>
      </c>
      <c r="B79" s="3" t="inlineStr">
        <is>
          <t>P1</t>
        </is>
      </c>
      <c r="C79" s="3" t="n">
        <v>15</v>
      </c>
      <c r="D79" s="3" t="inlineStr">
        <is>
          <t>PARTIAL</t>
        </is>
      </c>
      <c r="E79" s="7" t="n">
        <f>IF(B79="I1",AVERAGEIF('QA_Images'!$A$2:$A$51,A79,'QA_Images'!$T$2:$T$51)/100,IF(D79="FULL",1,IF(D79="PARTIAL",0.5,IF(D79="FAIL",0,""))))</f>
        <v>0.5</v>
      </c>
      <c r="F79" s="7" t="n">
        <f>IF(E79="",0,C79*E79)</f>
        <v>7.5</v>
      </c>
      <c r="G79" s="7" t="n">
        <f>IF(B79="I1",20*AVERAGEIF('QA_Images'!$A$2:$A$51,A79,'QA_Images'!$U$2:$U$51)/100,IF(D79="NOT_CHECKED",0,C79))</f>
        <v>15</v>
      </c>
      <c r="H79" s="3" t="inlineStr">
        <is>
          <t>Live JSON id/handle, live H1 and all five current gallery images match the selected motif; personalization wording is not accepted without a live control.</t>
        </is>
      </c>
      <c r="I79" s="3" t="inlineStr">
        <is>
          <t>["evidence_batch_003_028", "https://jeminise.com/products/christmas-bedding-quilt-soft-microfiber-holiday-bedspread", "serp_qa_028"]</t>
        </is>
      </c>
      <c r="J79" s="3" t="inlineStr">
        <is>
          <t>["R6-ISS-028-PERS"]</t>
        </is>
      </c>
      <c r="K79" s="3" t="inlineStr">
        <is>
          <t>r6</t>
        </is>
      </c>
    </row>
    <row r="80" ht="42" customHeight="1">
      <c r="A80" s="2" t="inlineStr">
        <is>
          <t>jeminise.com+christmas-bedding-quilt-soft-microfiber-holiday-bedspread</t>
        </is>
      </c>
      <c r="B80" s="2" t="inlineStr">
        <is>
          <t>P2</t>
        </is>
      </c>
      <c r="C80" s="2" t="n">
        <v>10</v>
      </c>
      <c r="D80" s="2" t="inlineStr">
        <is>
          <t>PARTIAL</t>
        </is>
      </c>
      <c r="E80" s="5" t="n">
        <f>IF(B80="I1",AVERAGEIF('QA_Images'!$A$2:$A$51,A80,'QA_Images'!$T$2:$T$51)/100,IF(D80="FULL",1,IF(D80="PARTIAL",0.5,IF(D80="FAIL",0,""))))</f>
        <v>0.5</v>
      </c>
      <c r="F80" s="5" t="n">
        <f>IF(E80="",0,C80*E80)</f>
        <v>5.0</v>
      </c>
      <c r="G80" s="5" t="n">
        <f>IF(B80="I1",20*AVERAGEIF('QA_Images'!$A$2:$A$51,A80,'QA_Images'!$U$2:$U$51)/100,IF(D80="NOT_CHECKED",0,C80))</f>
        <v>10</v>
      </c>
      <c r="H80" s="2" t="inlineStr">
        <is>
          <t>Live JSON has 15 variants, five quilt sizes and three pillowcase choices. A live 1-text-input control is evidenced only at positions 21, 29 and 30; r6 personalization claims elsewhere are unsupported.</t>
        </is>
      </c>
      <c r="I80" s="2" t="inlineStr">
        <is>
          <t>["evidence_batch_003_028", "https://jeminise.com/products/christmas-bedding-quilt-soft-microfiber-holiday-bedspread", "serp_qa_028"]</t>
        </is>
      </c>
      <c r="J80" s="2" t="inlineStr">
        <is>
          <t>["R6-ISS-028-PERS"]</t>
        </is>
      </c>
      <c r="K80" s="2" t="inlineStr">
        <is>
          <t>r6</t>
        </is>
      </c>
    </row>
    <row r="81" ht="42" customHeight="1">
      <c r="A81" s="3" t="inlineStr">
        <is>
          <t>jeminise.com+christmas-bedding-quilt-soft-microfiber-holiday-bedspread</t>
        </is>
      </c>
      <c r="B81" s="3" t="inlineStr">
        <is>
          <t>K1</t>
        </is>
      </c>
      <c r="C81" s="3" t="n">
        <v>10</v>
      </c>
      <c r="D81" s="3" t="inlineStr">
        <is>
          <t>PARTIAL</t>
        </is>
      </c>
      <c r="E81" s="7" t="n">
        <f>IF(B81="I1",AVERAGEIF('QA_Images'!$A$2:$A$51,A81,'QA_Images'!$T$2:$T$51)/100,IF(D81="FULL",1,IF(D81="PARTIAL",0.5,IF(D81="FAIL",0,""))))</f>
        <v>0.5</v>
      </c>
      <c r="F81" s="7" t="n">
        <f>IF(E81="",0,C81*E81)</f>
        <v>5.0</v>
      </c>
      <c r="G81" s="7" t="n">
        <f>IF(B81="I1",20*AVERAGEIF('QA_Images'!$A$2:$A$51,A81,'QA_Images'!$U$2:$U$51)/100,IF(D81="NOT_CHECKED",0,C81))</f>
        <v>10</v>
      </c>
      <c r="H81" s="3" t="inlineStr">
        <is>
          <t>Two US-English SERP queries per product were read. Motif terms distinguish candy cane gingerbread, village gingerbread, black tree, vintage tree, birdhouse/cardinal and snowman counts.</t>
        </is>
      </c>
      <c r="I81" s="3" t="inlineStr">
        <is>
          <t>["evidence_batch_003_028", "https://jeminise.com/products/christmas-bedding-quilt-soft-microfiber-holiday-bedspread", "serp_qa_028"]</t>
        </is>
      </c>
      <c r="J81" s="3" t="inlineStr">
        <is>
          <t>["R6-ISS-028-PERS"]</t>
        </is>
      </c>
      <c r="K81" s="3" t="inlineStr">
        <is>
          <t>r6</t>
        </is>
      </c>
    </row>
    <row r="82" ht="42" customHeight="1">
      <c r="A82" s="2" t="inlineStr">
        <is>
          <t>jeminise.com+christmas-bedding-quilt-soft-microfiber-holiday-bedspread</t>
        </is>
      </c>
      <c r="B82" s="2" t="inlineStr">
        <is>
          <t>K2</t>
        </is>
      </c>
      <c r="C82" s="2" t="n">
        <v>5</v>
      </c>
      <c r="D82" s="2" t="inlineStr">
        <is>
          <t>PARTIAL</t>
        </is>
      </c>
      <c r="E82" s="5" t="n">
        <f>IF(B82="I1",AVERAGEIF('QA_Images'!$A$2:$A$51,A82,'QA_Images'!$T$2:$T$51)/100,IF(D82="FULL",1,IF(D82="PARTIAL",0.5,IF(D82="FAIL",0,""))))</f>
        <v>0.5</v>
      </c>
      <c r="F82" s="5" t="n">
        <f>IF(E82="",0,C82*E82)</f>
        <v>2.5</v>
      </c>
      <c r="G82" s="5" t="n">
        <f>IF(B82="I1",20*AVERAGEIF('QA_Images'!$A$2:$A$51,A82,'QA_Images'!$U$2:$U$51)/100,IF(D82="NOT_CHECKED",0,C82))</f>
        <v>5</v>
      </c>
      <c r="H82" s="2" t="inlineStr">
        <is>
          <t>SERP results support commercial/product intent, but comparator results were read without hard-pinned search-service locale.</t>
        </is>
      </c>
      <c r="I82" s="2" t="inlineStr">
        <is>
          <t>["evidence_batch_003_028", "https://jeminise.com/products/christmas-bedding-quilt-soft-microfiber-holiday-bedspread", "serp_qa_028"]</t>
        </is>
      </c>
      <c r="J82" s="2" t="inlineStr">
        <is>
          <t>["R6-ISS-028-PERS"]</t>
        </is>
      </c>
      <c r="K82" s="2" t="inlineStr">
        <is>
          <t>r6</t>
        </is>
      </c>
    </row>
    <row r="83" ht="42" customHeight="1">
      <c r="A83" s="3" t="inlineStr">
        <is>
          <t>jeminise.com+christmas-bedding-quilt-soft-microfiber-holiday-bedspread</t>
        </is>
      </c>
      <c r="B83" s="3" t="inlineStr">
        <is>
          <t>K3</t>
        </is>
      </c>
      <c r="C83" s="3" t="n">
        <v>5</v>
      </c>
      <c r="D83" s="3" t="inlineStr">
        <is>
          <t>PARTIAL</t>
        </is>
      </c>
      <c r="E83" s="7" t="n">
        <f>IF(B83="I1",AVERAGEIF('QA_Images'!$A$2:$A$51,A83,'QA_Images'!$T$2:$T$51)/100,IF(D83="FULL",1,IF(D83="PARTIAL",0.5,IF(D83="FAIL",0,""))))</f>
        <v>0.5</v>
      </c>
      <c r="F83" s="7" t="n">
        <f>IF(E83="",0,C83*E83)</f>
        <v>2.5</v>
      </c>
      <c r="G83" s="7" t="n">
        <f>IF(B83="I1",20*AVERAGEIF('QA_Images'!$A$2:$A$51,A83,'QA_Images'!$U$2:$U$51)/100,IF(D83="NOT_CHECKED",0,C83))</f>
        <v>5</v>
      </c>
      <c r="H83" s="3" t="inlineStr">
        <is>
          <t>No search-volume claim is made; evidence is SERP_ONLY and therefore only partial for demand validation.</t>
        </is>
      </c>
      <c r="I83" s="3" t="inlineStr">
        <is>
          <t>["evidence_batch_003_028", "https://jeminise.com/products/christmas-bedding-quilt-soft-microfiber-holiday-bedspread", "serp_qa_028"]</t>
        </is>
      </c>
      <c r="J83" s="3" t="inlineStr">
        <is>
          <t>["R6-ISS-028-PERS"]</t>
        </is>
      </c>
      <c r="K83" s="3" t="inlineStr">
        <is>
          <t>r6</t>
        </is>
      </c>
    </row>
    <row r="84" ht="42" customHeight="1">
      <c r="A84" s="2" t="inlineStr">
        <is>
          <t>jeminise.com+christmas-bedding-quilt-soft-microfiber-holiday-bedspread</t>
        </is>
      </c>
      <c r="B84" s="2" t="inlineStr">
        <is>
          <t>T1</t>
        </is>
      </c>
      <c r="C84" s="2" t="n">
        <v>10</v>
      </c>
      <c r="D84" s="2" t="inlineStr">
        <is>
          <t>PARTIAL</t>
        </is>
      </c>
      <c r="E84" s="5" t="n">
        <f>IF(B84="I1",AVERAGEIF('QA_Images'!$A$2:$A$51,A84,'QA_Images'!$T$2:$T$51)/100,IF(D84="FULL",1,IF(D84="PARTIAL",0.5,IF(D84="FAIL",0,""))))</f>
        <v>0.5</v>
      </c>
      <c r="F84" s="5" t="n">
        <f>IF(E84="",0,C84*E84)</f>
        <v>5.0</v>
      </c>
      <c r="G84" s="5" t="n">
        <f>IF(B84="I1",20*AVERAGEIF('QA_Images'!$A$2:$A$51,A84,'QA_Images'!$U$2:$U$51)/100,IF(D84="NOT_CHECKED",0,C84))</f>
        <v>10</v>
      </c>
      <c r="H84" s="2" t="inlineStr">
        <is>
          <t>Proposed SEO title is specific English copy; “Personalized” is not accepted for positions 22-28 without a live control.</t>
        </is>
      </c>
      <c r="I84" s="2" t="inlineStr">
        <is>
          <t>["evidence_batch_003_028", "https://jeminise.com/products/christmas-bedding-quilt-soft-microfiber-holiday-bedspread", "serp_qa_028"]</t>
        </is>
      </c>
      <c r="J84" s="2" t="inlineStr">
        <is>
          <t>["R6-ISS-028-PERS"]</t>
        </is>
      </c>
      <c r="K84" s="2" t="inlineStr">
        <is>
          <t>r6</t>
        </is>
      </c>
    </row>
    <row r="85" ht="42" customHeight="1">
      <c r="A85" s="3" t="inlineStr">
        <is>
          <t>jeminise.com+christmas-bedding-quilt-soft-microfiber-holiday-bedspread</t>
        </is>
      </c>
      <c r="B85" s="3" t="inlineStr">
        <is>
          <t>T2</t>
        </is>
      </c>
      <c r="C85" s="3" t="n">
        <v>5</v>
      </c>
      <c r="D85" s="3" t="inlineStr">
        <is>
          <t>FULL</t>
        </is>
      </c>
      <c r="E85" s="7" t="n">
        <f>IF(B85="I1",AVERAGEIF('QA_Images'!$A$2:$A$51,A85,'QA_Images'!$T$2:$T$51)/100,IF(D85="FULL",1,IF(D85="PARTIAL",0.5,IF(D85="FAIL",0,""))))</f>
        <v>1</v>
      </c>
      <c r="F85" s="7" t="n">
        <f>IF(E85="",0,C85*E85)</f>
        <v>5</v>
      </c>
      <c r="G85" s="7" t="n">
        <f>IF(B85="I1",20*AVERAGEIF('QA_Images'!$A$2:$A$51,A85,'QA_Images'!$U$2:$U$51)/100,IF(D85="NOT_CHECKED",0,C85))</f>
        <v>5</v>
      </c>
      <c r="H85" s="3" t="inlineStr">
        <is>
          <t>Proposed H1/title intent is distinct and avoids the live encoding/truncation issue.</t>
        </is>
      </c>
      <c r="I85" s="3" t="inlineStr">
        <is>
          <t>["evidence_batch_003_028", "https://jeminise.com/products/christmas-bedding-quilt-soft-microfiber-holiday-bedspread", "serp_qa_028"]</t>
        </is>
      </c>
      <c r="J85" s="3" t="inlineStr">
        <is>
          <t>["R6-ISS-028-PERS"]</t>
        </is>
      </c>
      <c r="K85" s="3" t="inlineStr">
        <is>
          <t>r6</t>
        </is>
      </c>
    </row>
    <row r="86" ht="42" customHeight="1">
      <c r="A86" s="2" t="inlineStr">
        <is>
          <t>jeminise.com+christmas-bedding-quilt-soft-microfiber-holiday-bedspread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5" t="n">
        <f>IF(B86="I1",AVERAGEIF('QA_Images'!$A$2:$A$51,A86,'QA_Images'!$T$2:$T$51)/100,IF(D86="FULL",1,IF(D86="PARTIAL",0.5,IF(D86="FAIL",0,""))))</f>
        <v>1</v>
      </c>
      <c r="F86" s="5" t="n">
        <f>IF(E86="",0,C86*E86)</f>
        <v>5</v>
      </c>
      <c r="G86" s="5" t="n">
        <f>IF(B86="I1",20*AVERAGEIF('QA_Images'!$A$2:$A$51,A86,'QA_Images'!$U$2:$U$51)/100,IF(D86="NOT_CHECKED",0,C86))</f>
        <v>5</v>
      </c>
      <c r="H86" s="2" t="inlineStr">
        <is>
          <t>Proposed metadata is complete, customer-facing and supported by the motif evidence; 145-165 is an editorial target only.</t>
        </is>
      </c>
      <c r="I86" s="2" t="inlineStr">
        <is>
          <t>["evidence_batch_003_028", "https://jeminise.com/products/christmas-bedding-quilt-soft-microfiber-holiday-bedspread", "serp_qa_028"]</t>
        </is>
      </c>
      <c r="J86" s="2" t="inlineStr">
        <is>
          <t>["R6-ISS-028-PERS"]</t>
        </is>
      </c>
      <c r="K86" s="2" t="inlineStr">
        <is>
          <t>r6</t>
        </is>
      </c>
    </row>
    <row r="87" ht="42" customHeight="1">
      <c r="A87" s="3" t="inlineStr">
        <is>
          <t>jeminise.com+christmas-bedding-quilt-soft-microfiber-holiday-bedspread</t>
        </is>
      </c>
      <c r="B87" s="3" t="inlineStr">
        <is>
          <t>D2</t>
        </is>
      </c>
      <c r="C87" s="3" t="n">
        <v>10</v>
      </c>
      <c r="D87" s="3" t="inlineStr">
        <is>
          <t>PARTIAL</t>
        </is>
      </c>
      <c r="E87" s="7" t="n">
        <f>IF(B87="I1",AVERAGEIF('QA_Images'!$A$2:$A$51,A87,'QA_Images'!$T$2:$T$51)/100,IF(D87="FULL",1,IF(D87="PARTIAL",0.5,IF(D87="FAIL",0,""))))</f>
        <v>0.5</v>
      </c>
      <c r="F87" s="7" t="n">
        <f>IF(E87="",0,C87*E87)</f>
        <v>5.0</v>
      </c>
      <c r="G87" s="7" t="n">
        <f>IF(B87="I1",20*AVERAGEIF('QA_Images'!$A$2:$A$51,A87,'QA_Images'!$U$2:$U$51)/100,IF(D87="NOT_CHECKED",0,C87))</f>
        <v>10</v>
      </c>
      <c r="H87" s="3" t="inlineStr">
        <is>
          <t>r6 description is customer-facing and removes process/QA wording. Position 29-30 incorrectly deny a live personalization field; other claims of a name field are unsupported where no live control was found.</t>
        </is>
      </c>
      <c r="I87" s="3" t="inlineStr">
        <is>
          <t>["evidence_batch_003_028", "https://jeminise.com/products/christmas-bedding-quilt-soft-microfiber-holiday-bedspread", "serp_qa_028"]</t>
        </is>
      </c>
      <c r="J87" s="3" t="inlineStr">
        <is>
          <t>["R6-ISS-028-PERS"]</t>
        </is>
      </c>
      <c r="K87" s="3" t="inlineStr">
        <is>
          <t>r6</t>
        </is>
      </c>
    </row>
    <row r="88" ht="42" customHeight="1">
      <c r="A88" s="2" t="inlineStr">
        <is>
          <t>jeminise.com+christmas-bedding-quilt-soft-microfiber-holiday-bedspread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5" t="n">
        <f>IF(B88="I1",AVERAGEIF('QA_Images'!$A$2:$A$51,A88,'QA_Images'!$T$2:$T$51)/100,IF(D88="FULL",1,IF(D88="PARTIAL",0.5,IF(D88="FAIL",0,""))))</f>
        <v>1</v>
      </c>
      <c r="F88" s="5" t="n">
        <f>IF(E88="",0,C88*E88)</f>
        <v>20</v>
      </c>
      <c r="G88" s="5" t="n">
        <f>IF(B88="I1",20*AVERAGEIF('QA_Images'!$A$2:$A$51,A88,'QA_Images'!$U$2:$U$51)/100,IF(D88="NOT_CHECKED",0,C88))</f>
        <v>20</v>
      </c>
      <c r="H88" s="2" t="inlineStr">
        <is>
          <t>Derived from the 5 images belonging to this product only; all 20 image rubric points are passed.</t>
        </is>
      </c>
      <c r="I88" s="2" t="inlineStr">
        <is>
          <t>["evidence_batch_003_028", "https://jeminise.com/products/christmas-bedding-quilt-soft-microfiber-holiday-bedspread", "serp_qa_028"]</t>
        </is>
      </c>
      <c r="J88" s="2" t="inlineStr">
        <is>
          <t>["R6-ISS-028-PERS"]</t>
        </is>
      </c>
      <c r="K88" s="2" t="inlineStr">
        <is>
          <t>r6</t>
        </is>
      </c>
    </row>
    <row r="89" ht="42" customHeight="1">
      <c r="A89" s="3" t="inlineStr">
        <is>
          <t>jeminise.com+christmas-bedding-quilt-soft-microfiber-holiday-bedspread</t>
        </is>
      </c>
      <c r="B89" s="3" t="inlineStr">
        <is>
          <t>E1</t>
        </is>
      </c>
      <c r="C89" s="3" t="n">
        <v>5</v>
      </c>
      <c r="D89" s="3" t="inlineStr">
        <is>
          <t>FULL</t>
        </is>
      </c>
      <c r="E89" s="7" t="n">
        <f>IF(B89="I1",AVERAGEIF('QA_Images'!$A$2:$A$51,A89,'QA_Images'!$T$2:$T$51)/100,IF(D89="FULL",1,IF(D89="PARTIAL",0.5,IF(D89="FAIL",0,""))))</f>
        <v>1</v>
      </c>
      <c r="F89" s="7" t="n">
        <f>IF(E89="",0,C89*E89)</f>
        <v>5</v>
      </c>
      <c r="G89" s="7" t="n">
        <f>IF(B89="I1",20*AVERAGEIF('QA_Images'!$A$2:$A$51,A89,'QA_Images'!$U$2:$U$51)/100,IF(D89="NOT_CHECKED",0,C89))</f>
        <v>5</v>
      </c>
      <c r="H89" s="3" t="inlineStr">
        <is>
          <t>Product key, handle, ID, URL and evidence links reconcile to the locked inventory rows and live snapshot.</t>
        </is>
      </c>
      <c r="I89" s="3" t="inlineStr">
        <is>
          <t>["evidence_batch_003_028", "https://jeminise.com/products/christmas-bedding-quilt-soft-microfiber-holiday-bedspread", "serp_qa_028"]</t>
        </is>
      </c>
      <c r="J89" s="3" t="inlineStr">
        <is>
          <t>["R6-ISS-028-PERS"]</t>
        </is>
      </c>
      <c r="K89" s="3" t="inlineStr">
        <is>
          <t>r6</t>
        </is>
      </c>
    </row>
    <row r="90" ht="42" customHeight="1">
      <c r="A90" s="2" t="inlineStr">
        <is>
          <t>jeminise.com+christmas-cardinal-on-branch-within-patchwork-winter-quilt-892d70543a-892d70543a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5" t="n">
        <f>IF(B90="I1",AVERAGEIF('QA_Images'!$A$2:$A$51,A90,'QA_Images'!$T$2:$T$51)/100,IF(D90="FULL",1,IF(D90="PARTIAL",0.5,IF(D90="FAIL",0,""))))</f>
        <v>1</v>
      </c>
      <c r="F90" s="5" t="n">
        <f>IF(E90="",0,C90*E90)</f>
        <v>15</v>
      </c>
      <c r="G90" s="5" t="n">
        <f>IF(B90="I1",20*AVERAGEIF('QA_Images'!$A$2:$A$51,A90,'QA_Images'!$U$2:$U$51)/100,IF(D90="NOT_CHECKED",0,C90))</f>
        <v>15</v>
      </c>
      <c r="H90" s="2" t="inlineStr">
        <is>
          <t>Live JSON id/handle, live H1 and all five current gallery images match the selected motif; personalization wording is not accepted without a live control.</t>
        </is>
      </c>
      <c r="I90" s="2" t="inlineStr">
        <is>
          <t>["evidence_batch_003_029", "https://jeminise.com/products/christmas-cardinal-on-branch-within-patchwork-winter-quilt-892d70543a-892d70543a", "serp_qa_029"]</t>
        </is>
      </c>
      <c r="J90" s="2" t="inlineStr">
        <is>
          <t>["R6-ISS-029-PERS"]</t>
        </is>
      </c>
      <c r="K90" s="2" t="inlineStr">
        <is>
          <t>r6</t>
        </is>
      </c>
    </row>
    <row r="91" ht="42" customHeight="1">
      <c r="A91" s="3" t="inlineStr">
        <is>
          <t>jeminise.com+christmas-cardinal-on-branch-within-patchwork-winter-quilt-892d70543a-892d70543a</t>
        </is>
      </c>
      <c r="B91" s="3" t="inlineStr">
        <is>
          <t>P2</t>
        </is>
      </c>
      <c r="C91" s="3" t="n">
        <v>10</v>
      </c>
      <c r="D91" s="3" t="inlineStr">
        <is>
          <t>FULL</t>
        </is>
      </c>
      <c r="E91" s="7" t="n">
        <f>IF(B91="I1",AVERAGEIF('QA_Images'!$A$2:$A$51,A91,'QA_Images'!$T$2:$T$51)/100,IF(D91="FULL",1,IF(D91="PARTIAL",0.5,IF(D91="FAIL",0,""))))</f>
        <v>1</v>
      </c>
      <c r="F91" s="7" t="n">
        <f>IF(E91="",0,C91*E91)</f>
        <v>10</v>
      </c>
      <c r="G91" s="7" t="n">
        <f>IF(B91="I1",20*AVERAGEIF('QA_Images'!$A$2:$A$51,A91,'QA_Images'!$U$2:$U$51)/100,IF(D91="NOT_CHECKED",0,C91))</f>
        <v>10</v>
      </c>
      <c r="H91" s="3" t="inlineStr">
        <is>
          <t>Live JSON has 15 variants, five quilt sizes and three pillowcase choices. A live 1-text-input control is evidenced only at positions 21, 29 and 30; r6 personalization claims elsewhere are unsupported.</t>
        </is>
      </c>
      <c r="I91" s="3" t="inlineStr">
        <is>
          <t>["evidence_batch_003_029", "https://jeminise.com/products/christmas-cardinal-on-branch-within-patchwork-winter-quilt-892d70543a-892d70543a", "serp_qa_029"]</t>
        </is>
      </c>
      <c r="J91" s="3" t="inlineStr">
        <is>
          <t>["R6-ISS-029-PERS"]</t>
        </is>
      </c>
      <c r="K91" s="3" t="inlineStr">
        <is>
          <t>r6</t>
        </is>
      </c>
    </row>
    <row r="92" ht="42" customHeight="1">
      <c r="A92" s="2" t="inlineStr">
        <is>
          <t>jeminise.com+christmas-cardinal-on-branch-within-patchwork-winter-quilt-892d70543a-892d70543a</t>
        </is>
      </c>
      <c r="B92" s="2" t="inlineStr">
        <is>
          <t>K1</t>
        </is>
      </c>
      <c r="C92" s="2" t="n">
        <v>10</v>
      </c>
      <c r="D92" s="2" t="inlineStr">
        <is>
          <t>PARTIAL</t>
        </is>
      </c>
      <c r="E92" s="5" t="n">
        <f>IF(B92="I1",AVERAGEIF('QA_Images'!$A$2:$A$51,A92,'QA_Images'!$T$2:$T$51)/100,IF(D92="FULL",1,IF(D92="PARTIAL",0.5,IF(D92="FAIL",0,""))))</f>
        <v>0.5</v>
      </c>
      <c r="F92" s="5" t="n">
        <f>IF(E92="",0,C92*E92)</f>
        <v>5.0</v>
      </c>
      <c r="G92" s="5" t="n">
        <f>IF(B92="I1",20*AVERAGEIF('QA_Images'!$A$2:$A$51,A92,'QA_Images'!$U$2:$U$51)/100,IF(D92="NOT_CHECKED",0,C92))</f>
        <v>10</v>
      </c>
      <c r="H92" s="2" t="inlineStr">
        <is>
          <t>Two US-English SERP queries per product were read. Motif terms distinguish candy cane gingerbread, village gingerbread, black tree, vintage tree, birdhouse/cardinal and snowman counts.</t>
        </is>
      </c>
      <c r="I92" s="2" t="inlineStr">
        <is>
          <t>["evidence_batch_003_029", "https://jeminise.com/products/christmas-cardinal-on-branch-within-patchwork-winter-quilt-892d70543a-892d70543a", "serp_qa_029"]</t>
        </is>
      </c>
      <c r="J92" s="2" t="inlineStr">
        <is>
          <t>["R6-ISS-029-PERS"]</t>
        </is>
      </c>
      <c r="K92" s="2" t="inlineStr">
        <is>
          <t>r6</t>
        </is>
      </c>
    </row>
    <row r="93" ht="42" customHeight="1">
      <c r="A93" s="3" t="inlineStr">
        <is>
          <t>jeminise.com+christmas-cardinal-on-branch-within-patchwork-winter-quilt-892d70543a-892d70543a</t>
        </is>
      </c>
      <c r="B93" s="3" t="inlineStr">
        <is>
          <t>K2</t>
        </is>
      </c>
      <c r="C93" s="3" t="n">
        <v>5</v>
      </c>
      <c r="D93" s="3" t="inlineStr">
        <is>
          <t>PARTIAL</t>
        </is>
      </c>
      <c r="E93" s="7" t="n">
        <f>IF(B93="I1",AVERAGEIF('QA_Images'!$A$2:$A$51,A93,'QA_Images'!$T$2:$T$51)/100,IF(D93="FULL",1,IF(D93="PARTIAL",0.5,IF(D93="FAIL",0,""))))</f>
        <v>0.5</v>
      </c>
      <c r="F93" s="7" t="n">
        <f>IF(E93="",0,C93*E93)</f>
        <v>2.5</v>
      </c>
      <c r="G93" s="7" t="n">
        <f>IF(B93="I1",20*AVERAGEIF('QA_Images'!$A$2:$A$51,A93,'QA_Images'!$U$2:$U$51)/100,IF(D93="NOT_CHECKED",0,C93))</f>
        <v>5</v>
      </c>
      <c r="H93" s="3" t="inlineStr">
        <is>
          <t>SERP results support commercial/product intent, but comparator results were read without hard-pinned search-service locale.</t>
        </is>
      </c>
      <c r="I93" s="3" t="inlineStr">
        <is>
          <t>["evidence_batch_003_029", "https://jeminise.com/products/christmas-cardinal-on-branch-within-patchwork-winter-quilt-892d70543a-892d70543a", "serp_qa_029"]</t>
        </is>
      </c>
      <c r="J93" s="3" t="inlineStr">
        <is>
          <t>["R6-ISS-029-PERS"]</t>
        </is>
      </c>
      <c r="K93" s="3" t="inlineStr">
        <is>
          <t>r6</t>
        </is>
      </c>
    </row>
    <row r="94" ht="42" customHeight="1">
      <c r="A94" s="2" t="inlineStr">
        <is>
          <t>jeminise.com+christmas-cardinal-on-branch-within-patchwork-winter-quilt-892d70543a-892d70543a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5" t="n">
        <f>IF(B94="I1",AVERAGEIF('QA_Images'!$A$2:$A$51,A94,'QA_Images'!$T$2:$T$51)/100,IF(D94="FULL",1,IF(D94="PARTIAL",0.5,IF(D94="FAIL",0,""))))</f>
        <v>0.5</v>
      </c>
      <c r="F94" s="5" t="n">
        <f>IF(E94="",0,C94*E94)</f>
        <v>2.5</v>
      </c>
      <c r="G94" s="5" t="n">
        <f>IF(B94="I1",20*AVERAGEIF('QA_Images'!$A$2:$A$51,A94,'QA_Images'!$U$2:$U$51)/100,IF(D94="NOT_CHECKED",0,C94))</f>
        <v>5</v>
      </c>
      <c r="H94" s="2" t="inlineStr">
        <is>
          <t>No search-volume claim is made; evidence is SERP_ONLY and therefore only partial for demand validation.</t>
        </is>
      </c>
      <c r="I94" s="2" t="inlineStr">
        <is>
          <t>["evidence_batch_003_029", "https://jeminise.com/products/christmas-cardinal-on-branch-within-patchwork-winter-quilt-892d70543a-892d70543a", "serp_qa_029"]</t>
        </is>
      </c>
      <c r="J94" s="2" t="inlineStr">
        <is>
          <t>["R6-ISS-029-PERS"]</t>
        </is>
      </c>
      <c r="K94" s="2" t="inlineStr">
        <is>
          <t>r6</t>
        </is>
      </c>
    </row>
    <row r="95" ht="42" customHeight="1">
      <c r="A95" s="3" t="inlineStr">
        <is>
          <t>jeminise.com+christmas-cardinal-on-branch-within-patchwork-winter-quilt-892d70543a-892d70543a</t>
        </is>
      </c>
      <c r="B95" s="3" t="inlineStr">
        <is>
          <t>T1</t>
        </is>
      </c>
      <c r="C95" s="3" t="n">
        <v>10</v>
      </c>
      <c r="D95" s="3" t="inlineStr">
        <is>
          <t>FULL</t>
        </is>
      </c>
      <c r="E95" s="7" t="n">
        <f>IF(B95="I1",AVERAGEIF('QA_Images'!$A$2:$A$51,A95,'QA_Images'!$T$2:$T$51)/100,IF(D95="FULL",1,IF(D95="PARTIAL",0.5,IF(D95="FAIL",0,""))))</f>
        <v>1</v>
      </c>
      <c r="F95" s="7" t="n">
        <f>IF(E95="",0,C95*E95)</f>
        <v>10</v>
      </c>
      <c r="G95" s="7" t="n">
        <f>IF(B95="I1",20*AVERAGEIF('QA_Images'!$A$2:$A$51,A95,'QA_Images'!$U$2:$U$51)/100,IF(D95="NOT_CHECKED",0,C95))</f>
        <v>10</v>
      </c>
      <c r="H95" s="3" t="inlineStr">
        <is>
          <t>Proposed SEO title is specific English copy; “Personalized” is not accepted for positions 22-28 without a live control.</t>
        </is>
      </c>
      <c r="I95" s="3" t="inlineStr">
        <is>
          <t>["evidence_batch_003_029", "https://jeminise.com/products/christmas-cardinal-on-branch-within-patchwork-winter-quilt-892d70543a-892d70543a", "serp_qa_029"]</t>
        </is>
      </c>
      <c r="J95" s="3" t="inlineStr">
        <is>
          <t>["R6-ISS-029-PERS"]</t>
        </is>
      </c>
      <c r="K95" s="3" t="inlineStr">
        <is>
          <t>r6</t>
        </is>
      </c>
    </row>
    <row r="96" ht="42" customHeight="1">
      <c r="A96" s="2" t="inlineStr">
        <is>
          <t>jeminise.com+christmas-cardinal-on-branch-within-patchwork-winter-quilt-892d70543a-892d70543a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5" t="n">
        <f>IF(B96="I1",AVERAGEIF('QA_Images'!$A$2:$A$51,A96,'QA_Images'!$T$2:$T$51)/100,IF(D96="FULL",1,IF(D96="PARTIAL",0.5,IF(D96="FAIL",0,""))))</f>
        <v>1</v>
      </c>
      <c r="F96" s="5" t="n">
        <f>IF(E96="",0,C96*E96)</f>
        <v>5</v>
      </c>
      <c r="G96" s="5" t="n">
        <f>IF(B96="I1",20*AVERAGEIF('QA_Images'!$A$2:$A$51,A96,'QA_Images'!$U$2:$U$51)/100,IF(D96="NOT_CHECKED",0,C96))</f>
        <v>5</v>
      </c>
      <c r="H96" s="2" t="inlineStr">
        <is>
          <t>Proposed H1/title intent is distinct and avoids the live encoding/truncation issue.</t>
        </is>
      </c>
      <c r="I96" s="2" t="inlineStr">
        <is>
          <t>["evidence_batch_003_029", "https://jeminise.com/products/christmas-cardinal-on-branch-within-patchwork-winter-quilt-892d70543a-892d70543a", "serp_qa_029"]</t>
        </is>
      </c>
      <c r="J96" s="2" t="inlineStr">
        <is>
          <t>["R6-ISS-029-PERS"]</t>
        </is>
      </c>
      <c r="K96" s="2" t="inlineStr">
        <is>
          <t>r6</t>
        </is>
      </c>
    </row>
    <row r="97" ht="42" customHeight="1">
      <c r="A97" s="3" t="inlineStr">
        <is>
          <t>jeminise.com+christmas-cardinal-on-branch-within-patchwork-winter-quilt-892d70543a-892d70543a</t>
        </is>
      </c>
      <c r="B97" s="3" t="inlineStr">
        <is>
          <t>D1</t>
        </is>
      </c>
      <c r="C97" s="3" t="n">
        <v>5</v>
      </c>
      <c r="D97" s="3" t="inlineStr">
        <is>
          <t>FULL</t>
        </is>
      </c>
      <c r="E97" s="7" t="n">
        <f>IF(B97="I1",AVERAGEIF('QA_Images'!$A$2:$A$51,A97,'QA_Images'!$T$2:$T$51)/100,IF(D97="FULL",1,IF(D97="PARTIAL",0.5,IF(D97="FAIL",0,""))))</f>
        <v>1</v>
      </c>
      <c r="F97" s="7" t="n">
        <f>IF(E97="",0,C97*E97)</f>
        <v>5</v>
      </c>
      <c r="G97" s="7" t="n">
        <f>IF(B97="I1",20*AVERAGEIF('QA_Images'!$A$2:$A$51,A97,'QA_Images'!$U$2:$U$51)/100,IF(D97="NOT_CHECKED",0,C97))</f>
        <v>5</v>
      </c>
      <c r="H97" s="3" t="inlineStr">
        <is>
          <t>Proposed metadata is complete, customer-facing and supported by the motif evidence; 145-165 is an editorial target only.</t>
        </is>
      </c>
      <c r="I97" s="3" t="inlineStr">
        <is>
          <t>["evidence_batch_003_029", "https://jeminise.com/products/christmas-cardinal-on-branch-within-patchwork-winter-quilt-892d70543a-892d70543a", "serp_qa_029"]</t>
        </is>
      </c>
      <c r="J97" s="3" t="inlineStr">
        <is>
          <t>["R6-ISS-029-PERS"]</t>
        </is>
      </c>
      <c r="K97" s="3" t="inlineStr">
        <is>
          <t>r6</t>
        </is>
      </c>
    </row>
    <row r="98" ht="42" customHeight="1">
      <c r="A98" s="2" t="inlineStr">
        <is>
          <t>jeminise.com+christmas-cardinal-on-branch-within-patchwork-winter-quilt-892d70543a-892d70543a</t>
        </is>
      </c>
      <c r="B98" s="2" t="inlineStr">
        <is>
          <t>D2</t>
        </is>
      </c>
      <c r="C98" s="2" t="n">
        <v>10</v>
      </c>
      <c r="D98" s="2" t="inlineStr">
        <is>
          <t>PARTIAL</t>
        </is>
      </c>
      <c r="E98" s="5" t="n">
        <f>IF(B98="I1",AVERAGEIF('QA_Images'!$A$2:$A$51,A98,'QA_Images'!$T$2:$T$51)/100,IF(D98="FULL",1,IF(D98="PARTIAL",0.5,IF(D98="FAIL",0,""))))</f>
        <v>0.5</v>
      </c>
      <c r="F98" s="5" t="n">
        <f>IF(E98="",0,C98*E98)</f>
        <v>5.0</v>
      </c>
      <c r="G98" s="5" t="n">
        <f>IF(B98="I1",20*AVERAGEIF('QA_Images'!$A$2:$A$51,A98,'QA_Images'!$U$2:$U$51)/100,IF(D98="NOT_CHECKED",0,C98))</f>
        <v>10</v>
      </c>
      <c r="H98" s="2" t="inlineStr">
        <is>
          <t>r6 description is customer-facing and removes process/QA wording. Position 29-30 incorrectly deny a live personalization field; other claims of a name field are unsupported where no live control was found.</t>
        </is>
      </c>
      <c r="I98" s="2" t="inlineStr">
        <is>
          <t>["evidence_batch_003_029", "https://jeminise.com/products/christmas-cardinal-on-branch-within-patchwork-winter-quilt-892d70543a-892d70543a", "serp_qa_029"]</t>
        </is>
      </c>
      <c r="J98" s="2" t="inlineStr">
        <is>
          <t>["R6-ISS-029-PERS"]</t>
        </is>
      </c>
      <c r="K98" s="2" t="inlineStr">
        <is>
          <t>r6</t>
        </is>
      </c>
    </row>
    <row r="99" ht="42" customHeight="1">
      <c r="A99" s="3" t="inlineStr">
        <is>
          <t>jeminise.com+christmas-cardinal-on-branch-within-patchwork-winter-quilt-892d70543a-892d70543a</t>
        </is>
      </c>
      <c r="B99" s="3" t="inlineStr">
        <is>
          <t>I1</t>
        </is>
      </c>
      <c r="C99" s="3" t="n">
        <v>20</v>
      </c>
      <c r="D99" s="3" t="inlineStr">
        <is>
          <t>DERIVED</t>
        </is>
      </c>
      <c r="E99" s="7" t="n">
        <f>IF(B99="I1",AVERAGEIF('QA_Images'!$A$2:$A$51,A99,'QA_Images'!$T$2:$T$51)/100,IF(D99="FULL",1,IF(D99="PARTIAL",0.5,IF(D99="FAIL",0,""))))</f>
        <v>1</v>
      </c>
      <c r="F99" s="7" t="n">
        <f>IF(E99="",0,C99*E99)</f>
        <v>20</v>
      </c>
      <c r="G99" s="7" t="n">
        <f>IF(B99="I1",20*AVERAGEIF('QA_Images'!$A$2:$A$51,A99,'QA_Images'!$U$2:$U$51)/100,IF(D99="NOT_CHECKED",0,C99))</f>
        <v>20</v>
      </c>
      <c r="H99" s="3" t="inlineStr">
        <is>
          <t>Derived from the 5 images belonging to this product only; all 20 image rubric points are passed.</t>
        </is>
      </c>
      <c r="I99" s="3" t="inlineStr">
        <is>
          <t>["evidence_batch_003_029", "https://jeminise.com/products/christmas-cardinal-on-branch-within-patchwork-winter-quilt-892d70543a-892d70543a", "serp_qa_029"]</t>
        </is>
      </c>
      <c r="J99" s="3" t="inlineStr">
        <is>
          <t>["R6-ISS-029-PERS"]</t>
        </is>
      </c>
      <c r="K99" s="3" t="inlineStr">
        <is>
          <t>r6</t>
        </is>
      </c>
    </row>
    <row r="100" ht="42" customHeight="1">
      <c r="A100" s="2" t="inlineStr">
        <is>
          <t>jeminise.com+christmas-cardinal-on-branch-within-patchwork-winter-quilt-892d70543a-892d70543a</t>
        </is>
      </c>
      <c r="B100" s="2" t="inlineStr">
        <is>
          <t>E1</t>
        </is>
      </c>
      <c r="C100" s="2" t="n">
        <v>5</v>
      </c>
      <c r="D100" s="2" t="inlineStr">
        <is>
          <t>FULL</t>
        </is>
      </c>
      <c r="E100" s="5" t="n">
        <f>IF(B100="I1",AVERAGEIF('QA_Images'!$A$2:$A$51,A100,'QA_Images'!$T$2:$T$51)/100,IF(D100="FULL",1,IF(D100="PARTIAL",0.5,IF(D100="FAIL",0,""))))</f>
        <v>1</v>
      </c>
      <c r="F100" s="5" t="n">
        <f>IF(E100="",0,C100*E100)</f>
        <v>5</v>
      </c>
      <c r="G100" s="5" t="n">
        <f>IF(B100="I1",20*AVERAGEIF('QA_Images'!$A$2:$A$51,A100,'QA_Images'!$U$2:$U$51)/100,IF(D100="NOT_CHECKED",0,C100))</f>
        <v>5</v>
      </c>
      <c r="H100" s="2" t="inlineStr">
        <is>
          <t>Product key, handle, ID, URL and evidence links reconcile to the locked inventory rows and live snapshot.</t>
        </is>
      </c>
      <c r="I100" s="2" t="inlineStr">
        <is>
          <t>["evidence_batch_003_029", "https://jeminise.com/products/christmas-cardinal-on-branch-within-patchwork-winter-quilt-892d70543a-892d70543a", "serp_qa_029"]</t>
        </is>
      </c>
      <c r="J100" s="2" t="inlineStr">
        <is>
          <t>["R6-ISS-029-PERS"]</t>
        </is>
      </c>
      <c r="K100" s="2" t="inlineStr">
        <is>
          <t>r6</t>
        </is>
      </c>
    </row>
    <row r="101" ht="42" customHeight="1">
      <c r="A101" s="3" t="inlineStr">
        <is>
          <t>jeminise.com+christmas-cardinal-perched-on-branch-within-wreath-patchwork-winter-quilt-9e7c0b5896-9e7c0b5896</t>
        </is>
      </c>
      <c r="B101" s="3" t="inlineStr">
        <is>
          <t>P1</t>
        </is>
      </c>
      <c r="C101" s="3" t="n">
        <v>15</v>
      </c>
      <c r="D101" s="3" t="inlineStr">
        <is>
          <t>FULL</t>
        </is>
      </c>
      <c r="E101" s="7" t="n">
        <f>IF(B101="I1",AVERAGEIF('QA_Images'!$A$2:$A$51,A101,'QA_Images'!$T$2:$T$51)/100,IF(D101="FULL",1,IF(D101="PARTIAL",0.5,IF(D101="FAIL",0,""))))</f>
        <v>1</v>
      </c>
      <c r="F101" s="7" t="n">
        <f>IF(E101="",0,C101*E101)</f>
        <v>15</v>
      </c>
      <c r="G101" s="7" t="n">
        <f>IF(B101="I1",20*AVERAGEIF('QA_Images'!$A$2:$A$51,A101,'QA_Images'!$U$2:$U$51)/100,IF(D101="NOT_CHECKED",0,C101))</f>
        <v>15</v>
      </c>
      <c r="H101" s="3" t="inlineStr">
        <is>
          <t>Live JSON id/handle, live H1 and all five current gallery images match the selected motif; personalization wording is not accepted without a live control.</t>
        </is>
      </c>
      <c r="I101" s="3" t="inlineStr">
        <is>
          <t>["evidence_batch_003_030", "https://jeminise.com/products/christmas-cardinal-perched-on-branch-within-wreath-patchwork-winter-quilt-9e7c0b5896-9e7c0b5896", "serp_qa_030"]</t>
        </is>
      </c>
      <c r="J101" s="3" t="inlineStr">
        <is>
          <t>["R6-ISS-030-PERS"]</t>
        </is>
      </c>
      <c r="K101" s="3" t="inlineStr">
        <is>
          <t>r6</t>
        </is>
      </c>
    </row>
    <row r="102" ht="42" customHeight="1">
      <c r="A102" s="2" t="inlineStr">
        <is>
          <t>jeminise.com+christmas-cardinal-perched-on-branch-within-wreath-patchwork-winter-quilt-9e7c0b5896-9e7c0b5896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5" t="n">
        <f>IF(B102="I1",AVERAGEIF('QA_Images'!$A$2:$A$51,A102,'QA_Images'!$T$2:$T$51)/100,IF(D102="FULL",1,IF(D102="PARTIAL",0.5,IF(D102="FAIL",0,""))))</f>
        <v>1</v>
      </c>
      <c r="F102" s="5" t="n">
        <f>IF(E102="",0,C102*E102)</f>
        <v>10</v>
      </c>
      <c r="G102" s="5" t="n">
        <f>IF(B102="I1",20*AVERAGEIF('QA_Images'!$A$2:$A$51,A102,'QA_Images'!$U$2:$U$51)/100,IF(D102="NOT_CHECKED",0,C102))</f>
        <v>10</v>
      </c>
      <c r="H102" s="2" t="inlineStr">
        <is>
          <t>Live JSON has 15 variants, five quilt sizes and three pillowcase choices. A live 1-text-input control is evidenced only at positions 21, 29 and 30; r6 personalization claims elsewhere are unsupported.</t>
        </is>
      </c>
      <c r="I102" s="2" t="inlineStr">
        <is>
          <t>["evidence_batch_003_030", "https://jeminise.com/products/christmas-cardinal-perched-on-branch-within-wreath-patchwork-winter-quilt-9e7c0b5896-9e7c0b5896", "serp_qa_030"]</t>
        </is>
      </c>
      <c r="J102" s="2" t="inlineStr">
        <is>
          <t>["R6-ISS-030-PERS"]</t>
        </is>
      </c>
      <c r="K102" s="2" t="inlineStr">
        <is>
          <t>r6</t>
        </is>
      </c>
    </row>
    <row r="103" ht="42" customHeight="1">
      <c r="A103" s="3" t="inlineStr">
        <is>
          <t>jeminise.com+christmas-cardinal-perched-on-branch-within-wreath-patchwork-winter-quilt-9e7c0b5896-9e7c0b5896</t>
        </is>
      </c>
      <c r="B103" s="3" t="inlineStr">
        <is>
          <t>K1</t>
        </is>
      </c>
      <c r="C103" s="3" t="n">
        <v>10</v>
      </c>
      <c r="D103" s="3" t="inlineStr">
        <is>
          <t>PARTIAL</t>
        </is>
      </c>
      <c r="E103" s="7" t="n">
        <f>IF(B103="I1",AVERAGEIF('QA_Images'!$A$2:$A$51,A103,'QA_Images'!$T$2:$T$51)/100,IF(D103="FULL",1,IF(D103="PARTIAL",0.5,IF(D103="FAIL",0,""))))</f>
        <v>0.5</v>
      </c>
      <c r="F103" s="7" t="n">
        <f>IF(E103="",0,C103*E103)</f>
        <v>5.0</v>
      </c>
      <c r="G103" s="7" t="n">
        <f>IF(B103="I1",20*AVERAGEIF('QA_Images'!$A$2:$A$51,A103,'QA_Images'!$U$2:$U$51)/100,IF(D103="NOT_CHECKED",0,C103))</f>
        <v>10</v>
      </c>
      <c r="H103" s="3" t="inlineStr">
        <is>
          <t>Two US-English SERP queries per product were read. Motif terms distinguish candy cane gingerbread, village gingerbread, black tree, vintage tree, birdhouse/cardinal and snowman counts.</t>
        </is>
      </c>
      <c r="I103" s="3" t="inlineStr">
        <is>
          <t>["evidence_batch_003_030", "https://jeminise.com/products/christmas-cardinal-perched-on-branch-within-wreath-patchwork-winter-quilt-9e7c0b5896-9e7c0b5896", "serp_qa_030"]</t>
        </is>
      </c>
      <c r="J103" s="3" t="inlineStr">
        <is>
          <t>["R6-ISS-030-PERS"]</t>
        </is>
      </c>
      <c r="K103" s="3" t="inlineStr">
        <is>
          <t>r6</t>
        </is>
      </c>
    </row>
    <row r="104" ht="42" customHeight="1">
      <c r="A104" s="2" t="inlineStr">
        <is>
          <t>jeminise.com+christmas-cardinal-perched-on-branch-within-wreath-patchwork-winter-quilt-9e7c0b5896-9e7c0b5896</t>
        </is>
      </c>
      <c r="B104" s="2" t="inlineStr">
        <is>
          <t>K2</t>
        </is>
      </c>
      <c r="C104" s="2" t="n">
        <v>5</v>
      </c>
      <c r="D104" s="2" t="inlineStr">
        <is>
          <t>PARTIAL</t>
        </is>
      </c>
      <c r="E104" s="5" t="n">
        <f>IF(B104="I1",AVERAGEIF('QA_Images'!$A$2:$A$51,A104,'QA_Images'!$T$2:$T$51)/100,IF(D104="FULL",1,IF(D104="PARTIAL",0.5,IF(D104="FAIL",0,""))))</f>
        <v>0.5</v>
      </c>
      <c r="F104" s="5" t="n">
        <f>IF(E104="",0,C104*E104)</f>
        <v>2.5</v>
      </c>
      <c r="G104" s="5" t="n">
        <f>IF(B104="I1",20*AVERAGEIF('QA_Images'!$A$2:$A$51,A104,'QA_Images'!$U$2:$U$51)/100,IF(D104="NOT_CHECKED",0,C104))</f>
        <v>5</v>
      </c>
      <c r="H104" s="2" t="inlineStr">
        <is>
          <t>SERP results support commercial/product intent, but comparator results were read without hard-pinned search-service locale.</t>
        </is>
      </c>
      <c r="I104" s="2" t="inlineStr">
        <is>
          <t>["evidence_batch_003_030", "https://jeminise.com/products/christmas-cardinal-perched-on-branch-within-wreath-patchwork-winter-quilt-9e7c0b5896-9e7c0b5896", "serp_qa_030"]</t>
        </is>
      </c>
      <c r="J104" s="2" t="inlineStr">
        <is>
          <t>["R6-ISS-030-PERS"]</t>
        </is>
      </c>
      <c r="K104" s="2" t="inlineStr">
        <is>
          <t>r6</t>
        </is>
      </c>
    </row>
    <row r="105" ht="42" customHeight="1">
      <c r="A105" s="3" t="inlineStr">
        <is>
          <t>jeminise.com+christmas-cardinal-perched-on-branch-within-wreath-patchwork-winter-quilt-9e7c0b5896-9e7c0b5896</t>
        </is>
      </c>
      <c r="B105" s="3" t="inlineStr">
        <is>
          <t>K3</t>
        </is>
      </c>
      <c r="C105" s="3" t="n">
        <v>5</v>
      </c>
      <c r="D105" s="3" t="inlineStr">
        <is>
          <t>PARTIAL</t>
        </is>
      </c>
      <c r="E105" s="7" t="n">
        <f>IF(B105="I1",AVERAGEIF('QA_Images'!$A$2:$A$51,A105,'QA_Images'!$T$2:$T$51)/100,IF(D105="FULL",1,IF(D105="PARTIAL",0.5,IF(D105="FAIL",0,""))))</f>
        <v>0.5</v>
      </c>
      <c r="F105" s="7" t="n">
        <f>IF(E105="",0,C105*E105)</f>
        <v>2.5</v>
      </c>
      <c r="G105" s="7" t="n">
        <f>IF(B105="I1",20*AVERAGEIF('QA_Images'!$A$2:$A$51,A105,'QA_Images'!$U$2:$U$51)/100,IF(D105="NOT_CHECKED",0,C105))</f>
        <v>5</v>
      </c>
      <c r="H105" s="3" t="inlineStr">
        <is>
          <t>No search-volume claim is made; evidence is SERP_ONLY and therefore only partial for demand validation.</t>
        </is>
      </c>
      <c r="I105" s="3" t="inlineStr">
        <is>
          <t>["evidence_batch_003_030", "https://jeminise.com/products/christmas-cardinal-perched-on-branch-within-wreath-patchwork-winter-quilt-9e7c0b5896-9e7c0b5896", "serp_qa_030"]</t>
        </is>
      </c>
      <c r="J105" s="3" t="inlineStr">
        <is>
          <t>["R6-ISS-030-PERS"]</t>
        </is>
      </c>
      <c r="K105" s="3" t="inlineStr">
        <is>
          <t>r6</t>
        </is>
      </c>
    </row>
    <row r="106" ht="42" customHeight="1">
      <c r="A106" s="2" t="inlineStr">
        <is>
          <t>jeminise.com+christmas-cardinal-perched-on-branch-within-wreath-patchwork-winter-quilt-9e7c0b5896-9e7c0b5896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5" t="n">
        <f>IF(B106="I1",AVERAGEIF('QA_Images'!$A$2:$A$51,A106,'QA_Images'!$T$2:$T$51)/100,IF(D106="FULL",1,IF(D106="PARTIAL",0.5,IF(D106="FAIL",0,""))))</f>
        <v>1</v>
      </c>
      <c r="F106" s="5" t="n">
        <f>IF(E106="",0,C106*E106)</f>
        <v>10</v>
      </c>
      <c r="G106" s="5" t="n">
        <f>IF(B106="I1",20*AVERAGEIF('QA_Images'!$A$2:$A$51,A106,'QA_Images'!$U$2:$U$51)/100,IF(D106="NOT_CHECKED",0,C106))</f>
        <v>10</v>
      </c>
      <c r="H106" s="2" t="inlineStr">
        <is>
          <t>Proposed SEO title is specific English copy; “Personalized” is not accepted for positions 22-28 without a live control.</t>
        </is>
      </c>
      <c r="I106" s="2" t="inlineStr">
        <is>
          <t>["evidence_batch_003_030", "https://jeminise.com/products/christmas-cardinal-perched-on-branch-within-wreath-patchwork-winter-quilt-9e7c0b5896-9e7c0b5896", "serp_qa_030"]</t>
        </is>
      </c>
      <c r="J106" s="2" t="inlineStr">
        <is>
          <t>["R6-ISS-030-PERS"]</t>
        </is>
      </c>
      <c r="K106" s="2" t="inlineStr">
        <is>
          <t>r6</t>
        </is>
      </c>
    </row>
    <row r="107" ht="42" customHeight="1">
      <c r="A107" s="3" t="inlineStr">
        <is>
          <t>jeminise.com+christmas-cardinal-perched-on-branch-within-wreath-patchwork-winter-quilt-9e7c0b5896-9e7c0b5896</t>
        </is>
      </c>
      <c r="B107" s="3" t="inlineStr">
        <is>
          <t>T2</t>
        </is>
      </c>
      <c r="C107" s="3" t="n">
        <v>5</v>
      </c>
      <c r="D107" s="3" t="inlineStr">
        <is>
          <t>FULL</t>
        </is>
      </c>
      <c r="E107" s="7" t="n">
        <f>IF(B107="I1",AVERAGEIF('QA_Images'!$A$2:$A$51,A107,'QA_Images'!$T$2:$T$51)/100,IF(D107="FULL",1,IF(D107="PARTIAL",0.5,IF(D107="FAIL",0,""))))</f>
        <v>1</v>
      </c>
      <c r="F107" s="7" t="n">
        <f>IF(E107="",0,C107*E107)</f>
        <v>5</v>
      </c>
      <c r="G107" s="7" t="n">
        <f>IF(B107="I1",20*AVERAGEIF('QA_Images'!$A$2:$A$51,A107,'QA_Images'!$U$2:$U$51)/100,IF(D107="NOT_CHECKED",0,C107))</f>
        <v>5</v>
      </c>
      <c r="H107" s="3" t="inlineStr">
        <is>
          <t>Proposed H1/title intent is distinct and avoids the live encoding/truncation issue.</t>
        </is>
      </c>
      <c r="I107" s="3" t="inlineStr">
        <is>
          <t>["evidence_batch_003_030", "https://jeminise.com/products/christmas-cardinal-perched-on-branch-within-wreath-patchwork-winter-quilt-9e7c0b5896-9e7c0b5896", "serp_qa_030"]</t>
        </is>
      </c>
      <c r="J107" s="3" t="inlineStr">
        <is>
          <t>["R6-ISS-030-PERS"]</t>
        </is>
      </c>
      <c r="K107" s="3" t="inlineStr">
        <is>
          <t>r6</t>
        </is>
      </c>
    </row>
    <row r="108" ht="42" customHeight="1">
      <c r="A108" s="2" t="inlineStr">
        <is>
          <t>jeminise.com+christmas-cardinal-perched-on-branch-within-wreath-patchwork-winter-quilt-9e7c0b5896-9e7c0b5896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5" t="n">
        <f>IF(B108="I1",AVERAGEIF('QA_Images'!$A$2:$A$51,A108,'QA_Images'!$T$2:$T$51)/100,IF(D108="FULL",1,IF(D108="PARTIAL",0.5,IF(D108="FAIL",0,""))))</f>
        <v>1</v>
      </c>
      <c r="F108" s="5" t="n">
        <f>IF(E108="",0,C108*E108)</f>
        <v>5</v>
      </c>
      <c r="G108" s="5" t="n">
        <f>IF(B108="I1",20*AVERAGEIF('QA_Images'!$A$2:$A$51,A108,'QA_Images'!$U$2:$U$51)/100,IF(D108="NOT_CHECKED",0,C108))</f>
        <v>5</v>
      </c>
      <c r="H108" s="2" t="inlineStr">
        <is>
          <t>Proposed metadata is complete, customer-facing and supported by the motif evidence; 145-165 is an editorial target only.</t>
        </is>
      </c>
      <c r="I108" s="2" t="inlineStr">
        <is>
          <t>["evidence_batch_003_030", "https://jeminise.com/products/christmas-cardinal-perched-on-branch-within-wreath-patchwork-winter-quilt-9e7c0b5896-9e7c0b5896", "serp_qa_030"]</t>
        </is>
      </c>
      <c r="J108" s="2" t="inlineStr">
        <is>
          <t>["R6-ISS-030-PERS"]</t>
        </is>
      </c>
      <c r="K108" s="2" t="inlineStr">
        <is>
          <t>r6</t>
        </is>
      </c>
    </row>
    <row r="109" ht="42" customHeight="1">
      <c r="A109" s="3" t="inlineStr">
        <is>
          <t>jeminise.com+christmas-cardinal-perched-on-branch-within-wreath-patchwork-winter-quilt-9e7c0b5896-9e7c0b5896</t>
        </is>
      </c>
      <c r="B109" s="3" t="inlineStr">
        <is>
          <t>D2</t>
        </is>
      </c>
      <c r="C109" s="3" t="n">
        <v>10</v>
      </c>
      <c r="D109" s="3" t="inlineStr">
        <is>
          <t>PARTIAL</t>
        </is>
      </c>
      <c r="E109" s="7" t="n">
        <f>IF(B109="I1",AVERAGEIF('QA_Images'!$A$2:$A$51,A109,'QA_Images'!$T$2:$T$51)/100,IF(D109="FULL",1,IF(D109="PARTIAL",0.5,IF(D109="FAIL",0,""))))</f>
        <v>0.5</v>
      </c>
      <c r="F109" s="7" t="n">
        <f>IF(E109="",0,C109*E109)</f>
        <v>5.0</v>
      </c>
      <c r="G109" s="7" t="n">
        <f>IF(B109="I1",20*AVERAGEIF('QA_Images'!$A$2:$A$51,A109,'QA_Images'!$U$2:$U$51)/100,IF(D109="NOT_CHECKED",0,C109))</f>
        <v>10</v>
      </c>
      <c r="H109" s="3" t="inlineStr">
        <is>
          <t>r6 description is customer-facing and removes process/QA wording. Position 29-30 incorrectly deny a live personalization field; other claims of a name field are unsupported where no live control was found.</t>
        </is>
      </c>
      <c r="I109" s="3" t="inlineStr">
        <is>
          <t>["evidence_batch_003_030", "https://jeminise.com/products/christmas-cardinal-perched-on-branch-within-wreath-patchwork-winter-quilt-9e7c0b5896-9e7c0b5896", "serp_qa_030"]</t>
        </is>
      </c>
      <c r="J109" s="3" t="inlineStr">
        <is>
          <t>["R6-ISS-030-PERS"]</t>
        </is>
      </c>
      <c r="K109" s="3" t="inlineStr">
        <is>
          <t>r6</t>
        </is>
      </c>
    </row>
    <row r="110" ht="42" customHeight="1">
      <c r="A110" s="2" t="inlineStr">
        <is>
          <t>jeminise.com+christmas-cardinal-perched-on-branch-within-wreath-patchwork-winter-quilt-9e7c0b5896-9e7c0b5896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5" t="n">
        <f>IF(B110="I1",AVERAGEIF('QA_Images'!$A$2:$A$51,A110,'QA_Images'!$T$2:$T$51)/100,IF(D110="FULL",1,IF(D110="PARTIAL",0.5,IF(D110="FAIL",0,""))))</f>
        <v>1</v>
      </c>
      <c r="F110" s="5" t="n">
        <f>IF(E110="",0,C110*E110)</f>
        <v>20</v>
      </c>
      <c r="G110" s="5" t="n">
        <f>IF(B110="I1",20*AVERAGEIF('QA_Images'!$A$2:$A$51,A110,'QA_Images'!$U$2:$U$51)/100,IF(D110="NOT_CHECKED",0,C110))</f>
        <v>20</v>
      </c>
      <c r="H110" s="2" t="inlineStr">
        <is>
          <t>Derived from the 5 images belonging to this product only; all 20 image rubric points are passed.</t>
        </is>
      </c>
      <c r="I110" s="2" t="inlineStr">
        <is>
          <t>["evidence_batch_003_030", "https://jeminise.com/products/christmas-cardinal-perched-on-branch-within-wreath-patchwork-winter-quilt-9e7c0b5896-9e7c0b5896", "serp_qa_030"]</t>
        </is>
      </c>
      <c r="J110" s="2" t="inlineStr">
        <is>
          <t>["R6-ISS-030-PERS"]</t>
        </is>
      </c>
      <c r="K110" s="2" t="inlineStr">
        <is>
          <t>r6</t>
        </is>
      </c>
    </row>
    <row r="111" ht="42" customHeight="1">
      <c r="A111" s="3" t="inlineStr">
        <is>
          <t>jeminise.com+christmas-cardinal-perched-on-branch-within-wreath-patchwork-winter-quilt-9e7c0b5896-9e7c0b5896</t>
        </is>
      </c>
      <c r="B111" s="3" t="inlineStr">
        <is>
          <t>E1</t>
        </is>
      </c>
      <c r="C111" s="3" t="n">
        <v>5</v>
      </c>
      <c r="D111" s="3" t="inlineStr">
        <is>
          <t>FULL</t>
        </is>
      </c>
      <c r="E111" s="7" t="n">
        <f>IF(B111="I1",AVERAGEIF('QA_Images'!$A$2:$A$51,A111,'QA_Images'!$T$2:$T$51)/100,IF(D111="FULL",1,IF(D111="PARTIAL",0.5,IF(D111="FAIL",0,""))))</f>
        <v>1</v>
      </c>
      <c r="F111" s="7" t="n">
        <f>IF(E111="",0,C111*E111)</f>
        <v>5</v>
      </c>
      <c r="G111" s="7" t="n">
        <f>IF(B111="I1",20*AVERAGEIF('QA_Images'!$A$2:$A$51,A111,'QA_Images'!$U$2:$U$51)/100,IF(D111="NOT_CHECKED",0,C111))</f>
        <v>5</v>
      </c>
      <c r="H111" s="3" t="inlineStr">
        <is>
          <t>Product key, handle, ID, URL and evidence links reconcile to the locked inventory rows and live snapshot.</t>
        </is>
      </c>
      <c r="I111" s="3" t="inlineStr">
        <is>
          <t>["evidence_batch_003_030", "https://jeminise.com/products/christmas-cardinal-perched-on-branch-within-wreath-patchwork-winter-quilt-9e7c0b5896-9e7c0b5896", "serp_qa_030"]</t>
        </is>
      </c>
      <c r="J111" s="3" t="inlineStr">
        <is>
          <t>["R6-ISS-030-PERS"]</t>
        </is>
      </c>
      <c r="K111" s="3" t="inlineStr">
        <is>
          <t>r6</t>
        </is>
      </c>
    </row>
  </sheetData>
  <autoFilter ref="A1:K111"/>
  <printOptions horizontalCentered="0"/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 fitToPage="1"/>
  </sheetPr>
  <dimension ref="A1:AA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38" customWidth="1" min="3" max="3"/>
    <col width="38" customWidth="1" min="4" max="4"/>
    <col width="20" customWidth="1" min="5" max="5"/>
    <col width="38" customWidth="1" min="6" max="6"/>
    <col width="12" customWidth="1" min="7" max="7"/>
    <col width="16" customWidth="1" min="8" max="8"/>
    <col width="24" customWidth="1" min="9" max="9"/>
    <col width="24" customWidth="1" min="10" max="10"/>
    <col width="42" customWidth="1" min="11" max="11"/>
    <col width="42" customWidth="1" min="12" max="12"/>
    <col width="24" customWidth="1" min="13" max="13"/>
    <col width="12" customWidth="1" min="14" max="14"/>
    <col width="42" customWidth="1" min="15" max="15"/>
    <col width="12" customWidth="1" min="16" max="16"/>
    <col width="12" customWidth="1" min="17" max="17"/>
    <col width="12" customWidth="1" min="18" max="18"/>
    <col width="12" customWidth="1" min="19" max="19"/>
    <col width="24" customWidth="1" min="20" max="20"/>
    <col width="24" customWidth="1" min="21" max="21"/>
    <col width="21" customWidth="1" min="22" max="22"/>
    <col width="24" customWidth="1" min="23" max="23"/>
    <col width="24" customWidth="1" min="24" max="24"/>
    <col width="42" customWidth="1" min="25" max="25"/>
    <col width="42" customWidth="1" min="26" max="26"/>
    <col width="11" customWidth="1" min="27" max="27"/>
  </cols>
  <sheetData>
    <row r="1" ht="32" customHeight="1">
      <c r="A1" s="9" t="inlineStr">
        <is>
          <t>product_key</t>
        </is>
      </c>
      <c r="B1" s="9" t="inlineStr">
        <is>
          <t>qa_image_key</t>
        </is>
      </c>
      <c r="C1" s="9" t="inlineStr">
        <is>
          <t>image_url_source</t>
        </is>
      </c>
      <c r="D1" s="9" t="inlineStr">
        <is>
          <t>image_url_workbook</t>
        </is>
      </c>
      <c r="E1" s="9" t="inlineStr">
        <is>
          <t>media_id</t>
        </is>
      </c>
      <c r="F1" s="9" t="inlineStr">
        <is>
          <t>workbook_image_id</t>
        </is>
      </c>
      <c r="G1" s="9" t="inlineStr">
        <is>
          <t>variant</t>
        </is>
      </c>
      <c r="H1" s="9" t="inlineStr">
        <is>
          <t>image_location</t>
        </is>
      </c>
      <c r="I1" s="9" t="inlineStr">
        <is>
          <t>check_method</t>
        </is>
      </c>
      <c r="J1" s="9" t="inlineStr">
        <is>
          <t>checked_at</t>
        </is>
      </c>
      <c r="K1" s="9" t="inlineStr">
        <is>
          <t>qa_observation</t>
        </is>
      </c>
      <c r="L1" s="9" t="inlineStr">
        <is>
          <t>submitted_observation</t>
        </is>
      </c>
      <c r="M1" s="9" t="inlineStr">
        <is>
          <t>storefront_alt_observed</t>
        </is>
      </c>
      <c r="N1" s="9" t="inlineStr">
        <is>
          <t>alt_action</t>
        </is>
      </c>
      <c r="O1" s="9" t="inlineStr">
        <is>
          <t>alt_effective</t>
        </is>
      </c>
      <c r="P1" s="9" t="inlineStr">
        <is>
          <t>IM1</t>
        </is>
      </c>
      <c r="Q1" s="9" t="inlineStr">
        <is>
          <t>IM2</t>
        </is>
      </c>
      <c r="R1" s="9" t="inlineStr">
        <is>
          <t>IM3</t>
        </is>
      </c>
      <c r="S1" s="9" t="inlineStr">
        <is>
          <t>IM4</t>
        </is>
      </c>
      <c r="T1" s="9" t="inlineStr">
        <is>
          <t>image_verified_points</t>
        </is>
      </c>
      <c r="U1" s="9" t="inlineStr">
        <is>
          <t>image_assessed_weight</t>
        </is>
      </c>
      <c r="V1" s="9" t="inlineStr">
        <is>
          <t>image_final_score</t>
        </is>
      </c>
      <c r="W1" s="9" t="inlineStr">
        <is>
          <t>image_score_lower_bound</t>
        </is>
      </c>
      <c r="X1" s="9" t="inlineStr">
        <is>
          <t>image_score_upper_bound</t>
        </is>
      </c>
      <c r="Y1" s="9" t="inlineStr">
        <is>
          <t>issue_refs</t>
        </is>
      </c>
      <c r="Z1" s="9" t="inlineStr">
        <is>
          <t>evidence_refs</t>
        </is>
      </c>
      <c r="AA1" s="9" t="inlineStr">
        <is>
          <t>revision</t>
        </is>
      </c>
    </row>
    <row r="2" ht="66" customHeight="1">
      <c r="A2" s="2" t="inlineStr">
        <is>
          <t>jeminise.com+christmas-bedding-quilt-soft-microfiber-holiday-bedsprea-design-05</t>
        </is>
      </c>
      <c r="B2" s="2" t="inlineStr">
        <is>
          <t>jeminise.com+christmas-bedding-quilt-soft-microfiber-holiday-bedsprea-design-05|media:47934032314567|pos:1|url:b08a03300b49</t>
        </is>
      </c>
      <c r="C2" s="4" t="inlineStr">
        <is>
          <t>https://cdn.shopify.com/s/files/1/0792/5098/1063/files/7db6811c66637965300a2e7b9c74cbf013694f223ecb0c00a52fba2970fa6e22.jpg?v=1787239304</t>
        </is>
      </c>
      <c r="D2" s="4" t="inlineStr">
        <is>
          <t>https://cdn.shopify.com/s/files/1/0792/5098/1063/files/7db6811c66637965300a2e7b9c74cbf013694f223ecb0c00a52fba2970fa6e22.jpg?v=1787239304</t>
        </is>
      </c>
      <c r="E2" s="2" t="inlineStr">
        <is>
          <t>47934032314567</t>
        </is>
      </c>
      <c r="F2" s="4" t="inlineStr">
        <is>
          <t>https://cdn.shopify.com/s/files/1/0792/5098/1063/files/7db6811c66637965300a2e7b9c74cbf013694f223ecb0c00a52fba2970fa6e22.jpg?v=1787239304</t>
        </is>
      </c>
      <c r="G2" s="2" t="n"/>
      <c r="H2" s="2" t="inlineStr">
        <is>
          <t>GALLERY</t>
        </is>
      </c>
      <c r="I2" s="2" t="inlineStr">
        <is>
          <t>DIRECT_URL_DOWNLOAD_1200PX + VISUAL_READ</t>
        </is>
      </c>
      <c r="J2" s="2" t="inlineStr">
        <is>
          <t>2026-09-09T12:00:00+07:00</t>
        </is>
      </c>
      <c r="K2" s="2" t="inlineStr">
        <is>
          <t>Front bedroom mockup showing the primary quilt motif and coordinated shams.</t>
        </is>
      </c>
      <c r="L2" s="2" t="inlineStr">
        <is>
          <t>Gingerbread candy cane Christmas quilt bed mockup with cream background, green border and matching shams.</t>
        </is>
      </c>
      <c r="M2" s="2" t="inlineStr">
        <is>
          <t>Christmas Bedding Quilt – Soft Microfiber Holiday Bedspread, Lightweight Winter Bedding, Cozy Xmas Quilts for Couch, Bedroom &amp; Seasonal Home Decorations (Christmas Quilt-DS05)</t>
        </is>
      </c>
      <c r="N2" s="2" t="inlineStr">
        <is>
          <t>SET</t>
        </is>
      </c>
      <c r="O2" s="2" t="inlineStr">
        <is>
          <t>Gingerbread candy cane Christmas quilt set on bed</t>
        </is>
      </c>
      <c r="P2" s="2" t="inlineStr">
        <is>
          <t>FULL</t>
        </is>
      </c>
      <c r="Q2" s="2" t="inlineStr">
        <is>
          <t>FULL</t>
        </is>
      </c>
      <c r="R2" s="2" t="inlineStr">
        <is>
          <t>FULL</t>
        </is>
      </c>
      <c r="S2" s="2" t="inlineStr">
        <is>
          <t>FULL</t>
        </is>
      </c>
      <c r="T2" s="5" t="n">
        <f>IF(P2="FULL",40,IF(P2="PARTIAL",40/2,0))+IF(Q2="FULL",30,IF(Q2="PARTIAL",30/2,0))+IF(R2="FULL",20,IF(R2="PARTIAL",20/2,0))+IF(S2="FULL",10,IF(S2="PARTIAL",10/2,0))</f>
        <v>100</v>
      </c>
      <c r="U2" s="5" t="n">
        <f>IF(P2="NOT_CHECKED",0,40)+IF(Q2="NOT_CHECKED",0,30)+IF(R2="NOT_CHECKED",0,20)+IF(S2="NOT_CHECKED",0,10)</f>
        <v>100</v>
      </c>
      <c r="V2" s="5" t="n">
        <f>IF(U2=100,T2,"")</f>
        <v>100</v>
      </c>
      <c r="W2" s="5" t="n">
        <f>T2</f>
        <v>100</v>
      </c>
      <c r="X2" s="5" t="n">
        <f>T2+(100-U2)</f>
        <v>100</v>
      </c>
      <c r="Y2" s="2" t="inlineStr">
        <is>
          <t>[]</t>
        </is>
      </c>
      <c r="Z2" s="2" t="inlineStr">
        <is>
          <t>["evidence_batch_003_021", "https://jeminise.com/products/christmas-bedding-quilt-soft-microfiber-holiday-bedsprea-design-05", "https://cdn.shopify.com/s/files/1/0792/5098/1063/files/7db6811c66637965300a2e7b9c74cbf013694f223ecb0c00a52fba2970fa6e22.jpg?v=1787239304"]</t>
        </is>
      </c>
      <c r="AA2" s="2" t="inlineStr">
        <is>
          <t>r6</t>
        </is>
      </c>
    </row>
    <row r="3" ht="66" customHeight="1">
      <c r="A3" s="3" t="inlineStr">
        <is>
          <t>jeminise.com+christmas-bedding-quilt-soft-microfiber-holiday-bedsprea-design-05</t>
        </is>
      </c>
      <c r="B3" s="3" t="inlineStr">
        <is>
          <t>jeminise.com+christmas-bedding-quilt-soft-microfiber-holiday-bedsprea-design-05|media:47934032347335|pos:2|url:e85b6a4b3f8b</t>
        </is>
      </c>
      <c r="C3" s="4" t="inlineStr">
        <is>
          <t>https://cdn.shopify.com/s/files/1/0792/5098/1063/files/16c248973ae48e0a9cc4448f2002965ba9049a188545c2818d9f66e2db24f2a5.jpg?v=1787239304</t>
        </is>
      </c>
      <c r="D3" s="4" t="inlineStr">
        <is>
          <t>https://cdn.shopify.com/s/files/1/0792/5098/1063/files/16c248973ae48e0a9cc4448f2002965ba9049a188545c2818d9f66e2db24f2a5.jpg?v=1787239304</t>
        </is>
      </c>
      <c r="E3" s="3" t="inlineStr">
        <is>
          <t>47934032347335</t>
        </is>
      </c>
      <c r="F3" s="4" t="inlineStr">
        <is>
          <t>https://cdn.shopify.com/s/files/1/0792/5098/1063/files/16c248973ae48e0a9cc4448f2002965ba9049a188545c2818d9f66e2db24f2a5.jpg?v=1787239304</t>
        </is>
      </c>
      <c r="G3" s="3" t="n"/>
      <c r="H3" s="3" t="inlineStr">
        <is>
          <t>GALLERY</t>
        </is>
      </c>
      <c r="I3" s="3" t="inlineStr">
        <is>
          <t>DIRECT_URL_DOWNLOAD_1200PX + VISUAL_READ</t>
        </is>
      </c>
      <c r="J3" s="3" t="inlineStr">
        <is>
          <t>2026-09-09T12:00:00+07:00</t>
        </is>
      </c>
      <c r="K3" s="3" t="inlineStr">
        <is>
          <t>Angled bedroom mockup confirming the same motif across the set.</t>
        </is>
      </c>
      <c r="L3" s="3" t="inlineStr">
        <is>
          <t>Bedroom mockup showing gingerbread candy cane quilt with coordinated pillow shams.</t>
        </is>
      </c>
      <c r="M3" s="3" t="inlineStr">
        <is>
          <t>Christmas Bedding Quilt – Soft Microfiber Holiday Bedspread, Lightweight Winter Bedding, Cozy Xmas Quilts for Couch, Bedroom &amp; Seasonal Home Decorations (Christmas Quilt-DS05)</t>
        </is>
      </c>
      <c r="N3" s="3" t="inlineStr">
        <is>
          <t>SET</t>
        </is>
      </c>
      <c r="O3" s="3" t="inlineStr">
        <is>
          <t>Gingerbread candy cane quilt bedroom mockup</t>
        </is>
      </c>
      <c r="P3" s="3" t="inlineStr">
        <is>
          <t>FULL</t>
        </is>
      </c>
      <c r="Q3" s="3" t="inlineStr">
        <is>
          <t>FULL</t>
        </is>
      </c>
      <c r="R3" s="3" t="inlineStr">
        <is>
          <t>FULL</t>
        </is>
      </c>
      <c r="S3" s="3" t="inlineStr">
        <is>
          <t>FULL</t>
        </is>
      </c>
      <c r="T3" s="7" t="n">
        <f>IF(P3="FULL",40,IF(P3="PARTIAL",40/2,0))+IF(Q3="FULL",30,IF(Q3="PARTIAL",30/2,0))+IF(R3="FULL",20,IF(R3="PARTIAL",20/2,0))+IF(S3="FULL",10,IF(S3="PARTIAL",10/2,0))</f>
        <v>100</v>
      </c>
      <c r="U3" s="7" t="n">
        <f>IF(P3="NOT_CHECKED",0,40)+IF(Q3="NOT_CHECKED",0,30)+IF(R3="NOT_CHECKED",0,20)+IF(S3="NOT_CHECKED",0,10)</f>
        <v>100</v>
      </c>
      <c r="V3" s="7" t="n">
        <f>IF(U3=100,T3,"")</f>
        <v>100</v>
      </c>
      <c r="W3" s="7" t="n">
        <f>T3</f>
        <v>100</v>
      </c>
      <c r="X3" s="7" t="n">
        <f>T3+(100-U3)</f>
        <v>100</v>
      </c>
      <c r="Y3" s="3" t="inlineStr">
        <is>
          <t>[]</t>
        </is>
      </c>
      <c r="Z3" s="3" t="inlineStr">
        <is>
          <t>["evidence_batch_003_021", "https://jeminise.com/products/christmas-bedding-quilt-soft-microfiber-holiday-bedsprea-design-05", "https://cdn.shopify.com/s/files/1/0792/5098/1063/files/16c248973ae48e0a9cc4448f2002965ba9049a188545c2818d9f66e2db24f2a5.jpg?v=1787239304"]</t>
        </is>
      </c>
      <c r="AA3" s="3" t="inlineStr">
        <is>
          <t>r6</t>
        </is>
      </c>
    </row>
    <row r="4" ht="66" customHeight="1">
      <c r="A4" s="2" t="inlineStr">
        <is>
          <t>jeminise.com+christmas-bedding-quilt-soft-microfiber-holiday-bedsprea-design-05</t>
        </is>
      </c>
      <c r="B4" s="2" t="inlineStr">
        <is>
          <t>jeminise.com+christmas-bedding-quilt-soft-microfiber-holiday-bedsprea-design-05|media:47934032380103|pos:3|url:29d666c5e011</t>
        </is>
      </c>
      <c r="C4" s="4" t="inlineStr">
        <is>
          <t>https://cdn.shopify.com/s/files/1/0792/5098/1063/files/323ea5e3469590e61df70a45da30caeee15b2197d409a07ec242f1425c067466.jpg?v=1787239304</t>
        </is>
      </c>
      <c r="D4" s="4" t="inlineStr">
        <is>
          <t>https://cdn.shopify.com/s/files/1/0792/5098/1063/files/323ea5e3469590e61df70a45da30caeee15b2197d409a07ec242f1425c067466.jpg?v=1787239304</t>
        </is>
      </c>
      <c r="E4" s="2" t="inlineStr">
        <is>
          <t>47934032380103</t>
        </is>
      </c>
      <c r="F4" s="4" t="inlineStr">
        <is>
          <t>https://cdn.shopify.com/s/files/1/0792/5098/1063/files/323ea5e3469590e61df70a45da30caeee15b2197d409a07ec242f1425c067466.jpg?v=1787239304</t>
        </is>
      </c>
      <c r="G4" s="2" t="n"/>
      <c r="H4" s="2" t="inlineStr">
        <is>
          <t>GALLERY</t>
        </is>
      </c>
      <c r="I4" s="2" t="inlineStr">
        <is>
          <t>DIRECT_URL_DOWNLOAD_1200PX + VISUAL_READ</t>
        </is>
      </c>
      <c r="J4" s="2" t="inlineStr">
        <is>
          <t>2026-09-09T12:00:00+07:00</t>
        </is>
      </c>
      <c r="K4" s="2" t="inlineStr">
        <is>
          <t>Isolated pillow sham showing the coordinated printed artwork.</t>
        </is>
      </c>
      <c r="L4" s="2" t="inlineStr">
        <is>
          <t>Close-up of gingerbread face, green bow, candy cane stripes and visible quilt stitching.</t>
        </is>
      </c>
      <c r="M4" s="2" t="inlineStr">
        <is>
          <t>Christmas Bedding Quilt – Soft Microfiber Holiday Bedspread, Lightweight Winter Bedding, Cozy Xmas Quilts for Couch, Bedroom &amp; Seasonal Home Decorations (Christmas Quilt-DS05)</t>
        </is>
      </c>
      <c r="N4" s="2" t="inlineStr">
        <is>
          <t>SET</t>
        </is>
      </c>
      <c r="O4" s="2" t="inlineStr">
        <is>
          <t>Gingerbread candy cane quilt stitching close-up</t>
        </is>
      </c>
      <c r="P4" s="2" t="inlineStr">
        <is>
          <t>FULL</t>
        </is>
      </c>
      <c r="Q4" s="2" t="inlineStr">
        <is>
          <t>FULL</t>
        </is>
      </c>
      <c r="R4" s="2" t="inlineStr">
        <is>
          <t>FULL</t>
        </is>
      </c>
      <c r="S4" s="2" t="inlineStr">
        <is>
          <t>FULL</t>
        </is>
      </c>
      <c r="T4" s="5" t="n">
        <f>IF(P4="FULL",40,IF(P4="PARTIAL",40/2,0))+IF(Q4="FULL",30,IF(Q4="PARTIAL",30/2,0))+IF(R4="FULL",20,IF(R4="PARTIAL",20/2,0))+IF(S4="FULL",10,IF(S4="PARTIAL",10/2,0))</f>
        <v>100</v>
      </c>
      <c r="U4" s="5" t="n">
        <f>IF(P4="NOT_CHECKED",0,40)+IF(Q4="NOT_CHECKED",0,30)+IF(R4="NOT_CHECKED",0,20)+IF(S4="NOT_CHECKED",0,10)</f>
        <v>100</v>
      </c>
      <c r="V4" s="5" t="n">
        <f>IF(U4=100,T4,"")</f>
        <v>100</v>
      </c>
      <c r="W4" s="5" t="n">
        <f>T4</f>
        <v>100</v>
      </c>
      <c r="X4" s="5" t="n">
        <f>T4+(100-U4)</f>
        <v>100</v>
      </c>
      <c r="Y4" s="2" t="inlineStr">
        <is>
          <t>[]</t>
        </is>
      </c>
      <c r="Z4" s="2" t="inlineStr">
        <is>
          <t>["evidence_batch_003_021", "https://jeminise.com/products/christmas-bedding-quilt-soft-microfiber-holiday-bedsprea-design-05", "https://cdn.shopify.com/s/files/1/0792/5098/1063/files/323ea5e3469590e61df70a45da30caeee15b2197d409a07ec242f1425c067466.jpg?v=1787239304"]</t>
        </is>
      </c>
      <c r="AA4" s="2" t="inlineStr">
        <is>
          <t>r6</t>
        </is>
      </c>
    </row>
    <row r="5" ht="66" customHeight="1">
      <c r="A5" s="3" t="inlineStr">
        <is>
          <t>jeminise.com+christmas-bedding-quilt-soft-microfiber-holiday-bedsprea-design-05</t>
        </is>
      </c>
      <c r="B5" s="3" t="inlineStr">
        <is>
          <t>jeminise.com+christmas-bedding-quilt-soft-microfiber-holiday-bedsprea-design-05|media:47934032412871|pos:4|url:619738ede07a</t>
        </is>
      </c>
      <c r="C5" s="4" t="inlineStr">
        <is>
          <t>https://cdn.shopify.com/s/files/1/0792/5098/1063/files/a9d73f05a5624e29d69e9f45c9035fc8ce6d17dce0280be079f2697dfabb6a95.jpg?v=1787239304</t>
        </is>
      </c>
      <c r="D5" s="4" t="inlineStr">
        <is>
          <t>https://cdn.shopify.com/s/files/1/0792/5098/1063/files/a9d73f05a5624e29d69e9f45c9035fc8ce6d17dce0280be079f2697dfabb6a95.jpg?v=1787239304</t>
        </is>
      </c>
      <c r="E5" s="3" t="inlineStr">
        <is>
          <t>47934032412871</t>
        </is>
      </c>
      <c r="F5" s="4" t="inlineStr">
        <is>
          <t>https://cdn.shopify.com/s/files/1/0792/5098/1063/files/a9d73f05a5624e29d69e9f45c9035fc8ce6d17dce0280be079f2697dfabb6a95.jpg?v=1787239304</t>
        </is>
      </c>
      <c r="G5" s="3" t="n"/>
      <c r="H5" s="3" t="inlineStr">
        <is>
          <t>GALLERY</t>
        </is>
      </c>
      <c r="I5" s="3" t="inlineStr">
        <is>
          <t>DIRECT_URL_DOWNLOAD_1200PX + VISUAL_READ</t>
        </is>
      </c>
      <c r="J5" s="3" t="inlineStr">
        <is>
          <t>2026-09-09T12:00:00+07:00</t>
        </is>
      </c>
      <c r="K5" s="3" t="inlineStr">
        <is>
          <t>Close-up of printed surface and visible quilting texture.</t>
        </is>
      </c>
      <c r="L5" s="3" t="inlineStr">
        <is>
          <t>Matching pillow sham with gingerbread cookie, candy cane and decorative green border.</t>
        </is>
      </c>
      <c r="M5" s="3" t="inlineStr">
        <is>
          <t>Christmas Bedding Quilt – Soft Microfiber Holiday Bedspread, Lightweight Winter Bedding, Cozy Xmas Quilts for Couch, Bedroom &amp; Seasonal Home Decorations (Christmas Quilt-DS05)</t>
        </is>
      </c>
      <c r="N5" s="3" t="inlineStr">
        <is>
          <t>SET</t>
        </is>
      </c>
      <c r="O5" s="3" t="inlineStr">
        <is>
          <t>Gingerbread candy cane Christmas pillow sham</t>
        </is>
      </c>
      <c r="P5" s="3" t="inlineStr">
        <is>
          <t>FULL</t>
        </is>
      </c>
      <c r="Q5" s="3" t="inlineStr">
        <is>
          <t>FULL</t>
        </is>
      </c>
      <c r="R5" s="3" t="inlineStr">
        <is>
          <t>FULL</t>
        </is>
      </c>
      <c r="S5" s="3" t="inlineStr">
        <is>
          <t>FULL</t>
        </is>
      </c>
      <c r="T5" s="7" t="n">
        <f>IF(P5="FULL",40,IF(P5="PARTIAL",40/2,0))+IF(Q5="FULL",30,IF(Q5="PARTIAL",30/2,0))+IF(R5="FULL",20,IF(R5="PARTIAL",20/2,0))+IF(S5="FULL",10,IF(S5="PARTIAL",10/2,0))</f>
        <v>100</v>
      </c>
      <c r="U5" s="7" t="n">
        <f>IF(P5="NOT_CHECKED",0,40)+IF(Q5="NOT_CHECKED",0,30)+IF(R5="NOT_CHECKED",0,20)+IF(S5="NOT_CHECKED",0,10)</f>
        <v>100</v>
      </c>
      <c r="V5" s="7" t="n">
        <f>IF(U5=100,T5,"")</f>
        <v>100</v>
      </c>
      <c r="W5" s="7" t="n">
        <f>T5</f>
        <v>100</v>
      </c>
      <c r="X5" s="7" t="n">
        <f>T5+(100-U5)</f>
        <v>100</v>
      </c>
      <c r="Y5" s="3" t="inlineStr">
        <is>
          <t>[]</t>
        </is>
      </c>
      <c r="Z5" s="3" t="inlineStr">
        <is>
          <t>["evidence_batch_003_021", "https://jeminise.com/products/christmas-bedding-quilt-soft-microfiber-holiday-bedsprea-design-05", "https://cdn.shopify.com/s/files/1/0792/5098/1063/files/a9d73f05a5624e29d69e9f45c9035fc8ce6d17dce0280be079f2697dfabb6a95.jpg?v=1787239304"]</t>
        </is>
      </c>
      <c r="AA5" s="3" t="inlineStr">
        <is>
          <t>r6</t>
        </is>
      </c>
    </row>
    <row r="6" ht="66" customHeight="1">
      <c r="A6" s="2" t="inlineStr">
        <is>
          <t>jeminise.com+christmas-bedding-quilt-soft-microfiber-holiday-bedsprea-design-05</t>
        </is>
      </c>
      <c r="B6" s="2" t="inlineStr">
        <is>
          <t>jeminise.com+christmas-bedding-quilt-soft-microfiber-holiday-bedsprea-design-05|media:47934032445639|pos:5|url:7a3c5ef848c7</t>
        </is>
      </c>
      <c r="C6" s="4" t="inlineStr">
        <is>
          <t>https://cdn.shopify.com/s/files/1/0792/5098/1063/files/0461d860e029a4d27649c56e37e256172572e09064aab3d6823b9226c1ee8c9b.jpg?v=1787239304</t>
        </is>
      </c>
      <c r="D6" s="4" t="inlineStr">
        <is>
          <t>https://cdn.shopify.com/s/files/1/0792/5098/1063/files/0461d860e029a4d27649c56e37e256172572e09064aab3d6823b9226c1ee8c9b.jpg?v=1787239304</t>
        </is>
      </c>
      <c r="E6" s="2" t="inlineStr">
        <is>
          <t>47934032445639</t>
        </is>
      </c>
      <c r="F6" s="4" t="inlineStr">
        <is>
          <t>https://cdn.shopify.com/s/files/1/0792/5098/1063/files/0461d860e029a4d27649c56e37e256172572e09064aab3d6823b9226c1ee8c9b.jpg?v=1787239304</t>
        </is>
      </c>
      <c r="G6" s="2" t="n"/>
      <c r="H6" s="2" t="inlineStr">
        <is>
          <t>GALLERY</t>
        </is>
      </c>
      <c r="I6" s="2" t="inlineStr">
        <is>
          <t>DIRECT_URL_DOWNLOAD_1200PX + VISUAL_READ</t>
        </is>
      </c>
      <c r="J6" s="2" t="inlineStr">
        <is>
          <t>2026-09-09T12:00:00+07:00</t>
        </is>
      </c>
      <c r="K6" s="2" t="inlineStr">
        <is>
          <t>Included-components and size graphic with quilt/sham options and dimensions.</t>
        </is>
      </c>
      <c r="L6" s="2" t="inlineStr">
        <is>
          <t>Size and component panel showing one premium quilt and two optional standard shams.</t>
        </is>
      </c>
      <c r="M6" s="2" t="inlineStr">
        <is>
          <t>Christmas Bedding Quilt – Soft Microfiber Holiday Bedspread, Lightweight Winter Bedding, Cozy Xmas Quilts for Couch, Bedroom &amp; Seasonal Home Decorations (Christmas Quilt-DS05)</t>
        </is>
      </c>
      <c r="N6" s="2" t="inlineStr">
        <is>
          <t>SET</t>
        </is>
      </c>
      <c r="O6" s="2" t="inlineStr">
        <is>
          <t>Gingerbread candy cane quilt size and sham options</t>
        </is>
      </c>
      <c r="P6" s="2" t="inlineStr">
        <is>
          <t>FULL</t>
        </is>
      </c>
      <c r="Q6" s="2" t="inlineStr">
        <is>
          <t>FULL</t>
        </is>
      </c>
      <c r="R6" s="2" t="inlineStr">
        <is>
          <t>FULL</t>
        </is>
      </c>
      <c r="S6" s="2" t="inlineStr">
        <is>
          <t>FULL</t>
        </is>
      </c>
      <c r="T6" s="5" t="n">
        <f>IF(P6="FULL",40,IF(P6="PARTIAL",40/2,0))+IF(Q6="FULL",30,IF(Q6="PARTIAL",30/2,0))+IF(R6="FULL",20,IF(R6="PARTIAL",20/2,0))+IF(S6="FULL",10,IF(S6="PARTIAL",10/2,0))</f>
        <v>100</v>
      </c>
      <c r="U6" s="5" t="n">
        <f>IF(P6="NOT_CHECKED",0,40)+IF(Q6="NOT_CHECKED",0,30)+IF(R6="NOT_CHECKED",0,20)+IF(S6="NOT_CHECKED",0,10)</f>
        <v>100</v>
      </c>
      <c r="V6" s="5" t="n">
        <f>IF(U6=100,T6,"")</f>
        <v>100</v>
      </c>
      <c r="W6" s="5" t="n">
        <f>T6</f>
        <v>100</v>
      </c>
      <c r="X6" s="5" t="n">
        <f>T6+(100-U6)</f>
        <v>100</v>
      </c>
      <c r="Y6" s="2" t="inlineStr">
        <is>
          <t>[]</t>
        </is>
      </c>
      <c r="Z6" s="2" t="inlineStr">
        <is>
          <t>["evidence_batch_003_021", "https://jeminise.com/products/christmas-bedding-quilt-soft-microfiber-holiday-bedsprea-design-05", "https://cdn.shopify.com/s/files/1/0792/5098/1063/files/0461d860e029a4d27649c56e37e256172572e09064aab3d6823b9226c1ee8c9b.jpg?v=1787239304"]</t>
        </is>
      </c>
      <c r="AA6" s="2" t="inlineStr">
        <is>
          <t>r6</t>
        </is>
      </c>
    </row>
    <row r="7" ht="66" customHeight="1">
      <c r="A7" s="3" t="inlineStr">
        <is>
          <t>jeminise.com+christmas-bedding-quilt-soft-microfiber-holiday-bedsprea-design-06</t>
        </is>
      </c>
      <c r="B7" s="3" t="inlineStr">
        <is>
          <t>jeminise.com+christmas-bedding-quilt-soft-microfiber-holiday-bedsprea-design-06|media:47934035427527|pos:1|url:cb51ce7f517a</t>
        </is>
      </c>
      <c r="C7" s="4" t="inlineStr">
        <is>
          <t>https://cdn.shopify.com/s/files/1/0792/5098/1063/files/72e69cf5279e1503866df817e765ec4b9528ac9d374090ff6a383b64dc802f0f.jpg?v=1787239327</t>
        </is>
      </c>
      <c r="D7" s="4" t="inlineStr">
        <is>
          <t>https://cdn.shopify.com/s/files/1/0792/5098/1063/files/72e69cf5279e1503866df817e765ec4b9528ac9d374090ff6a383b64dc802f0f.jpg?v=1787239327</t>
        </is>
      </c>
      <c r="E7" s="3" t="inlineStr">
        <is>
          <t>47934035427527</t>
        </is>
      </c>
      <c r="F7" s="4" t="inlineStr">
        <is>
          <t>https://cdn.shopify.com/s/files/1/0792/5098/1063/files/72e69cf5279e1503866df817e765ec4b9528ac9d374090ff6a383b64dc802f0f.jpg?v=1787239327</t>
        </is>
      </c>
      <c r="G7" s="3" t="n"/>
      <c r="H7" s="3" t="inlineStr">
        <is>
          <t>GALLERY</t>
        </is>
      </c>
      <c r="I7" s="3" t="inlineStr">
        <is>
          <t>DIRECT_URL_DOWNLOAD_1200PX + VISUAL_READ</t>
        </is>
      </c>
      <c r="J7" s="3" t="inlineStr">
        <is>
          <t>2026-09-09T12:00:00+07:00</t>
        </is>
      </c>
      <c r="K7" s="3" t="inlineStr">
        <is>
          <t>Front bedroom mockup showing the primary quilt motif and coordinated shams.</t>
        </is>
      </c>
      <c r="L7" s="3" t="inlineStr">
        <is>
          <t>Black Christmas tree quilt bed mockup with decorated tree, gift boxes, dark border and matching shams.</t>
        </is>
      </c>
      <c r="M7" s="3" t="inlineStr">
        <is>
          <t>Christmas Bedding Quilt – Soft Microfiber Holiday Bedspread, Lightweight Winter Bedding, Cozy Xmas Quilts for Couch, Bedroom &amp; Seasonal Home Decorations (Christmas Quilt-DS06)</t>
        </is>
      </c>
      <c r="N7" s="3" t="inlineStr">
        <is>
          <t>SET</t>
        </is>
      </c>
      <c r="O7" s="3" t="inlineStr">
        <is>
          <t>Black Christmas tree quilt set on bed</t>
        </is>
      </c>
      <c r="P7" s="3" t="inlineStr">
        <is>
          <t>FULL</t>
        </is>
      </c>
      <c r="Q7" s="3" t="inlineStr">
        <is>
          <t>FULL</t>
        </is>
      </c>
      <c r="R7" s="3" t="inlineStr">
        <is>
          <t>FULL</t>
        </is>
      </c>
      <c r="S7" s="3" t="inlineStr">
        <is>
          <t>FULL</t>
        </is>
      </c>
      <c r="T7" s="7" t="n">
        <f>IF(P7="FULL",40,IF(P7="PARTIAL",40/2,0))+IF(Q7="FULL",30,IF(Q7="PARTIAL",30/2,0))+IF(R7="FULL",20,IF(R7="PARTIAL",20/2,0))+IF(S7="FULL",10,IF(S7="PARTIAL",10/2,0))</f>
        <v>100</v>
      </c>
      <c r="U7" s="7" t="n">
        <f>IF(P7="NOT_CHECKED",0,40)+IF(Q7="NOT_CHECKED",0,30)+IF(R7="NOT_CHECKED",0,20)+IF(S7="NOT_CHECKED",0,10)</f>
        <v>100</v>
      </c>
      <c r="V7" s="7" t="n">
        <f>IF(U7=100,T7,"")</f>
        <v>100</v>
      </c>
      <c r="W7" s="7" t="n">
        <f>T7</f>
        <v>100</v>
      </c>
      <c r="X7" s="7" t="n">
        <f>T7+(100-U7)</f>
        <v>100</v>
      </c>
      <c r="Y7" s="3" t="inlineStr">
        <is>
          <t>[]</t>
        </is>
      </c>
      <c r="Z7" s="3" t="inlineStr">
        <is>
          <t>["evidence_batch_003_022", "https://jeminise.com/products/christmas-bedding-quilt-soft-microfiber-holiday-bedsprea-design-06", "https://cdn.shopify.com/s/files/1/0792/5098/1063/files/72e69cf5279e1503866df817e765ec4b9528ac9d374090ff6a383b64dc802f0f.jpg?v=1787239327"]</t>
        </is>
      </c>
      <c r="AA7" s="3" t="inlineStr">
        <is>
          <t>r6</t>
        </is>
      </c>
    </row>
    <row r="8" ht="66" customHeight="1">
      <c r="A8" s="2" t="inlineStr">
        <is>
          <t>jeminise.com+christmas-bedding-quilt-soft-microfiber-holiday-bedsprea-design-06</t>
        </is>
      </c>
      <c r="B8" s="2" t="inlineStr">
        <is>
          <t>jeminise.com+christmas-bedding-quilt-soft-microfiber-holiday-bedsprea-design-06|media:47934035460295|pos:2|url:dd41e8e27081</t>
        </is>
      </c>
      <c r="C8" s="4" t="inlineStr">
        <is>
          <t>https://cdn.shopify.com/s/files/1/0792/5098/1063/files/1f0bc53734f9d184eafeba37de9d2d68714be1c73b540fbe08ef60be1bc69fa5.jpg?v=1787239327</t>
        </is>
      </c>
      <c r="D8" s="4" t="inlineStr">
        <is>
          <t>https://cdn.shopify.com/s/files/1/0792/5098/1063/files/1f0bc53734f9d184eafeba37de9d2d68714be1c73b540fbe08ef60be1bc69fa5.jpg?v=1787239327</t>
        </is>
      </c>
      <c r="E8" s="2" t="inlineStr">
        <is>
          <t>47934035460295</t>
        </is>
      </c>
      <c r="F8" s="4" t="inlineStr">
        <is>
          <t>https://cdn.shopify.com/s/files/1/0792/5098/1063/files/1f0bc53734f9d184eafeba37de9d2d68714be1c73b540fbe08ef60be1bc69fa5.jpg?v=1787239327</t>
        </is>
      </c>
      <c r="G8" s="2" t="n"/>
      <c r="H8" s="2" t="inlineStr">
        <is>
          <t>GALLERY</t>
        </is>
      </c>
      <c r="I8" s="2" t="inlineStr">
        <is>
          <t>DIRECT_URL_DOWNLOAD_1200PX + VISUAL_READ</t>
        </is>
      </c>
      <c r="J8" s="2" t="inlineStr">
        <is>
          <t>2026-09-09T12:00:00+07:00</t>
        </is>
      </c>
      <c r="K8" s="2" t="inlineStr">
        <is>
          <t>Angled bedroom mockup confirming the same motif across the set.</t>
        </is>
      </c>
      <c r="L8" s="2" t="inlineStr">
        <is>
          <t>Bedroom mockup showing black Christmas tree quilt with presents and coordinated pillow shams.</t>
        </is>
      </c>
      <c r="M8" s="2" t="inlineStr">
        <is>
          <t>Christmas Bedding Quilt – Soft Microfiber Holiday Bedspread, Lightweight Winter Bedding, Cozy Xmas Quilts for Couch, Bedroom &amp; Seasonal Home Decorations (Christmas Quilt-DS06)</t>
        </is>
      </c>
      <c r="N8" s="2" t="inlineStr">
        <is>
          <t>SET</t>
        </is>
      </c>
      <c r="O8" s="2" t="inlineStr">
        <is>
          <t>Black Christmas tree quilt bedroom mockup</t>
        </is>
      </c>
      <c r="P8" s="2" t="inlineStr">
        <is>
          <t>FULL</t>
        </is>
      </c>
      <c r="Q8" s="2" t="inlineStr">
        <is>
          <t>FULL</t>
        </is>
      </c>
      <c r="R8" s="2" t="inlineStr">
        <is>
          <t>FULL</t>
        </is>
      </c>
      <c r="S8" s="2" t="inlineStr">
        <is>
          <t>FULL</t>
        </is>
      </c>
      <c r="T8" s="5" t="n">
        <f>IF(P8="FULL",40,IF(P8="PARTIAL",40/2,0))+IF(Q8="FULL",30,IF(Q8="PARTIAL",30/2,0))+IF(R8="FULL",20,IF(R8="PARTIAL",20/2,0))+IF(S8="FULL",10,IF(S8="PARTIAL",10/2,0))</f>
        <v>100</v>
      </c>
      <c r="U8" s="5" t="n">
        <f>IF(P8="NOT_CHECKED",0,40)+IF(Q8="NOT_CHECKED",0,30)+IF(R8="NOT_CHECKED",0,20)+IF(S8="NOT_CHECKED",0,10)</f>
        <v>100</v>
      </c>
      <c r="V8" s="5" t="n">
        <f>IF(U8=100,T8,"")</f>
        <v>100</v>
      </c>
      <c r="W8" s="5" t="n">
        <f>T8</f>
        <v>100</v>
      </c>
      <c r="X8" s="5" t="n">
        <f>T8+(100-U8)</f>
        <v>100</v>
      </c>
      <c r="Y8" s="2" t="inlineStr">
        <is>
          <t>[]</t>
        </is>
      </c>
      <c r="Z8" s="2" t="inlineStr">
        <is>
          <t>["evidence_batch_003_022", "https://jeminise.com/products/christmas-bedding-quilt-soft-microfiber-holiday-bedsprea-design-06", "https://cdn.shopify.com/s/files/1/0792/5098/1063/files/1f0bc53734f9d184eafeba37de9d2d68714be1c73b540fbe08ef60be1bc69fa5.jpg?v=1787239327"]</t>
        </is>
      </c>
      <c r="AA8" s="2" t="inlineStr">
        <is>
          <t>r6</t>
        </is>
      </c>
    </row>
    <row r="9" ht="66" customHeight="1">
      <c r="A9" s="3" t="inlineStr">
        <is>
          <t>jeminise.com+christmas-bedding-quilt-soft-microfiber-holiday-bedsprea-design-06</t>
        </is>
      </c>
      <c r="B9" s="3" t="inlineStr">
        <is>
          <t>jeminise.com+christmas-bedding-quilt-soft-microfiber-holiday-bedsprea-design-06|media:47934035493063|pos:3|url:b71845e1cb14</t>
        </is>
      </c>
      <c r="C9" s="4" t="inlineStr">
        <is>
          <t>https://cdn.shopify.com/s/files/1/0792/5098/1063/files/9f875161013c7183bc18456508e00b3634194100adb029e0ff7c1be3bada05cf.jpg?v=1787239327</t>
        </is>
      </c>
      <c r="D9" s="4" t="inlineStr">
        <is>
          <t>https://cdn.shopify.com/s/files/1/0792/5098/1063/files/9f875161013c7183bc18456508e00b3634194100adb029e0ff7c1be3bada05cf.jpg?v=1787239327</t>
        </is>
      </c>
      <c r="E9" s="3" t="inlineStr">
        <is>
          <t>47934035493063</t>
        </is>
      </c>
      <c r="F9" s="4" t="inlineStr">
        <is>
          <t>https://cdn.shopify.com/s/files/1/0792/5098/1063/files/9f875161013c7183bc18456508e00b3634194100adb029e0ff7c1be3bada05cf.jpg?v=1787239327</t>
        </is>
      </c>
      <c r="G9" s="3" t="n"/>
      <c r="H9" s="3" t="inlineStr">
        <is>
          <t>GALLERY</t>
        </is>
      </c>
      <c r="I9" s="3" t="inlineStr">
        <is>
          <t>DIRECT_URL_DOWNLOAD_1200PX + VISUAL_READ</t>
        </is>
      </c>
      <c r="J9" s="3" t="inlineStr">
        <is>
          <t>2026-09-09T12:00:00+07:00</t>
        </is>
      </c>
      <c r="K9" s="3" t="inlineStr">
        <is>
          <t>Isolated pillow sham showing the coordinated printed artwork.</t>
        </is>
      </c>
      <c r="L9" s="3" t="inlineStr">
        <is>
          <t>Matching pillow sham with Christmas tree, presents and dark holiday border.</t>
        </is>
      </c>
      <c r="M9" s="3" t="inlineStr">
        <is>
          <t>Christmas Bedding Quilt – Soft Microfiber Holiday Bedspread, Lightweight Winter Bedding, Cozy Xmas Quilts for Couch, Bedroom &amp; Seasonal Home Decorations (Christmas Quilt-DS06)</t>
        </is>
      </c>
      <c r="N9" s="3" t="inlineStr">
        <is>
          <t>SET</t>
        </is>
      </c>
      <c r="O9" s="3" t="inlineStr">
        <is>
          <t>Black Christmas tree quilt pillow sham</t>
        </is>
      </c>
      <c r="P9" s="3" t="inlineStr">
        <is>
          <t>FULL</t>
        </is>
      </c>
      <c r="Q9" s="3" t="inlineStr">
        <is>
          <t>FULL</t>
        </is>
      </c>
      <c r="R9" s="3" t="inlineStr">
        <is>
          <t>FULL</t>
        </is>
      </c>
      <c r="S9" s="3" t="inlineStr">
        <is>
          <t>FULL</t>
        </is>
      </c>
      <c r="T9" s="7" t="n">
        <f>IF(P9="FULL",40,IF(P9="PARTIAL",40/2,0))+IF(Q9="FULL",30,IF(Q9="PARTIAL",30/2,0))+IF(R9="FULL",20,IF(R9="PARTIAL",20/2,0))+IF(S9="FULL",10,IF(S9="PARTIAL",10/2,0))</f>
        <v>100</v>
      </c>
      <c r="U9" s="7" t="n">
        <f>IF(P9="NOT_CHECKED",0,40)+IF(Q9="NOT_CHECKED",0,30)+IF(R9="NOT_CHECKED",0,20)+IF(S9="NOT_CHECKED",0,10)</f>
        <v>100</v>
      </c>
      <c r="V9" s="7" t="n">
        <f>IF(U9=100,T9,"")</f>
        <v>100</v>
      </c>
      <c r="W9" s="7" t="n">
        <f>T9</f>
        <v>100</v>
      </c>
      <c r="X9" s="7" t="n">
        <f>T9+(100-U9)</f>
        <v>100</v>
      </c>
      <c r="Y9" s="3" t="inlineStr">
        <is>
          <t>[]</t>
        </is>
      </c>
      <c r="Z9" s="3" t="inlineStr">
        <is>
          <t>["evidence_batch_003_022", "https://jeminise.com/products/christmas-bedding-quilt-soft-microfiber-holiday-bedsprea-design-06", "https://cdn.shopify.com/s/files/1/0792/5098/1063/files/9f875161013c7183bc18456508e00b3634194100adb029e0ff7c1be3bada05cf.jpg?v=1787239327"]</t>
        </is>
      </c>
      <c r="AA9" s="3" t="inlineStr">
        <is>
          <t>r6</t>
        </is>
      </c>
    </row>
    <row r="10" ht="66" customHeight="1">
      <c r="A10" s="2" t="inlineStr">
        <is>
          <t>jeminise.com+christmas-bedding-quilt-soft-microfiber-holiday-bedsprea-design-06</t>
        </is>
      </c>
      <c r="B10" s="2" t="inlineStr">
        <is>
          <t>jeminise.com+christmas-bedding-quilt-soft-microfiber-holiday-bedsprea-design-06|media:47934035525831|pos:4|url:f90c7c262fe3</t>
        </is>
      </c>
      <c r="C10" s="4" t="inlineStr">
        <is>
          <t>https://cdn.shopify.com/s/files/1/0792/5098/1063/files/de596ab0879cec52ad5e2a96c2ef7ec529fa83fcec514ad55907502143e123a0.jpg?v=1787239327</t>
        </is>
      </c>
      <c r="D10" s="4" t="inlineStr">
        <is>
          <t>https://cdn.shopify.com/s/files/1/0792/5098/1063/files/de596ab0879cec52ad5e2a96c2ef7ec529fa83fcec514ad55907502143e123a0.jpg?v=1787239327</t>
        </is>
      </c>
      <c r="E10" s="2" t="inlineStr">
        <is>
          <t>47934035525831</t>
        </is>
      </c>
      <c r="F10" s="4" t="inlineStr">
        <is>
          <t>https://cdn.shopify.com/s/files/1/0792/5098/1063/files/de596ab0879cec52ad5e2a96c2ef7ec529fa83fcec514ad55907502143e123a0.jpg?v=1787239327</t>
        </is>
      </c>
      <c r="G10" s="2" t="n"/>
      <c r="H10" s="2" t="inlineStr">
        <is>
          <t>GALLERY</t>
        </is>
      </c>
      <c r="I10" s="2" t="inlineStr">
        <is>
          <t>DIRECT_URL_DOWNLOAD_1200PX + VISUAL_READ</t>
        </is>
      </c>
      <c r="J10" s="2" t="inlineStr">
        <is>
          <t>2026-09-09T12:00:00+07:00</t>
        </is>
      </c>
      <c r="K10" s="2" t="inlineStr">
        <is>
          <t>Close-up of printed surface and visible quilting texture.</t>
        </is>
      </c>
      <c r="L10" s="2" t="inlineStr">
        <is>
          <t>Close-up of decorated Christmas tree branches, ornaments and visible quilt stitching on a dark background.</t>
        </is>
      </c>
      <c r="M10" s="2" t="inlineStr">
        <is>
          <t>Christmas Bedding Quilt – Soft Microfiber Holiday Bedspread, Lightweight Winter Bedding, Cozy Xmas Quilts for Couch, Bedroom &amp; Seasonal Home Decorations (Christmas Quilt-DS06)</t>
        </is>
      </c>
      <c r="N10" s="2" t="inlineStr">
        <is>
          <t>SET</t>
        </is>
      </c>
      <c r="O10" s="2" t="inlineStr">
        <is>
          <t>Black Christmas tree quilt stitching close-up</t>
        </is>
      </c>
      <c r="P10" s="2" t="inlineStr">
        <is>
          <t>FULL</t>
        </is>
      </c>
      <c r="Q10" s="2" t="inlineStr">
        <is>
          <t>FULL</t>
        </is>
      </c>
      <c r="R10" s="2" t="inlineStr">
        <is>
          <t>FULL</t>
        </is>
      </c>
      <c r="S10" s="2" t="inlineStr">
        <is>
          <t>FULL</t>
        </is>
      </c>
      <c r="T10" s="5" t="n">
        <f>IF(P10="FULL",40,IF(P10="PARTIAL",40/2,0))+IF(Q10="FULL",30,IF(Q10="PARTIAL",30/2,0))+IF(R10="FULL",20,IF(R10="PARTIAL",20/2,0))+IF(S10="FULL",10,IF(S10="PARTIAL",10/2,0))</f>
        <v>100</v>
      </c>
      <c r="U10" s="5" t="n">
        <f>IF(P10="NOT_CHECKED",0,40)+IF(Q10="NOT_CHECKED",0,30)+IF(R10="NOT_CHECKED",0,20)+IF(S10="NOT_CHECKED",0,10)</f>
        <v>100</v>
      </c>
      <c r="V10" s="5" t="n">
        <f>IF(U10=100,T10,"")</f>
        <v>100</v>
      </c>
      <c r="W10" s="5" t="n">
        <f>T10</f>
        <v>100</v>
      </c>
      <c r="X10" s="5" t="n">
        <f>T10+(100-U10)</f>
        <v>100</v>
      </c>
      <c r="Y10" s="2" t="inlineStr">
        <is>
          <t>[]</t>
        </is>
      </c>
      <c r="Z10" s="2" t="inlineStr">
        <is>
          <t>["evidence_batch_003_022", "https://jeminise.com/products/christmas-bedding-quilt-soft-microfiber-holiday-bedsprea-design-06", "https://cdn.shopify.com/s/files/1/0792/5098/1063/files/de596ab0879cec52ad5e2a96c2ef7ec529fa83fcec514ad55907502143e123a0.jpg?v=1787239327"]</t>
        </is>
      </c>
      <c r="AA10" s="2" t="inlineStr">
        <is>
          <t>r6</t>
        </is>
      </c>
    </row>
    <row r="11" ht="66" customHeight="1">
      <c r="A11" s="3" t="inlineStr">
        <is>
          <t>jeminise.com+christmas-bedding-quilt-soft-microfiber-holiday-bedsprea-design-06</t>
        </is>
      </c>
      <c r="B11" s="3" t="inlineStr">
        <is>
          <t>jeminise.com+christmas-bedding-quilt-soft-microfiber-holiday-bedsprea-design-06|media:47934035558599|pos:5|url:9ae25546be15</t>
        </is>
      </c>
      <c r="C11" s="4" t="inlineStr">
        <is>
          <t>https://cdn.shopify.com/s/files/1/0792/5098/1063/files/c551c6c00f378c8ae6d61af5e53faaf79a1375863eefd1febffb9ecee0e3e4c9.jpg?v=1787239327</t>
        </is>
      </c>
      <c r="D11" s="4" t="inlineStr">
        <is>
          <t>https://cdn.shopify.com/s/files/1/0792/5098/1063/files/c551c6c00f378c8ae6d61af5e53faaf79a1375863eefd1febffb9ecee0e3e4c9.jpg?v=1787239327</t>
        </is>
      </c>
      <c r="E11" s="3" t="inlineStr">
        <is>
          <t>47934035558599</t>
        </is>
      </c>
      <c r="F11" s="4" t="inlineStr">
        <is>
          <t>https://cdn.shopify.com/s/files/1/0792/5098/1063/files/c551c6c00f378c8ae6d61af5e53faaf79a1375863eefd1febffb9ecee0e3e4c9.jpg?v=1787239327</t>
        </is>
      </c>
      <c r="G11" s="3" t="n"/>
      <c r="H11" s="3" t="inlineStr">
        <is>
          <t>GALLERY</t>
        </is>
      </c>
      <c r="I11" s="3" t="inlineStr">
        <is>
          <t>DIRECT_URL_DOWNLOAD_1200PX + VISUAL_READ</t>
        </is>
      </c>
      <c r="J11" s="3" t="inlineStr">
        <is>
          <t>2026-09-09T12:00:00+07:00</t>
        </is>
      </c>
      <c r="K11" s="3" t="inlineStr">
        <is>
          <t>Included-components and size graphic with quilt/sham options and dimensions.</t>
        </is>
      </c>
      <c r="L11" s="3" t="inlineStr">
        <is>
          <t>Size and component panel showing one premium quilt and two optional standard shams.</t>
        </is>
      </c>
      <c r="M11" s="3" t="inlineStr">
        <is>
          <t>Christmas Bedding Quilt – Soft Microfiber Holiday Bedspread, Lightweight Winter Bedding, Cozy Xmas Quilts for Couch, Bedroom &amp; Seasonal Home Decorations (Christmas Quilt-DS06)</t>
        </is>
      </c>
      <c r="N11" s="3" t="inlineStr">
        <is>
          <t>SET</t>
        </is>
      </c>
      <c r="O11" s="3" t="inlineStr">
        <is>
          <t>Black Christmas tree quilt size and sham options</t>
        </is>
      </c>
      <c r="P11" s="3" t="inlineStr">
        <is>
          <t>FULL</t>
        </is>
      </c>
      <c r="Q11" s="3" t="inlineStr">
        <is>
          <t>FULL</t>
        </is>
      </c>
      <c r="R11" s="3" t="inlineStr">
        <is>
          <t>FULL</t>
        </is>
      </c>
      <c r="S11" s="3" t="inlineStr">
        <is>
          <t>FULL</t>
        </is>
      </c>
      <c r="T11" s="7" t="n">
        <f>IF(P11="FULL",40,IF(P11="PARTIAL",40/2,0))+IF(Q11="FULL",30,IF(Q11="PARTIAL",30/2,0))+IF(R11="FULL",20,IF(R11="PARTIAL",20/2,0))+IF(S11="FULL",10,IF(S11="PARTIAL",10/2,0))</f>
        <v>100</v>
      </c>
      <c r="U11" s="7" t="n">
        <f>IF(P11="NOT_CHECKED",0,40)+IF(Q11="NOT_CHECKED",0,30)+IF(R11="NOT_CHECKED",0,20)+IF(S11="NOT_CHECKED",0,10)</f>
        <v>100</v>
      </c>
      <c r="V11" s="7" t="n">
        <f>IF(U11=100,T11,"")</f>
        <v>100</v>
      </c>
      <c r="W11" s="7" t="n">
        <f>T11</f>
        <v>100</v>
      </c>
      <c r="X11" s="7" t="n">
        <f>T11+(100-U11)</f>
        <v>100</v>
      </c>
      <c r="Y11" s="3" t="inlineStr">
        <is>
          <t>[]</t>
        </is>
      </c>
      <c r="Z11" s="3" t="inlineStr">
        <is>
          <t>["evidence_batch_003_022", "https://jeminise.com/products/christmas-bedding-quilt-soft-microfiber-holiday-bedsprea-design-06", "https://cdn.shopify.com/s/files/1/0792/5098/1063/files/c551c6c00f378c8ae6d61af5e53faaf79a1375863eefd1febffb9ecee0e3e4c9.jpg?v=1787239327"]</t>
        </is>
      </c>
      <c r="AA11" s="3" t="inlineStr">
        <is>
          <t>r6</t>
        </is>
      </c>
    </row>
    <row r="12" ht="66" customHeight="1">
      <c r="A12" s="2" t="inlineStr">
        <is>
          <t>jeminise.com+christmas-bedding-quilt-soft-microfiber-holiday-bedsprea-design-08</t>
        </is>
      </c>
      <c r="B12" s="2" t="inlineStr">
        <is>
          <t>jeminise.com+christmas-bedding-quilt-soft-microfiber-holiday-bedsprea-design-08|media:47934036541639|pos:1|url:8903ed0cf00b</t>
        </is>
      </c>
      <c r="C12" s="4" t="inlineStr">
        <is>
          <t>https://cdn.shopify.com/s/files/1/0792/5098/1063/files/46ac5bc18554d3c8eef4fcfd803278c3caa3d66a0c5dad038cb8e03d55416938.jpg?v=1787239336</t>
        </is>
      </c>
      <c r="D12" s="4" t="inlineStr">
        <is>
          <t>https://cdn.shopify.com/s/files/1/0792/5098/1063/files/46ac5bc18554d3c8eef4fcfd803278c3caa3d66a0c5dad038cb8e03d55416938.jpg?v=1787239336</t>
        </is>
      </c>
      <c r="E12" s="2" t="inlineStr">
        <is>
          <t>47934036541639</t>
        </is>
      </c>
      <c r="F12" s="4" t="inlineStr">
        <is>
          <t>https://cdn.shopify.com/s/files/1/0792/5098/1063/files/46ac5bc18554d3c8eef4fcfd803278c3caa3d66a0c5dad038cb8e03d55416938.jpg?v=1787239336</t>
        </is>
      </c>
      <c r="G12" s="2" t="n"/>
      <c r="H12" s="2" t="inlineStr">
        <is>
          <t>GALLERY</t>
        </is>
      </c>
      <c r="I12" s="2" t="inlineStr">
        <is>
          <t>DIRECT_URL_DOWNLOAD_1200PX + VISUAL_READ</t>
        </is>
      </c>
      <c r="J12" s="2" t="inlineStr">
        <is>
          <t>2026-09-09T12:00:00+07:00</t>
        </is>
      </c>
      <c r="K12" s="2" t="inlineStr">
        <is>
          <t>Front bedroom mockup showing the primary quilt motif and coordinated shams.</t>
        </is>
      </c>
      <c r="L12" s="2" t="inlineStr">
        <is>
          <t>Winter cardinal birdhouse quilt bed mockup with red cardinals, snowy birdhouse and matching shams.</t>
        </is>
      </c>
      <c r="M12" s="2" t="inlineStr">
        <is>
          <t>Christmas Bedding Quilt – Soft Microfiber Holiday Bedspread, Lightweight Winter Bedding, Cozy Xmas Quilts for Couch, Bedroom &amp; Seasonal Home Decorations (Christmas Quilt-DS08)</t>
        </is>
      </c>
      <c r="N12" s="2" t="inlineStr">
        <is>
          <t>SET</t>
        </is>
      </c>
      <c r="O12" s="2" t="inlineStr">
        <is>
          <t>Winter cardinal birdhouse quilt set on bed</t>
        </is>
      </c>
      <c r="P12" s="2" t="inlineStr">
        <is>
          <t>FULL</t>
        </is>
      </c>
      <c r="Q12" s="2" t="inlineStr">
        <is>
          <t>FULL</t>
        </is>
      </c>
      <c r="R12" s="2" t="inlineStr">
        <is>
          <t>FULL</t>
        </is>
      </c>
      <c r="S12" s="2" t="inlineStr">
        <is>
          <t>FULL</t>
        </is>
      </c>
      <c r="T12" s="5" t="n">
        <f>IF(P12="FULL",40,IF(P12="PARTIAL",40/2,0))+IF(Q12="FULL",30,IF(Q12="PARTIAL",30/2,0))+IF(R12="FULL",20,IF(R12="PARTIAL",20/2,0))+IF(S12="FULL",10,IF(S12="PARTIAL",10/2,0))</f>
        <v>100</v>
      </c>
      <c r="U12" s="5" t="n">
        <f>IF(P12="NOT_CHECKED",0,40)+IF(Q12="NOT_CHECKED",0,30)+IF(R12="NOT_CHECKED",0,20)+IF(S12="NOT_CHECKED",0,10)</f>
        <v>100</v>
      </c>
      <c r="V12" s="5" t="n">
        <f>IF(U12=100,T12,"")</f>
        <v>100</v>
      </c>
      <c r="W12" s="5" t="n">
        <f>T12</f>
        <v>100</v>
      </c>
      <c r="X12" s="5" t="n">
        <f>T12+(100-U12)</f>
        <v>100</v>
      </c>
      <c r="Y12" s="2" t="inlineStr">
        <is>
          <t>[]</t>
        </is>
      </c>
      <c r="Z12" s="2" t="inlineStr">
        <is>
          <t>["evidence_batch_003_023", "https://jeminise.com/products/christmas-bedding-quilt-soft-microfiber-holiday-bedsprea-design-08", "https://cdn.shopify.com/s/files/1/0792/5098/1063/files/46ac5bc18554d3c8eef4fcfd803278c3caa3d66a0c5dad038cb8e03d55416938.jpg?v=1787239336"]</t>
        </is>
      </c>
      <c r="AA12" s="2" t="inlineStr">
        <is>
          <t>r6</t>
        </is>
      </c>
    </row>
    <row r="13" ht="66" customHeight="1">
      <c r="A13" s="3" t="inlineStr">
        <is>
          <t>jeminise.com+christmas-bedding-quilt-soft-microfiber-holiday-bedsprea-design-08</t>
        </is>
      </c>
      <c r="B13" s="3" t="inlineStr">
        <is>
          <t>jeminise.com+christmas-bedding-quilt-soft-microfiber-holiday-bedsprea-design-08|media:47934036574407|pos:2|url:406ad8c09e7e</t>
        </is>
      </c>
      <c r="C13" s="4" t="inlineStr">
        <is>
          <t>https://cdn.shopify.com/s/files/1/0792/5098/1063/files/6253d0d99a44a39ec73a70fccf1fd5474c4304769ed308a2bce71e6ae7fc6773.jpg?v=1787239336</t>
        </is>
      </c>
      <c r="D13" s="4" t="inlineStr">
        <is>
          <t>https://cdn.shopify.com/s/files/1/0792/5098/1063/files/6253d0d99a44a39ec73a70fccf1fd5474c4304769ed308a2bce71e6ae7fc6773.jpg?v=1787239336</t>
        </is>
      </c>
      <c r="E13" s="3" t="inlineStr">
        <is>
          <t>47934036574407</t>
        </is>
      </c>
      <c r="F13" s="4" t="inlineStr">
        <is>
          <t>https://cdn.shopify.com/s/files/1/0792/5098/1063/files/6253d0d99a44a39ec73a70fccf1fd5474c4304769ed308a2bce71e6ae7fc6773.jpg?v=1787239336</t>
        </is>
      </c>
      <c r="G13" s="3" t="n"/>
      <c r="H13" s="3" t="inlineStr">
        <is>
          <t>GALLERY</t>
        </is>
      </c>
      <c r="I13" s="3" t="inlineStr">
        <is>
          <t>DIRECT_URL_DOWNLOAD_1200PX + VISUAL_READ</t>
        </is>
      </c>
      <c r="J13" s="3" t="inlineStr">
        <is>
          <t>2026-09-09T12:00:00+07:00</t>
        </is>
      </c>
      <c r="K13" s="3" t="inlineStr">
        <is>
          <t>Angled bedroom mockup confirming the same motif across the set.</t>
        </is>
      </c>
      <c r="L13" s="3" t="inlineStr">
        <is>
          <t>Bedroom mockup showing red cardinals around a snowy birdhouse on a pale winter quilt.</t>
        </is>
      </c>
      <c r="M13" s="3" t="inlineStr">
        <is>
          <t>Christmas Bedding Quilt – Soft Microfiber Holiday Bedspread, Lightweight Winter Bedding, Cozy Xmas Quilts for Couch, Bedroom &amp; Seasonal Home Decorations (Christmas Quilt-DS08)</t>
        </is>
      </c>
      <c r="N13" s="3" t="inlineStr">
        <is>
          <t>SET</t>
        </is>
      </c>
      <c r="O13" s="3" t="inlineStr">
        <is>
          <t>Winter cardinal birdhouse quilt bedroom mockup</t>
        </is>
      </c>
      <c r="P13" s="3" t="inlineStr">
        <is>
          <t>FULL</t>
        </is>
      </c>
      <c r="Q13" s="3" t="inlineStr">
        <is>
          <t>FULL</t>
        </is>
      </c>
      <c r="R13" s="3" t="inlineStr">
        <is>
          <t>FULL</t>
        </is>
      </c>
      <c r="S13" s="3" t="inlineStr">
        <is>
          <t>FULL</t>
        </is>
      </c>
      <c r="T13" s="7" t="n">
        <f>IF(P13="FULL",40,IF(P13="PARTIAL",40/2,0))+IF(Q13="FULL",30,IF(Q13="PARTIAL",30/2,0))+IF(R13="FULL",20,IF(R13="PARTIAL",20/2,0))+IF(S13="FULL",10,IF(S13="PARTIAL",10/2,0))</f>
        <v>100</v>
      </c>
      <c r="U13" s="7" t="n">
        <f>IF(P13="NOT_CHECKED",0,40)+IF(Q13="NOT_CHECKED",0,30)+IF(R13="NOT_CHECKED",0,20)+IF(S13="NOT_CHECKED",0,10)</f>
        <v>100</v>
      </c>
      <c r="V13" s="7" t="n">
        <f>IF(U13=100,T13,"")</f>
        <v>100</v>
      </c>
      <c r="W13" s="7" t="n">
        <f>T13</f>
        <v>100</v>
      </c>
      <c r="X13" s="7" t="n">
        <f>T13+(100-U13)</f>
        <v>100</v>
      </c>
      <c r="Y13" s="3" t="inlineStr">
        <is>
          <t>[]</t>
        </is>
      </c>
      <c r="Z13" s="3" t="inlineStr">
        <is>
          <t>["evidence_batch_003_023", "https://jeminise.com/products/christmas-bedding-quilt-soft-microfiber-holiday-bedsprea-design-08", "https://cdn.shopify.com/s/files/1/0792/5098/1063/files/6253d0d99a44a39ec73a70fccf1fd5474c4304769ed308a2bce71e6ae7fc6773.jpg?v=1787239336"]</t>
        </is>
      </c>
      <c r="AA13" s="3" t="inlineStr">
        <is>
          <t>r6</t>
        </is>
      </c>
    </row>
    <row r="14" ht="66" customHeight="1">
      <c r="A14" s="2" t="inlineStr">
        <is>
          <t>jeminise.com+christmas-bedding-quilt-soft-microfiber-holiday-bedsprea-design-08</t>
        </is>
      </c>
      <c r="B14" s="2" t="inlineStr">
        <is>
          <t>jeminise.com+christmas-bedding-quilt-soft-microfiber-holiday-bedsprea-design-08|media:47934036607175|pos:3|url:0c9e81ad2f1c</t>
        </is>
      </c>
      <c r="C14" s="4" t="inlineStr">
        <is>
          <t>https://cdn.shopify.com/s/files/1/0792/5098/1063/files/2de8ef1ba93562897c63ce73c8318e5dfa629b1dde66298ab9a0975f5c8e67fa.jpg?v=1787239336</t>
        </is>
      </c>
      <c r="D14" s="4" t="inlineStr">
        <is>
          <t>https://cdn.shopify.com/s/files/1/0792/5098/1063/files/2de8ef1ba93562897c63ce73c8318e5dfa629b1dde66298ab9a0975f5c8e67fa.jpg?v=1787239336</t>
        </is>
      </c>
      <c r="E14" s="2" t="inlineStr">
        <is>
          <t>47934036607175</t>
        </is>
      </c>
      <c r="F14" s="4" t="inlineStr">
        <is>
          <t>https://cdn.shopify.com/s/files/1/0792/5098/1063/files/2de8ef1ba93562897c63ce73c8318e5dfa629b1dde66298ab9a0975f5c8e67fa.jpg?v=1787239336</t>
        </is>
      </c>
      <c r="G14" s="2" t="n"/>
      <c r="H14" s="2" t="inlineStr">
        <is>
          <t>GALLERY</t>
        </is>
      </c>
      <c r="I14" s="2" t="inlineStr">
        <is>
          <t>DIRECT_URL_DOWNLOAD_1200PX + VISUAL_READ</t>
        </is>
      </c>
      <c r="J14" s="2" t="inlineStr">
        <is>
          <t>2026-09-09T12:00:00+07:00</t>
        </is>
      </c>
      <c r="K14" s="2" t="inlineStr">
        <is>
          <t>Isolated pillow sham showing the coordinated printed artwork.</t>
        </is>
      </c>
      <c r="L14" s="2" t="inlineStr">
        <is>
          <t>Matching pillow sham with red cardinals, snowy birdhouse and winter branches.</t>
        </is>
      </c>
      <c r="M14" s="2" t="inlineStr">
        <is>
          <t>Christmas Bedding Quilt – Soft Microfiber Holiday Bedspread, Lightweight Winter Bedding, Cozy Xmas Quilts for Couch, Bedroom &amp; Seasonal Home Decorations (Christmas Quilt-DS08)</t>
        </is>
      </c>
      <c r="N14" s="2" t="inlineStr">
        <is>
          <t>SET</t>
        </is>
      </c>
      <c r="O14" s="2" t="inlineStr">
        <is>
          <t>Winter cardinal birdhouse pillow sham</t>
        </is>
      </c>
      <c r="P14" s="2" t="inlineStr">
        <is>
          <t>FULL</t>
        </is>
      </c>
      <c r="Q14" s="2" t="inlineStr">
        <is>
          <t>FULL</t>
        </is>
      </c>
      <c r="R14" s="2" t="inlineStr">
        <is>
          <t>FULL</t>
        </is>
      </c>
      <c r="S14" s="2" t="inlineStr">
        <is>
          <t>FULL</t>
        </is>
      </c>
      <c r="T14" s="5" t="n">
        <f>IF(P14="FULL",40,IF(P14="PARTIAL",40/2,0))+IF(Q14="FULL",30,IF(Q14="PARTIAL",30/2,0))+IF(R14="FULL",20,IF(R14="PARTIAL",20/2,0))+IF(S14="FULL",10,IF(S14="PARTIAL",10/2,0))</f>
        <v>100</v>
      </c>
      <c r="U14" s="5" t="n">
        <f>IF(P14="NOT_CHECKED",0,40)+IF(Q14="NOT_CHECKED",0,30)+IF(R14="NOT_CHECKED",0,20)+IF(S14="NOT_CHECKED",0,10)</f>
        <v>100</v>
      </c>
      <c r="V14" s="5" t="n">
        <f>IF(U14=100,T14,"")</f>
        <v>100</v>
      </c>
      <c r="W14" s="5" t="n">
        <f>T14</f>
        <v>100</v>
      </c>
      <c r="X14" s="5" t="n">
        <f>T14+(100-U14)</f>
        <v>100</v>
      </c>
      <c r="Y14" s="2" t="inlineStr">
        <is>
          <t>[]</t>
        </is>
      </c>
      <c r="Z14" s="2" t="inlineStr">
        <is>
          <t>["evidence_batch_003_023", "https://jeminise.com/products/christmas-bedding-quilt-soft-microfiber-holiday-bedsprea-design-08", "https://cdn.shopify.com/s/files/1/0792/5098/1063/files/2de8ef1ba93562897c63ce73c8318e5dfa629b1dde66298ab9a0975f5c8e67fa.jpg?v=1787239336"]</t>
        </is>
      </c>
      <c r="AA14" s="2" t="inlineStr">
        <is>
          <t>r6</t>
        </is>
      </c>
    </row>
    <row r="15" ht="66" customHeight="1">
      <c r="A15" s="3" t="inlineStr">
        <is>
          <t>jeminise.com+christmas-bedding-quilt-soft-microfiber-holiday-bedsprea-design-08</t>
        </is>
      </c>
      <c r="B15" s="3" t="inlineStr">
        <is>
          <t>jeminise.com+christmas-bedding-quilt-soft-microfiber-holiday-bedsprea-design-08|media:47934036639943|pos:4|url:b474e58d0484</t>
        </is>
      </c>
      <c r="C15" s="4" t="inlineStr">
        <is>
          <t>https://cdn.shopify.com/s/files/1/0792/5098/1063/files/3b2f22710d1a46e0e095953b6c975ddfea342c3464885dc25bfef9b9378fdb2e.jpg?v=1787239336</t>
        </is>
      </c>
      <c r="D15" s="4" t="inlineStr">
        <is>
          <t>https://cdn.shopify.com/s/files/1/0792/5098/1063/files/3b2f22710d1a46e0e095953b6c975ddfea342c3464885dc25bfef9b9378fdb2e.jpg?v=1787239336</t>
        </is>
      </c>
      <c r="E15" s="3" t="inlineStr">
        <is>
          <t>47934036639943</t>
        </is>
      </c>
      <c r="F15" s="4" t="inlineStr">
        <is>
          <t>https://cdn.shopify.com/s/files/1/0792/5098/1063/files/3b2f22710d1a46e0e095953b6c975ddfea342c3464885dc25bfef9b9378fdb2e.jpg?v=1787239336</t>
        </is>
      </c>
      <c r="G15" s="3" t="n"/>
      <c r="H15" s="3" t="inlineStr">
        <is>
          <t>GALLERY</t>
        </is>
      </c>
      <c r="I15" s="3" t="inlineStr">
        <is>
          <t>DIRECT_URL_DOWNLOAD_1200PX + VISUAL_READ</t>
        </is>
      </c>
      <c r="J15" s="3" t="inlineStr">
        <is>
          <t>2026-09-09T12:00:00+07:00</t>
        </is>
      </c>
      <c r="K15" s="3" t="inlineStr">
        <is>
          <t>Close-up of printed surface and visible quilting texture.</t>
        </is>
      </c>
      <c r="L15" s="3" t="inlineStr">
        <is>
          <t>Close-up of red cardinal, snow-covered birdhouse, berries and visible quilt stitching.</t>
        </is>
      </c>
      <c r="M15" s="3" t="inlineStr">
        <is>
          <t>Christmas Bedding Quilt – Soft Microfiber Holiday Bedspread, Lightweight Winter Bedding, Cozy Xmas Quilts for Couch, Bedroom &amp; Seasonal Home Decorations (Christmas Quilt-DS08)</t>
        </is>
      </c>
      <c r="N15" s="3" t="inlineStr">
        <is>
          <t>SET</t>
        </is>
      </c>
      <c r="O15" s="3" t="inlineStr">
        <is>
          <t>Winter cardinal birdhouse quilt stitching close-up</t>
        </is>
      </c>
      <c r="P15" s="3" t="inlineStr">
        <is>
          <t>FULL</t>
        </is>
      </c>
      <c r="Q15" s="3" t="inlineStr">
        <is>
          <t>FULL</t>
        </is>
      </c>
      <c r="R15" s="3" t="inlineStr">
        <is>
          <t>FULL</t>
        </is>
      </c>
      <c r="S15" s="3" t="inlineStr">
        <is>
          <t>FULL</t>
        </is>
      </c>
      <c r="T15" s="7" t="n">
        <f>IF(P15="FULL",40,IF(P15="PARTIAL",40/2,0))+IF(Q15="FULL",30,IF(Q15="PARTIAL",30/2,0))+IF(R15="FULL",20,IF(R15="PARTIAL",20/2,0))+IF(S15="FULL",10,IF(S15="PARTIAL",10/2,0))</f>
        <v>100</v>
      </c>
      <c r="U15" s="7" t="n">
        <f>IF(P15="NOT_CHECKED",0,40)+IF(Q15="NOT_CHECKED",0,30)+IF(R15="NOT_CHECKED",0,20)+IF(S15="NOT_CHECKED",0,10)</f>
        <v>100</v>
      </c>
      <c r="V15" s="7" t="n">
        <f>IF(U15=100,T15,"")</f>
        <v>100</v>
      </c>
      <c r="W15" s="7" t="n">
        <f>T15</f>
        <v>100</v>
      </c>
      <c r="X15" s="7" t="n">
        <f>T15+(100-U15)</f>
        <v>100</v>
      </c>
      <c r="Y15" s="3" t="inlineStr">
        <is>
          <t>[]</t>
        </is>
      </c>
      <c r="Z15" s="3" t="inlineStr">
        <is>
          <t>["evidence_batch_003_023", "https://jeminise.com/products/christmas-bedding-quilt-soft-microfiber-holiday-bedsprea-design-08", "https://cdn.shopify.com/s/files/1/0792/5098/1063/files/3b2f22710d1a46e0e095953b6c975ddfea342c3464885dc25bfef9b9378fdb2e.jpg?v=1787239336"]</t>
        </is>
      </c>
      <c r="AA15" s="3" t="inlineStr">
        <is>
          <t>r6</t>
        </is>
      </c>
    </row>
    <row r="16" ht="66" customHeight="1">
      <c r="A16" s="2" t="inlineStr">
        <is>
          <t>jeminise.com+christmas-bedding-quilt-soft-microfiber-holiday-bedsprea-design-08</t>
        </is>
      </c>
      <c r="B16" s="2" t="inlineStr">
        <is>
          <t>jeminise.com+christmas-bedding-quilt-soft-microfiber-holiday-bedsprea-design-08|media:47934036672711|pos:5|url:49e774b7bfed</t>
        </is>
      </c>
      <c r="C16" s="4" t="inlineStr">
        <is>
          <t>https://cdn.shopify.com/s/files/1/0792/5098/1063/files/0dee6830a719b55bc41e1ff6962d26e0a61f2f790098df31d82ccf6c573e00bb.jpg?v=1787239336</t>
        </is>
      </c>
      <c r="D16" s="4" t="inlineStr">
        <is>
          <t>https://cdn.shopify.com/s/files/1/0792/5098/1063/files/0dee6830a719b55bc41e1ff6962d26e0a61f2f790098df31d82ccf6c573e00bb.jpg?v=1787239336</t>
        </is>
      </c>
      <c r="E16" s="2" t="inlineStr">
        <is>
          <t>47934036672711</t>
        </is>
      </c>
      <c r="F16" s="4" t="inlineStr">
        <is>
          <t>https://cdn.shopify.com/s/files/1/0792/5098/1063/files/0dee6830a719b55bc41e1ff6962d26e0a61f2f790098df31d82ccf6c573e00bb.jpg?v=1787239336</t>
        </is>
      </c>
      <c r="G16" s="2" t="n"/>
      <c r="H16" s="2" t="inlineStr">
        <is>
          <t>GALLERY</t>
        </is>
      </c>
      <c r="I16" s="2" t="inlineStr">
        <is>
          <t>DIRECT_URL_DOWNLOAD_1200PX + VISUAL_READ</t>
        </is>
      </c>
      <c r="J16" s="2" t="inlineStr">
        <is>
          <t>2026-09-09T12:00:00+07:00</t>
        </is>
      </c>
      <c r="K16" s="2" t="inlineStr">
        <is>
          <t>Included-components and size graphic with quilt/sham options and dimensions.</t>
        </is>
      </c>
      <c r="L16" s="2" t="inlineStr">
        <is>
          <t>Size and component panel showing one premium quilt and two optional standard shams.</t>
        </is>
      </c>
      <c r="M16" s="2" t="inlineStr">
        <is>
          <t>Christmas Bedding Quilt – Soft Microfiber Holiday Bedspread, Lightweight Winter Bedding, Cozy Xmas Quilts for Couch, Bedroom &amp; Seasonal Home Decorations (Christmas Quilt-DS08)</t>
        </is>
      </c>
      <c r="N16" s="2" t="inlineStr">
        <is>
          <t>SET</t>
        </is>
      </c>
      <c r="O16" s="2" t="inlineStr">
        <is>
          <t>Winter cardinal birdhouse quilt size options</t>
        </is>
      </c>
      <c r="P16" s="2" t="inlineStr">
        <is>
          <t>FULL</t>
        </is>
      </c>
      <c r="Q16" s="2" t="inlineStr">
        <is>
          <t>FULL</t>
        </is>
      </c>
      <c r="R16" s="2" t="inlineStr">
        <is>
          <t>FULL</t>
        </is>
      </c>
      <c r="S16" s="2" t="inlineStr">
        <is>
          <t>FULL</t>
        </is>
      </c>
      <c r="T16" s="5" t="n">
        <f>IF(P16="FULL",40,IF(P16="PARTIAL",40/2,0))+IF(Q16="FULL",30,IF(Q16="PARTIAL",30/2,0))+IF(R16="FULL",20,IF(R16="PARTIAL",20/2,0))+IF(S16="FULL",10,IF(S16="PARTIAL",10/2,0))</f>
        <v>100</v>
      </c>
      <c r="U16" s="5" t="n">
        <f>IF(P16="NOT_CHECKED",0,40)+IF(Q16="NOT_CHECKED",0,30)+IF(R16="NOT_CHECKED",0,20)+IF(S16="NOT_CHECKED",0,10)</f>
        <v>100</v>
      </c>
      <c r="V16" s="5" t="n">
        <f>IF(U16=100,T16,"")</f>
        <v>100</v>
      </c>
      <c r="W16" s="5" t="n">
        <f>T16</f>
        <v>100</v>
      </c>
      <c r="X16" s="5" t="n">
        <f>T16+(100-U16)</f>
        <v>100</v>
      </c>
      <c r="Y16" s="2" t="inlineStr">
        <is>
          <t>[]</t>
        </is>
      </c>
      <c r="Z16" s="2" t="inlineStr">
        <is>
          <t>["evidence_batch_003_023", "https://jeminise.com/products/christmas-bedding-quilt-soft-microfiber-holiday-bedsprea-design-08", "https://cdn.shopify.com/s/files/1/0792/5098/1063/files/0dee6830a719b55bc41e1ff6962d26e0a61f2f790098df31d82ccf6c573e00bb.jpg?v=1787239336"]</t>
        </is>
      </c>
      <c r="AA16" s="2" t="inlineStr">
        <is>
          <t>r6</t>
        </is>
      </c>
    </row>
    <row r="17" ht="66" customHeight="1">
      <c r="A17" s="3" t="inlineStr">
        <is>
          <t>jeminise.com+christmas-bedding-quilt-soft-microfiber-holiday-bedsprea-design-09</t>
        </is>
      </c>
      <c r="B17" s="3" t="inlineStr">
        <is>
          <t>jeminise.com+christmas-bedding-quilt-soft-microfiber-holiday-bedsprea-design-09|media:47934040703175|pos:1|url:ad49646d593f</t>
        </is>
      </c>
      <c r="C17" s="4" t="inlineStr">
        <is>
          <t>https://cdn.shopify.com/s/files/1/0792/5098/1063/files/d2bc26d7e0a1539757ff02234b818258378a4fed938876959c8d6c2a9252ab74.jpg?v=1787239380</t>
        </is>
      </c>
      <c r="D17" s="4" t="inlineStr">
        <is>
          <t>https://cdn.shopify.com/s/files/1/0792/5098/1063/files/d2bc26d7e0a1539757ff02234b818258378a4fed938876959c8d6c2a9252ab74.jpg?v=1787239380</t>
        </is>
      </c>
      <c r="E17" s="3" t="inlineStr">
        <is>
          <t>47934040703175</t>
        </is>
      </c>
      <c r="F17" s="4" t="inlineStr">
        <is>
          <t>https://cdn.shopify.com/s/files/1/0792/5098/1063/files/d2bc26d7e0a1539757ff02234b818258378a4fed938876959c8d6c2a9252ab74.jpg?v=1787239380</t>
        </is>
      </c>
      <c r="G17" s="3" t="n"/>
      <c r="H17" s="3" t="inlineStr">
        <is>
          <t>GALLERY</t>
        </is>
      </c>
      <c r="I17" s="3" t="inlineStr">
        <is>
          <t>DIRECT_URL_DOWNLOAD_1200PX + VISUAL_READ</t>
        </is>
      </c>
      <c r="J17" s="3" t="inlineStr">
        <is>
          <t>2026-09-09T12:00:00+07:00</t>
        </is>
      </c>
      <c r="K17" s="3" t="inlineStr">
        <is>
          <t>Front bedroom mockup showing the primary quilt motif and coordinated shams.</t>
        </is>
      </c>
      <c r="L17" s="3" t="inlineStr">
        <is>
          <t>Gingerbread Christmas village quilt bed mockup with snowman, presents, village lights and matching shams.</t>
        </is>
      </c>
      <c r="M17" s="3" t="inlineStr">
        <is>
          <t>Christmas Bedding Quilt – Soft Microfiber Holiday Bedspread, Lightweight Winter Bedding, Cozy Xmas Quilts for Couch, Bedroom &amp; Seasonal Home Decorations (Christmas Quilt-DS09)</t>
        </is>
      </c>
      <c r="N17" s="3" t="inlineStr">
        <is>
          <t>SET</t>
        </is>
      </c>
      <c r="O17" s="3" t="inlineStr">
        <is>
          <t>Gingerbread Christmas village quilt set on bed</t>
        </is>
      </c>
      <c r="P17" s="3" t="inlineStr">
        <is>
          <t>FULL</t>
        </is>
      </c>
      <c r="Q17" s="3" t="inlineStr">
        <is>
          <t>FULL</t>
        </is>
      </c>
      <c r="R17" s="3" t="inlineStr">
        <is>
          <t>FULL</t>
        </is>
      </c>
      <c r="S17" s="3" t="inlineStr">
        <is>
          <t>FULL</t>
        </is>
      </c>
      <c r="T17" s="7" t="n">
        <f>IF(P17="FULL",40,IF(P17="PARTIAL",40/2,0))+IF(Q17="FULL",30,IF(Q17="PARTIAL",30/2,0))+IF(R17="FULL",20,IF(R17="PARTIAL",20/2,0))+IF(S17="FULL",10,IF(S17="PARTIAL",10/2,0))</f>
        <v>100</v>
      </c>
      <c r="U17" s="7" t="n">
        <f>IF(P17="NOT_CHECKED",0,40)+IF(Q17="NOT_CHECKED",0,30)+IF(R17="NOT_CHECKED",0,20)+IF(S17="NOT_CHECKED",0,10)</f>
        <v>100</v>
      </c>
      <c r="V17" s="7" t="n">
        <f>IF(U17=100,T17,"")</f>
        <v>100</v>
      </c>
      <c r="W17" s="7" t="n">
        <f>T17</f>
        <v>100</v>
      </c>
      <c r="X17" s="7" t="n">
        <f>T17+(100-U17)</f>
        <v>100</v>
      </c>
      <c r="Y17" s="3" t="inlineStr">
        <is>
          <t>[]</t>
        </is>
      </c>
      <c r="Z17" s="3" t="inlineStr">
        <is>
          <t>["evidence_batch_003_024", "https://jeminise.com/products/christmas-bedding-quilt-soft-microfiber-holiday-bedsprea-design-09", "https://cdn.shopify.com/s/files/1/0792/5098/1063/files/d2bc26d7e0a1539757ff02234b818258378a4fed938876959c8d6c2a9252ab74.jpg?v=1787239380"]</t>
        </is>
      </c>
      <c r="AA17" s="3" t="inlineStr">
        <is>
          <t>r6</t>
        </is>
      </c>
    </row>
    <row r="18" ht="66" customHeight="1">
      <c r="A18" s="2" t="inlineStr">
        <is>
          <t>jeminise.com+christmas-bedding-quilt-soft-microfiber-holiday-bedsprea-design-09</t>
        </is>
      </c>
      <c r="B18" s="2" t="inlineStr">
        <is>
          <t>jeminise.com+christmas-bedding-quilt-soft-microfiber-holiday-bedsprea-design-09|media:47934040735943|pos:2|url:272a0eed63e5</t>
        </is>
      </c>
      <c r="C18" s="4" t="inlineStr">
        <is>
          <t>https://cdn.shopify.com/s/files/1/0792/5098/1063/files/92819bbb1bab62430498426868c03f6a71d83b02976baffe6e9ae7c163a8d57a.jpg?v=1787239380</t>
        </is>
      </c>
      <c r="D18" s="4" t="inlineStr">
        <is>
          <t>https://cdn.shopify.com/s/files/1/0792/5098/1063/files/92819bbb1bab62430498426868c03f6a71d83b02976baffe6e9ae7c163a8d57a.jpg?v=1787239380</t>
        </is>
      </c>
      <c r="E18" s="2" t="inlineStr">
        <is>
          <t>47934040735943</t>
        </is>
      </c>
      <c r="F18" s="4" t="inlineStr">
        <is>
          <t>https://cdn.shopify.com/s/files/1/0792/5098/1063/files/92819bbb1bab62430498426868c03f6a71d83b02976baffe6e9ae7c163a8d57a.jpg?v=1787239380</t>
        </is>
      </c>
      <c r="G18" s="2" t="n"/>
      <c r="H18" s="2" t="inlineStr">
        <is>
          <t>GALLERY</t>
        </is>
      </c>
      <c r="I18" s="2" t="inlineStr">
        <is>
          <t>DIRECT_URL_DOWNLOAD_1200PX + VISUAL_READ</t>
        </is>
      </c>
      <c r="J18" s="2" t="inlineStr">
        <is>
          <t>2026-09-09T12:00:00+07:00</t>
        </is>
      </c>
      <c r="K18" s="2" t="inlineStr">
        <is>
          <t>Angled bedroom mockup confirming the same motif across the set.</t>
        </is>
      </c>
      <c r="L18" s="2" t="inlineStr">
        <is>
          <t>Bedroom mockup showing gingerbread Christmas village quilt with colorful gifts and snowy night sky.</t>
        </is>
      </c>
      <c r="M18" s="2" t="inlineStr">
        <is>
          <t>Christmas Bedding Quilt – Soft Microfiber Holiday Bedspread, Lightweight Winter Bedding, Cozy Xmas Quilts for Couch, Bedroom &amp; Seasonal Home Decorations (Christmas Quilt-DS09)</t>
        </is>
      </c>
      <c r="N18" s="2" t="inlineStr">
        <is>
          <t>SET</t>
        </is>
      </c>
      <c r="O18" s="2" t="inlineStr">
        <is>
          <t>Gingerbread village quilt bedroom mockup</t>
        </is>
      </c>
      <c r="P18" s="2" t="inlineStr">
        <is>
          <t>FULL</t>
        </is>
      </c>
      <c r="Q18" s="2" t="inlineStr">
        <is>
          <t>FULL</t>
        </is>
      </c>
      <c r="R18" s="2" t="inlineStr">
        <is>
          <t>FULL</t>
        </is>
      </c>
      <c r="S18" s="2" t="inlineStr">
        <is>
          <t>FULL</t>
        </is>
      </c>
      <c r="T18" s="5" t="n">
        <f>IF(P18="FULL",40,IF(P18="PARTIAL",40/2,0))+IF(Q18="FULL",30,IF(Q18="PARTIAL",30/2,0))+IF(R18="FULL",20,IF(R18="PARTIAL",20/2,0))+IF(S18="FULL",10,IF(S18="PARTIAL",10/2,0))</f>
        <v>100</v>
      </c>
      <c r="U18" s="5" t="n">
        <f>IF(P18="NOT_CHECKED",0,40)+IF(Q18="NOT_CHECKED",0,30)+IF(R18="NOT_CHECKED",0,20)+IF(S18="NOT_CHECKED",0,10)</f>
        <v>100</v>
      </c>
      <c r="V18" s="5" t="n">
        <f>IF(U18=100,T18,"")</f>
        <v>100</v>
      </c>
      <c r="W18" s="5" t="n">
        <f>T18</f>
        <v>100</v>
      </c>
      <c r="X18" s="5" t="n">
        <f>T18+(100-U18)</f>
        <v>100</v>
      </c>
      <c r="Y18" s="2" t="inlineStr">
        <is>
          <t>[]</t>
        </is>
      </c>
      <c r="Z18" s="2" t="inlineStr">
        <is>
          <t>["evidence_batch_003_024", "https://jeminise.com/products/christmas-bedding-quilt-soft-microfiber-holiday-bedsprea-design-09", "https://cdn.shopify.com/s/files/1/0792/5098/1063/files/92819bbb1bab62430498426868c03f6a71d83b02976baffe6e9ae7c163a8d57a.jpg?v=1787239380"]</t>
        </is>
      </c>
      <c r="AA18" s="2" t="inlineStr">
        <is>
          <t>r6</t>
        </is>
      </c>
    </row>
    <row r="19" ht="66" customHeight="1">
      <c r="A19" s="3" t="inlineStr">
        <is>
          <t>jeminise.com+christmas-bedding-quilt-soft-microfiber-holiday-bedsprea-design-09</t>
        </is>
      </c>
      <c r="B19" s="3" t="inlineStr">
        <is>
          <t>jeminise.com+christmas-bedding-quilt-soft-microfiber-holiday-bedsprea-design-09|media:47934040768711|pos:3|url:5102da6e745a</t>
        </is>
      </c>
      <c r="C19" s="4" t="inlineStr">
        <is>
          <t>https://cdn.shopify.com/s/files/1/0792/5098/1063/files/8b9b39ff116a9ed0e810e59f32df8035bc7842af460038e5fe9e42fe52d11d2b.jpg?v=1787239380</t>
        </is>
      </c>
      <c r="D19" s="4" t="inlineStr">
        <is>
          <t>https://cdn.shopify.com/s/files/1/0792/5098/1063/files/8b9b39ff116a9ed0e810e59f32df8035bc7842af460038e5fe9e42fe52d11d2b.jpg?v=1787239380</t>
        </is>
      </c>
      <c r="E19" s="3" t="inlineStr">
        <is>
          <t>47934040768711</t>
        </is>
      </c>
      <c r="F19" s="4" t="inlineStr">
        <is>
          <t>https://cdn.shopify.com/s/files/1/0792/5098/1063/files/8b9b39ff116a9ed0e810e59f32df8035bc7842af460038e5fe9e42fe52d11d2b.jpg?v=1787239380</t>
        </is>
      </c>
      <c r="G19" s="3" t="n"/>
      <c r="H19" s="3" t="inlineStr">
        <is>
          <t>GALLERY</t>
        </is>
      </c>
      <c r="I19" s="3" t="inlineStr">
        <is>
          <t>DIRECT_URL_DOWNLOAD_1200PX + VISUAL_READ</t>
        </is>
      </c>
      <c r="J19" s="3" t="inlineStr">
        <is>
          <t>2026-09-09T12:00:00+07:00</t>
        </is>
      </c>
      <c r="K19" s="3" t="inlineStr">
        <is>
          <t>Isolated pillow sham showing the coordinated printed artwork.</t>
        </is>
      </c>
      <c r="L19" s="3" t="inlineStr">
        <is>
          <t>Matching pillow sham with gingerbread figure, moonlit village, presents and snowy holiday scene.</t>
        </is>
      </c>
      <c r="M19" s="3" t="inlineStr">
        <is>
          <t>Christmas Bedding Quilt – Soft Microfiber Holiday Bedspread, Lightweight Winter Bedding, Cozy Xmas Quilts for Couch, Bedroom &amp; Seasonal Home Decorations (Christmas Quilt-DS09)</t>
        </is>
      </c>
      <c r="N19" s="3" t="inlineStr">
        <is>
          <t>SET</t>
        </is>
      </c>
      <c r="O19" s="3" t="inlineStr">
        <is>
          <t>Gingerbread Christmas village pillow sham</t>
        </is>
      </c>
      <c r="P19" s="3" t="inlineStr">
        <is>
          <t>FULL</t>
        </is>
      </c>
      <c r="Q19" s="3" t="inlineStr">
        <is>
          <t>FULL</t>
        </is>
      </c>
      <c r="R19" s="3" t="inlineStr">
        <is>
          <t>FULL</t>
        </is>
      </c>
      <c r="S19" s="3" t="inlineStr">
        <is>
          <t>FULL</t>
        </is>
      </c>
      <c r="T19" s="7" t="n">
        <f>IF(P19="FULL",40,IF(P19="PARTIAL",40/2,0))+IF(Q19="FULL",30,IF(Q19="PARTIAL",30/2,0))+IF(R19="FULL",20,IF(R19="PARTIAL",20/2,0))+IF(S19="FULL",10,IF(S19="PARTIAL",10/2,0))</f>
        <v>100</v>
      </c>
      <c r="U19" s="7" t="n">
        <f>IF(P19="NOT_CHECKED",0,40)+IF(Q19="NOT_CHECKED",0,30)+IF(R19="NOT_CHECKED",0,20)+IF(S19="NOT_CHECKED",0,10)</f>
        <v>100</v>
      </c>
      <c r="V19" s="7" t="n">
        <f>IF(U19=100,T19,"")</f>
        <v>100</v>
      </c>
      <c r="W19" s="7" t="n">
        <f>T19</f>
        <v>100</v>
      </c>
      <c r="X19" s="7" t="n">
        <f>T19+(100-U19)</f>
        <v>100</v>
      </c>
      <c r="Y19" s="3" t="inlineStr">
        <is>
          <t>[]</t>
        </is>
      </c>
      <c r="Z19" s="3" t="inlineStr">
        <is>
          <t>["evidence_batch_003_024", "https://jeminise.com/products/christmas-bedding-quilt-soft-microfiber-holiday-bedsprea-design-09", "https://cdn.shopify.com/s/files/1/0792/5098/1063/files/8b9b39ff116a9ed0e810e59f32df8035bc7842af460038e5fe9e42fe52d11d2b.jpg?v=1787239380"]</t>
        </is>
      </c>
      <c r="AA19" s="3" t="inlineStr">
        <is>
          <t>r6</t>
        </is>
      </c>
    </row>
    <row r="20" ht="66" customHeight="1">
      <c r="A20" s="2" t="inlineStr">
        <is>
          <t>jeminise.com+christmas-bedding-quilt-soft-microfiber-holiday-bedsprea-design-09</t>
        </is>
      </c>
      <c r="B20" s="2" t="inlineStr">
        <is>
          <t>jeminise.com+christmas-bedding-quilt-soft-microfiber-holiday-bedsprea-design-09|media:47934040801479|pos:4|url:85e5698a0a98</t>
        </is>
      </c>
      <c r="C20" s="4" t="inlineStr">
        <is>
          <t>https://cdn.shopify.com/s/files/1/0792/5098/1063/files/ff6861c326fe77551be0989f5304657a44c60df7dd12c0c301ad5ca8d111f257.jpg?v=1787239380</t>
        </is>
      </c>
      <c r="D20" s="4" t="inlineStr">
        <is>
          <t>https://cdn.shopify.com/s/files/1/0792/5098/1063/files/ff6861c326fe77551be0989f5304657a44c60df7dd12c0c301ad5ca8d111f257.jpg?v=1787239380</t>
        </is>
      </c>
      <c r="E20" s="2" t="inlineStr">
        <is>
          <t>47934040801479</t>
        </is>
      </c>
      <c r="F20" s="4" t="inlineStr">
        <is>
          <t>https://cdn.shopify.com/s/files/1/0792/5098/1063/files/ff6861c326fe77551be0989f5304657a44c60df7dd12c0c301ad5ca8d111f257.jpg?v=1787239380</t>
        </is>
      </c>
      <c r="G20" s="2" t="n"/>
      <c r="H20" s="2" t="inlineStr">
        <is>
          <t>GALLERY</t>
        </is>
      </c>
      <c r="I20" s="2" t="inlineStr">
        <is>
          <t>DIRECT_URL_DOWNLOAD_1200PX + VISUAL_READ</t>
        </is>
      </c>
      <c r="J20" s="2" t="inlineStr">
        <is>
          <t>2026-09-09T12:00:00+07:00</t>
        </is>
      </c>
      <c r="K20" s="2" t="inlineStr">
        <is>
          <t>Close-up of printed surface and visible quilting texture.</t>
        </is>
      </c>
      <c r="L20" s="2" t="inlineStr">
        <is>
          <t>Close-up of gingerbread snowman scarf, village houses and visible quilt stitching.</t>
        </is>
      </c>
      <c r="M20" s="2" t="inlineStr">
        <is>
          <t>Christmas Bedding Quilt – Soft Microfiber Holiday Bedspread, Lightweight Winter Bedding, Cozy Xmas Quilts for Couch, Bedroom &amp; Seasonal Home Decorations (Christmas Quilt-DS09)</t>
        </is>
      </c>
      <c r="N20" s="2" t="inlineStr">
        <is>
          <t>SET</t>
        </is>
      </c>
      <c r="O20" s="2" t="inlineStr">
        <is>
          <t>Gingerbread village quilt stitching close-up</t>
        </is>
      </c>
      <c r="P20" s="2" t="inlineStr">
        <is>
          <t>FULL</t>
        </is>
      </c>
      <c r="Q20" s="2" t="inlineStr">
        <is>
          <t>FULL</t>
        </is>
      </c>
      <c r="R20" s="2" t="inlineStr">
        <is>
          <t>FULL</t>
        </is>
      </c>
      <c r="S20" s="2" t="inlineStr">
        <is>
          <t>FULL</t>
        </is>
      </c>
      <c r="T20" s="5" t="n">
        <f>IF(P20="FULL",40,IF(P20="PARTIAL",40/2,0))+IF(Q20="FULL",30,IF(Q20="PARTIAL",30/2,0))+IF(R20="FULL",20,IF(R20="PARTIAL",20/2,0))+IF(S20="FULL",10,IF(S20="PARTIAL",10/2,0))</f>
        <v>100</v>
      </c>
      <c r="U20" s="5" t="n">
        <f>IF(P20="NOT_CHECKED",0,40)+IF(Q20="NOT_CHECKED",0,30)+IF(R20="NOT_CHECKED",0,20)+IF(S20="NOT_CHECKED",0,10)</f>
        <v>100</v>
      </c>
      <c r="V20" s="5" t="n">
        <f>IF(U20=100,T20,"")</f>
        <v>100</v>
      </c>
      <c r="W20" s="5" t="n">
        <f>T20</f>
        <v>100</v>
      </c>
      <c r="X20" s="5" t="n">
        <f>T20+(100-U20)</f>
        <v>100</v>
      </c>
      <c r="Y20" s="2" t="inlineStr">
        <is>
          <t>[]</t>
        </is>
      </c>
      <c r="Z20" s="2" t="inlineStr">
        <is>
          <t>["evidence_batch_003_024", "https://jeminise.com/products/christmas-bedding-quilt-soft-microfiber-holiday-bedsprea-design-09", "https://cdn.shopify.com/s/files/1/0792/5098/1063/files/ff6861c326fe77551be0989f5304657a44c60df7dd12c0c301ad5ca8d111f257.jpg?v=1787239380"]</t>
        </is>
      </c>
      <c r="AA20" s="2" t="inlineStr">
        <is>
          <t>r6</t>
        </is>
      </c>
    </row>
    <row r="21" ht="66" customHeight="1">
      <c r="A21" s="3" t="inlineStr">
        <is>
          <t>jeminise.com+christmas-bedding-quilt-soft-microfiber-holiday-bedsprea-design-09</t>
        </is>
      </c>
      <c r="B21" s="3" t="inlineStr">
        <is>
          <t>jeminise.com+christmas-bedding-quilt-soft-microfiber-holiday-bedsprea-design-09|media:47934040834247|pos:5|url:07bab55abd26</t>
        </is>
      </c>
      <c r="C21" s="4" t="inlineStr">
        <is>
          <t>https://cdn.shopify.com/s/files/1/0792/5098/1063/files/a525d08980e5d668ee538fa59be8827c6e640884669920a738b16cc49b1b4c24.jpg?v=1787239380</t>
        </is>
      </c>
      <c r="D21" s="4" t="inlineStr">
        <is>
          <t>https://cdn.shopify.com/s/files/1/0792/5098/1063/files/a525d08980e5d668ee538fa59be8827c6e640884669920a738b16cc49b1b4c24.jpg?v=1787239380</t>
        </is>
      </c>
      <c r="E21" s="3" t="inlineStr">
        <is>
          <t>47934040834247</t>
        </is>
      </c>
      <c r="F21" s="4" t="inlineStr">
        <is>
          <t>https://cdn.shopify.com/s/files/1/0792/5098/1063/files/a525d08980e5d668ee538fa59be8827c6e640884669920a738b16cc49b1b4c24.jpg?v=1787239380</t>
        </is>
      </c>
      <c r="G21" s="3" t="n"/>
      <c r="H21" s="3" t="inlineStr">
        <is>
          <t>GALLERY</t>
        </is>
      </c>
      <c r="I21" s="3" t="inlineStr">
        <is>
          <t>DIRECT_URL_DOWNLOAD_1200PX + VISUAL_READ</t>
        </is>
      </c>
      <c r="J21" s="3" t="inlineStr">
        <is>
          <t>2026-09-09T12:00:00+07:00</t>
        </is>
      </c>
      <c r="K21" s="3" t="inlineStr">
        <is>
          <t>Included-components and size graphic with quilt/sham options and dimensions.</t>
        </is>
      </c>
      <c r="L21" s="3" t="inlineStr">
        <is>
          <t>Size and component panel showing one premium quilt and two optional standard shams.</t>
        </is>
      </c>
      <c r="M21" s="3" t="inlineStr">
        <is>
          <t>Christmas Bedding Quilt – Soft Microfiber Holiday Bedspread, Lightweight Winter Bedding, Cozy Xmas Quilts for Couch, Bedroom &amp; Seasonal Home Decorations (Christmas Quilt-DS09)</t>
        </is>
      </c>
      <c r="N21" s="3" t="inlineStr">
        <is>
          <t>SET</t>
        </is>
      </c>
      <c r="O21" s="3" t="inlineStr">
        <is>
          <t>Gingerbread village quilt size and sham options</t>
        </is>
      </c>
      <c r="P21" s="3" t="inlineStr">
        <is>
          <t>FULL</t>
        </is>
      </c>
      <c r="Q21" s="3" t="inlineStr">
        <is>
          <t>FULL</t>
        </is>
      </c>
      <c r="R21" s="3" t="inlineStr">
        <is>
          <t>FULL</t>
        </is>
      </c>
      <c r="S21" s="3" t="inlineStr">
        <is>
          <t>FULL</t>
        </is>
      </c>
      <c r="T21" s="7" t="n">
        <f>IF(P21="FULL",40,IF(P21="PARTIAL",40/2,0))+IF(Q21="FULL",30,IF(Q21="PARTIAL",30/2,0))+IF(R21="FULL",20,IF(R21="PARTIAL",20/2,0))+IF(S21="FULL",10,IF(S21="PARTIAL",10/2,0))</f>
        <v>100</v>
      </c>
      <c r="U21" s="7" t="n">
        <f>IF(P21="NOT_CHECKED",0,40)+IF(Q21="NOT_CHECKED",0,30)+IF(R21="NOT_CHECKED",0,20)+IF(S21="NOT_CHECKED",0,10)</f>
        <v>100</v>
      </c>
      <c r="V21" s="7" t="n">
        <f>IF(U21=100,T21,"")</f>
        <v>100</v>
      </c>
      <c r="W21" s="7" t="n">
        <f>T21</f>
        <v>100</v>
      </c>
      <c r="X21" s="7" t="n">
        <f>T21+(100-U21)</f>
        <v>100</v>
      </c>
      <c r="Y21" s="3" t="inlineStr">
        <is>
          <t>[]</t>
        </is>
      </c>
      <c r="Z21" s="3" t="inlineStr">
        <is>
          <t>["evidence_batch_003_024", "https://jeminise.com/products/christmas-bedding-quilt-soft-microfiber-holiday-bedsprea-design-09", "https://cdn.shopify.com/s/files/1/0792/5098/1063/files/a525d08980e5d668ee538fa59be8827c6e640884669920a738b16cc49b1b4c24.jpg?v=1787239380"]</t>
        </is>
      </c>
      <c r="AA21" s="3" t="inlineStr">
        <is>
          <t>r6</t>
        </is>
      </c>
    </row>
    <row r="22" ht="66" customHeight="1">
      <c r="A22" s="2" t="inlineStr">
        <is>
          <t>jeminise.com+christmas-bedding-quilt-soft-microfiber-holiday-bedsprea-design-10</t>
        </is>
      </c>
      <c r="B22" s="2" t="inlineStr">
        <is>
          <t>jeminise.com+christmas-bedding-quilt-soft-microfiber-holiday-bedsprea-design-10|media:47934030708935|pos:1|url:1f41180bd659</t>
        </is>
      </c>
      <c r="C22" s="4" t="inlineStr">
        <is>
          <t>https://cdn.shopify.com/s/files/1/0792/5098/1063/files/c9012211f4a80fc29b04e6c36a6d06286d3bcd99481ba14bb0f48bbd8dc22628.jpg?v=1787239292</t>
        </is>
      </c>
      <c r="D22" s="4" t="inlineStr">
        <is>
          <t>https://cdn.shopify.com/s/files/1/0792/5098/1063/files/c9012211f4a80fc29b04e6c36a6d06286d3bcd99481ba14bb0f48bbd8dc22628.jpg?v=1787239292</t>
        </is>
      </c>
      <c r="E22" s="2" t="inlineStr">
        <is>
          <t>47934030708935</t>
        </is>
      </c>
      <c r="F22" s="4" t="inlineStr">
        <is>
          <t>https://cdn.shopify.com/s/files/1/0792/5098/1063/files/c9012211f4a80fc29b04e6c36a6d06286d3bcd99481ba14bb0f48bbd8dc22628.jpg?v=1787239292</t>
        </is>
      </c>
      <c r="G22" s="2" t="n"/>
      <c r="H22" s="2" t="inlineStr">
        <is>
          <t>GALLERY</t>
        </is>
      </c>
      <c r="I22" s="2" t="inlineStr">
        <is>
          <t>DIRECT_URL_DOWNLOAD_1200PX + VISUAL_READ</t>
        </is>
      </c>
      <c r="J22" s="2" t="inlineStr">
        <is>
          <t>2026-09-09T12:00:00+07:00</t>
        </is>
      </c>
      <c r="K22" s="2" t="inlineStr">
        <is>
          <t>Front bedroom mockup showing the primary quilt motif and coordinated shams.</t>
        </is>
      </c>
      <c r="L22" s="2" t="inlineStr">
        <is>
          <t>Snowman and cardinals Christmas quilt bed mockup with red background, pine trees and matching shams.</t>
        </is>
      </c>
      <c r="M22" s="2" t="inlineStr">
        <is>
          <t>Christmas Bedding Quilt – Soft Microfiber Holiday Bedspread, Lightweight Winter Bedding, Cozy Xmas Quilts for Couch, Bedroom &amp; Seasonal Home Decorations (Christmas Quilt-DS10)</t>
        </is>
      </c>
      <c r="N22" s="2" t="inlineStr">
        <is>
          <t>SET</t>
        </is>
      </c>
      <c r="O22" s="2" t="inlineStr">
        <is>
          <t>Snowman cardinals Christmas quilt set on bed</t>
        </is>
      </c>
      <c r="P22" s="2" t="inlineStr">
        <is>
          <t>FULL</t>
        </is>
      </c>
      <c r="Q22" s="2" t="inlineStr">
        <is>
          <t>FULL</t>
        </is>
      </c>
      <c r="R22" s="2" t="inlineStr">
        <is>
          <t>FULL</t>
        </is>
      </c>
      <c r="S22" s="2" t="inlineStr">
        <is>
          <t>FULL</t>
        </is>
      </c>
      <c r="T22" s="5" t="n">
        <f>IF(P22="FULL",40,IF(P22="PARTIAL",40/2,0))+IF(Q22="FULL",30,IF(Q22="PARTIAL",30/2,0))+IF(R22="FULL",20,IF(R22="PARTIAL",20/2,0))+IF(S22="FULL",10,IF(S22="PARTIAL",10/2,0))</f>
        <v>100</v>
      </c>
      <c r="U22" s="5" t="n">
        <f>IF(P22="NOT_CHECKED",0,40)+IF(Q22="NOT_CHECKED",0,30)+IF(R22="NOT_CHECKED",0,20)+IF(S22="NOT_CHECKED",0,10)</f>
        <v>100</v>
      </c>
      <c r="V22" s="5" t="n">
        <f>IF(U22=100,T22,"")</f>
        <v>100</v>
      </c>
      <c r="W22" s="5" t="n">
        <f>T22</f>
        <v>100</v>
      </c>
      <c r="X22" s="5" t="n">
        <f>T22+(100-U22)</f>
        <v>100</v>
      </c>
      <c r="Y22" s="2" t="inlineStr">
        <is>
          <t>[]</t>
        </is>
      </c>
      <c r="Z22" s="2" t="inlineStr">
        <is>
          <t>["evidence_batch_003_025", "https://jeminise.com/products/christmas-bedding-quilt-soft-microfiber-holiday-bedsprea-design-10", "https://cdn.shopify.com/s/files/1/0792/5098/1063/files/c9012211f4a80fc29b04e6c36a6d06286d3bcd99481ba14bb0f48bbd8dc22628.jpg?v=1787239292"]</t>
        </is>
      </c>
      <c r="AA22" s="2" t="inlineStr">
        <is>
          <t>r6</t>
        </is>
      </c>
    </row>
    <row r="23" ht="66" customHeight="1">
      <c r="A23" s="3" t="inlineStr">
        <is>
          <t>jeminise.com+christmas-bedding-quilt-soft-microfiber-holiday-bedsprea-design-10</t>
        </is>
      </c>
      <c r="B23" s="3" t="inlineStr">
        <is>
          <t>jeminise.com+christmas-bedding-quilt-soft-microfiber-holiday-bedsprea-design-10|media:47934030741703|pos:2|url:d74ff87e025a</t>
        </is>
      </c>
      <c r="C23" s="4" t="inlineStr">
        <is>
          <t>https://cdn.shopify.com/s/files/1/0792/5098/1063/files/839d3838d97a9792a8c1011e15becc2872cb904640fdb176e9d34c9ec4a1382f.jpg?v=1787239292</t>
        </is>
      </c>
      <c r="D23" s="4" t="inlineStr">
        <is>
          <t>https://cdn.shopify.com/s/files/1/0792/5098/1063/files/839d3838d97a9792a8c1011e15becc2872cb904640fdb176e9d34c9ec4a1382f.jpg?v=1787239292</t>
        </is>
      </c>
      <c r="E23" s="3" t="inlineStr">
        <is>
          <t>47934030741703</t>
        </is>
      </c>
      <c r="F23" s="4" t="inlineStr">
        <is>
          <t>https://cdn.shopify.com/s/files/1/0792/5098/1063/files/839d3838d97a9792a8c1011e15becc2872cb904640fdb176e9d34c9ec4a1382f.jpg?v=1787239292</t>
        </is>
      </c>
      <c r="G23" s="3" t="n"/>
      <c r="H23" s="3" t="inlineStr">
        <is>
          <t>GALLERY</t>
        </is>
      </c>
      <c r="I23" s="3" t="inlineStr">
        <is>
          <t>DIRECT_URL_DOWNLOAD_1200PX + VISUAL_READ</t>
        </is>
      </c>
      <c r="J23" s="3" t="inlineStr">
        <is>
          <t>2026-09-09T12:00:00+07:00</t>
        </is>
      </c>
      <c r="K23" s="3" t="inlineStr">
        <is>
          <t>Angled bedroom mockup confirming the same motif across the set.</t>
        </is>
      </c>
      <c r="L23" s="3" t="inlineStr">
        <is>
          <t>Bedroom mockup showing snowman cardinal Christmas quilt with red border and coordinated pillow shams.</t>
        </is>
      </c>
      <c r="M23" s="3" t="inlineStr">
        <is>
          <t>Christmas Bedding Quilt – Soft Microfiber Holiday Bedspread, Lightweight Winter Bedding, Cozy Xmas Quilts for Couch, Bedroom &amp; Seasonal Home Decorations (Christmas Quilt-DS10)</t>
        </is>
      </c>
      <c r="N23" s="3" t="inlineStr">
        <is>
          <t>SET</t>
        </is>
      </c>
      <c r="O23" s="3" t="inlineStr">
        <is>
          <t>Snowman cardinals quilt bedroom mockup</t>
        </is>
      </c>
      <c r="P23" s="3" t="inlineStr">
        <is>
          <t>FULL</t>
        </is>
      </c>
      <c r="Q23" s="3" t="inlineStr">
        <is>
          <t>FULL</t>
        </is>
      </c>
      <c r="R23" s="3" t="inlineStr">
        <is>
          <t>FULL</t>
        </is>
      </c>
      <c r="S23" s="3" t="inlineStr">
        <is>
          <t>FULL</t>
        </is>
      </c>
      <c r="T23" s="7" t="n">
        <f>IF(P23="FULL",40,IF(P23="PARTIAL",40/2,0))+IF(Q23="FULL",30,IF(Q23="PARTIAL",30/2,0))+IF(R23="FULL",20,IF(R23="PARTIAL",20/2,0))+IF(S23="FULL",10,IF(S23="PARTIAL",10/2,0))</f>
        <v>100</v>
      </c>
      <c r="U23" s="7" t="n">
        <f>IF(P23="NOT_CHECKED",0,40)+IF(Q23="NOT_CHECKED",0,30)+IF(R23="NOT_CHECKED",0,20)+IF(S23="NOT_CHECKED",0,10)</f>
        <v>100</v>
      </c>
      <c r="V23" s="7" t="n">
        <f>IF(U23=100,T23,"")</f>
        <v>100</v>
      </c>
      <c r="W23" s="7" t="n">
        <f>T23</f>
        <v>100</v>
      </c>
      <c r="X23" s="7" t="n">
        <f>T23+(100-U23)</f>
        <v>100</v>
      </c>
      <c r="Y23" s="3" t="inlineStr">
        <is>
          <t>[]</t>
        </is>
      </c>
      <c r="Z23" s="3" t="inlineStr">
        <is>
          <t>["evidence_batch_003_025", "https://jeminise.com/products/christmas-bedding-quilt-soft-microfiber-holiday-bedsprea-design-10", "https://cdn.shopify.com/s/files/1/0792/5098/1063/files/839d3838d97a9792a8c1011e15becc2872cb904640fdb176e9d34c9ec4a1382f.jpg?v=1787239292"]</t>
        </is>
      </c>
      <c r="AA23" s="3" t="inlineStr">
        <is>
          <t>r6</t>
        </is>
      </c>
    </row>
    <row r="24" ht="66" customHeight="1">
      <c r="A24" s="2" t="inlineStr">
        <is>
          <t>jeminise.com+christmas-bedding-quilt-soft-microfiber-holiday-bedsprea-design-10</t>
        </is>
      </c>
      <c r="B24" s="2" t="inlineStr">
        <is>
          <t>jeminise.com+christmas-bedding-quilt-soft-microfiber-holiday-bedsprea-design-10|media:47934030774471|pos:3|url:724cffc0491b</t>
        </is>
      </c>
      <c r="C24" s="4" t="inlineStr">
        <is>
          <t>https://cdn.shopify.com/s/files/1/0792/5098/1063/files/029f59325955756dff3beb424bb93f337eade1161d1694ef1f392a84a004e0d4.jpg?v=1787239292</t>
        </is>
      </c>
      <c r="D24" s="4" t="inlineStr">
        <is>
          <t>https://cdn.shopify.com/s/files/1/0792/5098/1063/files/029f59325955756dff3beb424bb93f337eade1161d1694ef1f392a84a004e0d4.jpg?v=1787239292</t>
        </is>
      </c>
      <c r="E24" s="2" t="inlineStr">
        <is>
          <t>47934030774471</t>
        </is>
      </c>
      <c r="F24" s="4" t="inlineStr">
        <is>
          <t>https://cdn.shopify.com/s/files/1/0792/5098/1063/files/029f59325955756dff3beb424bb93f337eade1161d1694ef1f392a84a004e0d4.jpg?v=1787239292</t>
        </is>
      </c>
      <c r="G24" s="2" t="n"/>
      <c r="H24" s="2" t="inlineStr">
        <is>
          <t>GALLERY</t>
        </is>
      </c>
      <c r="I24" s="2" t="inlineStr">
        <is>
          <t>DIRECT_URL_DOWNLOAD_1200PX + VISUAL_READ</t>
        </is>
      </c>
      <c r="J24" s="2" t="inlineStr">
        <is>
          <t>2026-09-09T12:00:00+07:00</t>
        </is>
      </c>
      <c r="K24" s="2" t="inlineStr">
        <is>
          <t>Isolated pillow sham showing the coordinated printed artwork.</t>
        </is>
      </c>
      <c r="L24" s="2" t="inlineStr">
        <is>
          <t>Matching pillow sham with snowman, cardinals, pine trees and red winter background.</t>
        </is>
      </c>
      <c r="M24" s="2" t="inlineStr">
        <is>
          <t>Christmas Bedding Quilt – Soft Microfiber Holiday Bedspread, Lightweight Winter Bedding, Cozy Xmas Quilts for Couch, Bedroom &amp; Seasonal Home Decorations (Christmas Quilt-DS10)</t>
        </is>
      </c>
      <c r="N24" s="2" t="inlineStr">
        <is>
          <t>SET</t>
        </is>
      </c>
      <c r="O24" s="2" t="inlineStr">
        <is>
          <t>Snowman cardinals Christmas pillow sham</t>
        </is>
      </c>
      <c r="P24" s="2" t="inlineStr">
        <is>
          <t>FULL</t>
        </is>
      </c>
      <c r="Q24" s="2" t="inlineStr">
        <is>
          <t>FULL</t>
        </is>
      </c>
      <c r="R24" s="2" t="inlineStr">
        <is>
          <t>FULL</t>
        </is>
      </c>
      <c r="S24" s="2" t="inlineStr">
        <is>
          <t>FULL</t>
        </is>
      </c>
      <c r="T24" s="5" t="n">
        <f>IF(P24="FULL",40,IF(P24="PARTIAL",40/2,0))+IF(Q24="FULL",30,IF(Q24="PARTIAL",30/2,0))+IF(R24="FULL",20,IF(R24="PARTIAL",20/2,0))+IF(S24="FULL",10,IF(S24="PARTIAL",10/2,0))</f>
        <v>100</v>
      </c>
      <c r="U24" s="5" t="n">
        <f>IF(P24="NOT_CHECKED",0,40)+IF(Q24="NOT_CHECKED",0,30)+IF(R24="NOT_CHECKED",0,20)+IF(S24="NOT_CHECKED",0,10)</f>
        <v>100</v>
      </c>
      <c r="V24" s="5" t="n">
        <f>IF(U24=100,T24,"")</f>
        <v>100</v>
      </c>
      <c r="W24" s="5" t="n">
        <f>T24</f>
        <v>100</v>
      </c>
      <c r="X24" s="5" t="n">
        <f>T24+(100-U24)</f>
        <v>100</v>
      </c>
      <c r="Y24" s="2" t="inlineStr">
        <is>
          <t>[]</t>
        </is>
      </c>
      <c r="Z24" s="2" t="inlineStr">
        <is>
          <t>["evidence_batch_003_025", "https://jeminise.com/products/christmas-bedding-quilt-soft-microfiber-holiday-bedsprea-design-10", "https://cdn.shopify.com/s/files/1/0792/5098/1063/files/029f59325955756dff3beb424bb93f337eade1161d1694ef1f392a84a004e0d4.jpg?v=1787239292"]</t>
        </is>
      </c>
      <c r="AA24" s="2" t="inlineStr">
        <is>
          <t>r6</t>
        </is>
      </c>
    </row>
    <row r="25" ht="66" customHeight="1">
      <c r="A25" s="3" t="inlineStr">
        <is>
          <t>jeminise.com+christmas-bedding-quilt-soft-microfiber-holiday-bedsprea-design-10</t>
        </is>
      </c>
      <c r="B25" s="3" t="inlineStr">
        <is>
          <t>jeminise.com+christmas-bedding-quilt-soft-microfiber-holiday-bedsprea-design-10|media:47934030807239|pos:4|url:d66c77a30721</t>
        </is>
      </c>
      <c r="C25" s="4" t="inlineStr">
        <is>
          <t>https://cdn.shopify.com/s/files/1/0792/5098/1063/files/b12a3b8244039f69fe8236f2263a3bb2f6cef1a9d48030f14c267fcc7b0cf9e0.jpg?v=1787239292</t>
        </is>
      </c>
      <c r="D25" s="4" t="inlineStr">
        <is>
          <t>https://cdn.shopify.com/s/files/1/0792/5098/1063/files/b12a3b8244039f69fe8236f2263a3bb2f6cef1a9d48030f14c267fcc7b0cf9e0.jpg?v=1787239292</t>
        </is>
      </c>
      <c r="E25" s="3" t="inlineStr">
        <is>
          <t>47934030807239</t>
        </is>
      </c>
      <c r="F25" s="4" t="inlineStr">
        <is>
          <t>https://cdn.shopify.com/s/files/1/0792/5098/1063/files/b12a3b8244039f69fe8236f2263a3bb2f6cef1a9d48030f14c267fcc7b0cf9e0.jpg?v=1787239292</t>
        </is>
      </c>
      <c r="G25" s="3" t="n"/>
      <c r="H25" s="3" t="inlineStr">
        <is>
          <t>GALLERY</t>
        </is>
      </c>
      <c r="I25" s="3" t="inlineStr">
        <is>
          <t>DIRECT_URL_DOWNLOAD_1200PX + VISUAL_READ</t>
        </is>
      </c>
      <c r="J25" s="3" t="inlineStr">
        <is>
          <t>2026-09-09T12:00:00+07:00</t>
        </is>
      </c>
      <c r="K25" s="3" t="inlineStr">
        <is>
          <t>Close-up of printed surface and visible quilting texture.</t>
        </is>
      </c>
      <c r="L25" s="3" t="inlineStr">
        <is>
          <t>Close-up of snowman face, red scarf, cardinal and visible quilt stitching.</t>
        </is>
      </c>
      <c r="M25" s="3" t="inlineStr">
        <is>
          <t>Christmas Bedding Quilt – Soft Microfiber Holiday Bedspread, Lightweight Winter Bedding, Cozy Xmas Quilts for Couch, Bedroom &amp; Seasonal Home Decorations (Christmas Quilt-DS10)</t>
        </is>
      </c>
      <c r="N25" s="3" t="inlineStr">
        <is>
          <t>SET</t>
        </is>
      </c>
      <c r="O25" s="3" t="inlineStr">
        <is>
          <t>Snowman cardinals quilt stitching close-up</t>
        </is>
      </c>
      <c r="P25" s="3" t="inlineStr">
        <is>
          <t>FULL</t>
        </is>
      </c>
      <c r="Q25" s="3" t="inlineStr">
        <is>
          <t>FULL</t>
        </is>
      </c>
      <c r="R25" s="3" t="inlineStr">
        <is>
          <t>FULL</t>
        </is>
      </c>
      <c r="S25" s="3" t="inlineStr">
        <is>
          <t>FULL</t>
        </is>
      </c>
      <c r="T25" s="7" t="n">
        <f>IF(P25="FULL",40,IF(P25="PARTIAL",40/2,0))+IF(Q25="FULL",30,IF(Q25="PARTIAL",30/2,0))+IF(R25="FULL",20,IF(R25="PARTIAL",20/2,0))+IF(S25="FULL",10,IF(S25="PARTIAL",10/2,0))</f>
        <v>100</v>
      </c>
      <c r="U25" s="7" t="n">
        <f>IF(P25="NOT_CHECKED",0,40)+IF(Q25="NOT_CHECKED",0,30)+IF(R25="NOT_CHECKED",0,20)+IF(S25="NOT_CHECKED",0,10)</f>
        <v>100</v>
      </c>
      <c r="V25" s="7" t="n">
        <f>IF(U25=100,T25,"")</f>
        <v>100</v>
      </c>
      <c r="W25" s="7" t="n">
        <f>T25</f>
        <v>100</v>
      </c>
      <c r="X25" s="7" t="n">
        <f>T25+(100-U25)</f>
        <v>100</v>
      </c>
      <c r="Y25" s="3" t="inlineStr">
        <is>
          <t>[]</t>
        </is>
      </c>
      <c r="Z25" s="3" t="inlineStr">
        <is>
          <t>["evidence_batch_003_025", "https://jeminise.com/products/christmas-bedding-quilt-soft-microfiber-holiday-bedsprea-design-10", "https://cdn.shopify.com/s/files/1/0792/5098/1063/files/b12a3b8244039f69fe8236f2263a3bb2f6cef1a9d48030f14c267fcc7b0cf9e0.jpg?v=1787239292"]</t>
        </is>
      </c>
      <c r="AA25" s="3" t="inlineStr">
        <is>
          <t>r6</t>
        </is>
      </c>
    </row>
    <row r="26" ht="66" customHeight="1">
      <c r="A26" s="2" t="inlineStr">
        <is>
          <t>jeminise.com+christmas-bedding-quilt-soft-microfiber-holiday-bedsprea-design-10</t>
        </is>
      </c>
      <c r="B26" s="2" t="inlineStr">
        <is>
          <t>jeminise.com+christmas-bedding-quilt-soft-microfiber-holiday-bedsprea-design-10|media:47934030840007|pos:5|url:57f47a39d576</t>
        </is>
      </c>
      <c r="C26" s="4" t="inlineStr">
        <is>
          <t>https://cdn.shopify.com/s/files/1/0792/5098/1063/files/db17975966105e572ee398b3501c29ac2c8a38f61dae4eb1e3d795982c917bc2.jpg?v=1787239292</t>
        </is>
      </c>
      <c r="D26" s="4" t="inlineStr">
        <is>
          <t>https://cdn.shopify.com/s/files/1/0792/5098/1063/files/db17975966105e572ee398b3501c29ac2c8a38f61dae4eb1e3d795982c917bc2.jpg?v=1787239292</t>
        </is>
      </c>
      <c r="E26" s="2" t="inlineStr">
        <is>
          <t>47934030840007</t>
        </is>
      </c>
      <c r="F26" s="4" t="inlineStr">
        <is>
          <t>https://cdn.shopify.com/s/files/1/0792/5098/1063/files/db17975966105e572ee398b3501c29ac2c8a38f61dae4eb1e3d795982c917bc2.jpg?v=1787239292</t>
        </is>
      </c>
      <c r="G26" s="2" t="n"/>
      <c r="H26" s="2" t="inlineStr">
        <is>
          <t>GALLERY</t>
        </is>
      </c>
      <c r="I26" s="2" t="inlineStr">
        <is>
          <t>DIRECT_URL_DOWNLOAD_1200PX + VISUAL_READ</t>
        </is>
      </c>
      <c r="J26" s="2" t="inlineStr">
        <is>
          <t>2026-09-09T12:00:00+07:00</t>
        </is>
      </c>
      <c r="K26" s="2" t="inlineStr">
        <is>
          <t>Included-components and size graphic with quilt/sham options and dimensions.</t>
        </is>
      </c>
      <c r="L26" s="2" t="inlineStr">
        <is>
          <t>Size and component panel showing one premium quilt and two optional standard shams.</t>
        </is>
      </c>
      <c r="M26" s="2" t="inlineStr">
        <is>
          <t>Christmas Bedding Quilt – Soft Microfiber Holiday Bedspread, Lightweight Winter Bedding, Cozy Xmas Quilts for Couch, Bedroom &amp; Seasonal Home Decorations (Christmas Quilt-DS10)</t>
        </is>
      </c>
      <c r="N26" s="2" t="inlineStr">
        <is>
          <t>SET</t>
        </is>
      </c>
      <c r="O26" s="2" t="inlineStr">
        <is>
          <t>Snowman cardinals quilt size and sham options</t>
        </is>
      </c>
      <c r="P26" s="2" t="inlineStr">
        <is>
          <t>FULL</t>
        </is>
      </c>
      <c r="Q26" s="2" t="inlineStr">
        <is>
          <t>FULL</t>
        </is>
      </c>
      <c r="R26" s="2" t="inlineStr">
        <is>
          <t>FULL</t>
        </is>
      </c>
      <c r="S26" s="2" t="inlineStr">
        <is>
          <t>FULL</t>
        </is>
      </c>
      <c r="T26" s="5" t="n">
        <f>IF(P26="FULL",40,IF(P26="PARTIAL",40/2,0))+IF(Q26="FULL",30,IF(Q26="PARTIAL",30/2,0))+IF(R26="FULL",20,IF(R26="PARTIAL",20/2,0))+IF(S26="FULL",10,IF(S26="PARTIAL",10/2,0))</f>
        <v>100</v>
      </c>
      <c r="U26" s="5" t="n">
        <f>IF(P26="NOT_CHECKED",0,40)+IF(Q26="NOT_CHECKED",0,30)+IF(R26="NOT_CHECKED",0,20)+IF(S26="NOT_CHECKED",0,10)</f>
        <v>100</v>
      </c>
      <c r="V26" s="5" t="n">
        <f>IF(U26=100,T26,"")</f>
        <v>100</v>
      </c>
      <c r="W26" s="5" t="n">
        <f>T26</f>
        <v>100</v>
      </c>
      <c r="X26" s="5" t="n">
        <f>T26+(100-U26)</f>
        <v>100</v>
      </c>
      <c r="Y26" s="2" t="inlineStr">
        <is>
          <t>[]</t>
        </is>
      </c>
      <c r="Z26" s="2" t="inlineStr">
        <is>
          <t>["evidence_batch_003_025", "https://jeminise.com/products/christmas-bedding-quilt-soft-microfiber-holiday-bedsprea-design-10", "https://cdn.shopify.com/s/files/1/0792/5098/1063/files/db17975966105e572ee398b3501c29ac2c8a38f61dae4eb1e3d795982c917bc2.jpg?v=1787239292"]</t>
        </is>
      </c>
      <c r="AA26" s="2" t="inlineStr">
        <is>
          <t>r6</t>
        </is>
      </c>
    </row>
    <row r="27" ht="66" customHeight="1">
      <c r="A27" s="3" t="inlineStr">
        <is>
          <t>jeminise.com+christmas-bedding-quilt-soft-microfiber-holiday-bedsprea-design-11</t>
        </is>
      </c>
      <c r="B27" s="3" t="inlineStr">
        <is>
          <t>jeminise.com+christmas-bedding-quilt-soft-microfiber-holiday-bedsprea-design-11|media:47934039851207|pos:1|url:a9bec39519bb</t>
        </is>
      </c>
      <c r="C27" s="4" t="inlineStr">
        <is>
          <t>https://cdn.shopify.com/s/files/1/0792/5098/1063/files/cfd15964c5a578a0d72eca69fce5d3b6e69d208ab70ee89a4fecaa6fc490d6dc.jpg?v=1787239369</t>
        </is>
      </c>
      <c r="D27" s="4" t="inlineStr">
        <is>
          <t>https://cdn.shopify.com/s/files/1/0792/5098/1063/files/cfd15964c5a578a0d72eca69fce5d3b6e69d208ab70ee89a4fecaa6fc490d6dc.jpg?v=1787239369</t>
        </is>
      </c>
      <c r="E27" s="3" t="inlineStr">
        <is>
          <t>47934039851207</t>
        </is>
      </c>
      <c r="F27" s="4" t="inlineStr">
        <is>
          <t>https://cdn.shopify.com/s/files/1/0792/5098/1063/files/cfd15964c5a578a0d72eca69fce5d3b6e69d208ab70ee89a4fecaa6fc490d6dc.jpg?v=1787239369</t>
        </is>
      </c>
      <c r="G27" s="3" t="n"/>
      <c r="H27" s="3" t="inlineStr">
        <is>
          <t>GALLERY</t>
        </is>
      </c>
      <c r="I27" s="3" t="inlineStr">
        <is>
          <t>DIRECT_URL_DOWNLOAD_1200PX + VISUAL_READ</t>
        </is>
      </c>
      <c r="J27" s="3" t="inlineStr">
        <is>
          <t>2026-09-09T12:00:00+07:00</t>
        </is>
      </c>
      <c r="K27" s="3" t="inlineStr">
        <is>
          <t>Front bedroom mockup showing the primary quilt motif and coordinated shams.</t>
        </is>
      </c>
      <c r="L27" s="3" t="inlineStr">
        <is>
          <t>White Christmas tree quilt bed mockup with red and gold ornaments, star topper and matching shams.</t>
        </is>
      </c>
      <c r="M27" s="3" t="inlineStr">
        <is>
          <t>Christmas Bedding Quilt – Soft Microfiber Holiday Bedspread, Lightweight Winter Bedding, Cozy Xmas Quilts for Couch, Bedroom &amp; Seasonal Home Decorations (Christmas Quilt-DS11)</t>
        </is>
      </c>
      <c r="N27" s="3" t="inlineStr">
        <is>
          <t>SET</t>
        </is>
      </c>
      <c r="O27" s="3" t="inlineStr">
        <is>
          <t>White Christmas tree quilt set on bed</t>
        </is>
      </c>
      <c r="P27" s="3" t="inlineStr">
        <is>
          <t>FULL</t>
        </is>
      </c>
      <c r="Q27" s="3" t="inlineStr">
        <is>
          <t>FULL</t>
        </is>
      </c>
      <c r="R27" s="3" t="inlineStr">
        <is>
          <t>FULL</t>
        </is>
      </c>
      <c r="S27" s="3" t="inlineStr">
        <is>
          <t>FULL</t>
        </is>
      </c>
      <c r="T27" s="7" t="n">
        <f>IF(P27="FULL",40,IF(P27="PARTIAL",40/2,0))+IF(Q27="FULL",30,IF(Q27="PARTIAL",30/2,0))+IF(R27="FULL",20,IF(R27="PARTIAL",20/2,0))+IF(S27="FULL",10,IF(S27="PARTIAL",10/2,0))</f>
        <v>100</v>
      </c>
      <c r="U27" s="7" t="n">
        <f>IF(P27="NOT_CHECKED",0,40)+IF(Q27="NOT_CHECKED",0,30)+IF(R27="NOT_CHECKED",0,20)+IF(S27="NOT_CHECKED",0,10)</f>
        <v>100</v>
      </c>
      <c r="V27" s="7" t="n">
        <f>IF(U27=100,T27,"")</f>
        <v>100</v>
      </c>
      <c r="W27" s="7" t="n">
        <f>T27</f>
        <v>100</v>
      </c>
      <c r="X27" s="7" t="n">
        <f>T27+(100-U27)</f>
        <v>100</v>
      </c>
      <c r="Y27" s="3" t="inlineStr">
        <is>
          <t>[]</t>
        </is>
      </c>
      <c r="Z27" s="3" t="inlineStr">
        <is>
          <t>["evidence_batch_003_026", "https://jeminise.com/products/christmas-bedding-quilt-soft-microfiber-holiday-bedsprea-design-11", "https://cdn.shopify.com/s/files/1/0792/5098/1063/files/cfd15964c5a578a0d72eca69fce5d3b6e69d208ab70ee89a4fecaa6fc490d6dc.jpg?v=1787239369"]</t>
        </is>
      </c>
      <c r="AA27" s="3" t="inlineStr">
        <is>
          <t>r6</t>
        </is>
      </c>
    </row>
    <row r="28" ht="66" customHeight="1">
      <c r="A28" s="2" t="inlineStr">
        <is>
          <t>jeminise.com+christmas-bedding-quilt-soft-microfiber-holiday-bedsprea-design-11</t>
        </is>
      </c>
      <c r="B28" s="2" t="inlineStr">
        <is>
          <t>jeminise.com+christmas-bedding-quilt-soft-microfiber-holiday-bedsprea-design-11|media:47934039883975|pos:2|url:bf188d6e3809</t>
        </is>
      </c>
      <c r="C28" s="4" t="inlineStr">
        <is>
          <t>https://cdn.shopify.com/s/files/1/0792/5098/1063/files/86e7cf9fde4b0b585dedce2199d4a124a61ae29e25d0eeffb64f5836d7944670.jpg?v=1787239369</t>
        </is>
      </c>
      <c r="D28" s="4" t="inlineStr">
        <is>
          <t>https://cdn.shopify.com/s/files/1/0792/5098/1063/files/86e7cf9fde4b0b585dedce2199d4a124a61ae29e25d0eeffb64f5836d7944670.jpg?v=1787239369</t>
        </is>
      </c>
      <c r="E28" s="2" t="inlineStr">
        <is>
          <t>47934039883975</t>
        </is>
      </c>
      <c r="F28" s="4" t="inlineStr">
        <is>
          <t>https://cdn.shopify.com/s/files/1/0792/5098/1063/files/86e7cf9fde4b0b585dedce2199d4a124a61ae29e25d0eeffb64f5836d7944670.jpg?v=1787239369</t>
        </is>
      </c>
      <c r="G28" s="2" t="n"/>
      <c r="H28" s="2" t="inlineStr">
        <is>
          <t>GALLERY</t>
        </is>
      </c>
      <c r="I28" s="2" t="inlineStr">
        <is>
          <t>DIRECT_URL_DOWNLOAD_1200PX + VISUAL_READ</t>
        </is>
      </c>
      <c r="J28" s="2" t="inlineStr">
        <is>
          <t>2026-09-09T12:00:00+07:00</t>
        </is>
      </c>
      <c r="K28" s="2" t="inlineStr">
        <is>
          <t>Angled bedroom mockup confirming the same motif across the set.</t>
        </is>
      </c>
      <c r="L28" s="2" t="inlineStr">
        <is>
          <t>Bedroom mockup showing white Christmas tree quilt with black check border and coordinated pillow shams.</t>
        </is>
      </c>
      <c r="M28" s="2" t="inlineStr">
        <is>
          <t>Christmas Bedding Quilt – Soft Microfiber Holiday Bedspread, Lightweight Winter Bedding, Cozy Xmas Quilts for Couch, Bedroom &amp; Seasonal Home Decorations (Christmas Quilt-DS11)</t>
        </is>
      </c>
      <c r="N28" s="2" t="inlineStr">
        <is>
          <t>SET</t>
        </is>
      </c>
      <c r="O28" s="2" t="inlineStr">
        <is>
          <t>White Christmas tree quilt bedroom mockup</t>
        </is>
      </c>
      <c r="P28" s="2" t="inlineStr">
        <is>
          <t>FULL</t>
        </is>
      </c>
      <c r="Q28" s="2" t="inlineStr">
        <is>
          <t>FULL</t>
        </is>
      </c>
      <c r="R28" s="2" t="inlineStr">
        <is>
          <t>FULL</t>
        </is>
      </c>
      <c r="S28" s="2" t="inlineStr">
        <is>
          <t>FULL</t>
        </is>
      </c>
      <c r="T28" s="5" t="n">
        <f>IF(P28="FULL",40,IF(P28="PARTIAL",40/2,0))+IF(Q28="FULL",30,IF(Q28="PARTIAL",30/2,0))+IF(R28="FULL",20,IF(R28="PARTIAL",20/2,0))+IF(S28="FULL",10,IF(S28="PARTIAL",10/2,0))</f>
        <v>100</v>
      </c>
      <c r="U28" s="5" t="n">
        <f>IF(P28="NOT_CHECKED",0,40)+IF(Q28="NOT_CHECKED",0,30)+IF(R28="NOT_CHECKED",0,20)+IF(S28="NOT_CHECKED",0,10)</f>
        <v>100</v>
      </c>
      <c r="V28" s="5" t="n">
        <f>IF(U28=100,T28,"")</f>
        <v>100</v>
      </c>
      <c r="W28" s="5" t="n">
        <f>T28</f>
        <v>100</v>
      </c>
      <c r="X28" s="5" t="n">
        <f>T28+(100-U28)</f>
        <v>100</v>
      </c>
      <c r="Y28" s="2" t="inlineStr">
        <is>
          <t>[]</t>
        </is>
      </c>
      <c r="Z28" s="2" t="inlineStr">
        <is>
          <t>["evidence_batch_003_026", "https://jeminise.com/products/christmas-bedding-quilt-soft-microfiber-holiday-bedsprea-design-11", "https://cdn.shopify.com/s/files/1/0792/5098/1063/files/86e7cf9fde4b0b585dedce2199d4a124a61ae29e25d0eeffb64f5836d7944670.jpg?v=1787239369"]</t>
        </is>
      </c>
      <c r="AA28" s="2" t="inlineStr">
        <is>
          <t>r6</t>
        </is>
      </c>
    </row>
    <row r="29" ht="66" customHeight="1">
      <c r="A29" s="3" t="inlineStr">
        <is>
          <t>jeminise.com+christmas-bedding-quilt-soft-microfiber-holiday-bedsprea-design-11</t>
        </is>
      </c>
      <c r="B29" s="3" t="inlineStr">
        <is>
          <t>jeminise.com+christmas-bedding-quilt-soft-microfiber-holiday-bedsprea-design-11|media:47934039916743|pos:3|url:c5aec2898cd1</t>
        </is>
      </c>
      <c r="C29" s="4" t="inlineStr">
        <is>
          <t>https://cdn.shopify.com/s/files/1/0792/5098/1063/files/831baca24e7f78fe5b238f870105905aebb283699f1d966c44611c51f763376c.jpg?v=1787239368</t>
        </is>
      </c>
      <c r="D29" s="4" t="inlineStr">
        <is>
          <t>https://cdn.shopify.com/s/files/1/0792/5098/1063/files/831baca24e7f78fe5b238f870105905aebb283699f1d966c44611c51f763376c.jpg?v=1787239368</t>
        </is>
      </c>
      <c r="E29" s="3" t="inlineStr">
        <is>
          <t>47934039916743</t>
        </is>
      </c>
      <c r="F29" s="4" t="inlineStr">
        <is>
          <t>https://cdn.shopify.com/s/files/1/0792/5098/1063/files/831baca24e7f78fe5b238f870105905aebb283699f1d966c44611c51f763376c.jpg?v=1787239368</t>
        </is>
      </c>
      <c r="G29" s="3" t="n"/>
      <c r="H29" s="3" t="inlineStr">
        <is>
          <t>GALLERY</t>
        </is>
      </c>
      <c r="I29" s="3" t="inlineStr">
        <is>
          <t>DIRECT_URL_DOWNLOAD_1200PX + VISUAL_READ</t>
        </is>
      </c>
      <c r="J29" s="3" t="inlineStr">
        <is>
          <t>2026-09-09T12:00:00+07:00</t>
        </is>
      </c>
      <c r="K29" s="3" t="inlineStr">
        <is>
          <t>Isolated pillow sham showing the coordinated printed artwork.</t>
        </is>
      </c>
      <c r="L29" s="3" t="inlineStr">
        <is>
          <t>Matching pillow sham with decorated Christmas tree on a light background.</t>
        </is>
      </c>
      <c r="M29" s="3" t="inlineStr">
        <is>
          <t>Christmas Bedding Quilt – Soft Microfiber Holiday Bedspread, Lightweight Winter Bedding, Cozy Xmas Quilts for Couch, Bedroom &amp; Seasonal Home Decorations (Christmas Quilt-DS11)</t>
        </is>
      </c>
      <c r="N29" s="3" t="inlineStr">
        <is>
          <t>SET</t>
        </is>
      </c>
      <c r="O29" s="3" t="inlineStr">
        <is>
          <t>White Christmas tree quilt pillow sham</t>
        </is>
      </c>
      <c r="P29" s="3" t="inlineStr">
        <is>
          <t>FULL</t>
        </is>
      </c>
      <c r="Q29" s="3" t="inlineStr">
        <is>
          <t>FULL</t>
        </is>
      </c>
      <c r="R29" s="3" t="inlineStr">
        <is>
          <t>FULL</t>
        </is>
      </c>
      <c r="S29" s="3" t="inlineStr">
        <is>
          <t>FULL</t>
        </is>
      </c>
      <c r="T29" s="7" t="n">
        <f>IF(P29="FULL",40,IF(P29="PARTIAL",40/2,0))+IF(Q29="FULL",30,IF(Q29="PARTIAL",30/2,0))+IF(R29="FULL",20,IF(R29="PARTIAL",20/2,0))+IF(S29="FULL",10,IF(S29="PARTIAL",10/2,0))</f>
        <v>100</v>
      </c>
      <c r="U29" s="7" t="n">
        <f>IF(P29="NOT_CHECKED",0,40)+IF(Q29="NOT_CHECKED",0,30)+IF(R29="NOT_CHECKED",0,20)+IF(S29="NOT_CHECKED",0,10)</f>
        <v>100</v>
      </c>
      <c r="V29" s="7" t="n">
        <f>IF(U29=100,T29,"")</f>
        <v>100</v>
      </c>
      <c r="W29" s="7" t="n">
        <f>T29</f>
        <v>100</v>
      </c>
      <c r="X29" s="7" t="n">
        <f>T29+(100-U29)</f>
        <v>100</v>
      </c>
      <c r="Y29" s="3" t="inlineStr">
        <is>
          <t>[]</t>
        </is>
      </c>
      <c r="Z29" s="3" t="inlineStr">
        <is>
          <t>["evidence_batch_003_026", "https://jeminise.com/products/christmas-bedding-quilt-soft-microfiber-holiday-bedsprea-design-11", "https://cdn.shopify.com/s/files/1/0792/5098/1063/files/831baca24e7f78fe5b238f870105905aebb283699f1d966c44611c51f763376c.jpg?v=1787239368"]</t>
        </is>
      </c>
      <c r="AA29" s="3" t="inlineStr">
        <is>
          <t>r6</t>
        </is>
      </c>
    </row>
    <row r="30" ht="66" customHeight="1">
      <c r="A30" s="2" t="inlineStr">
        <is>
          <t>jeminise.com+christmas-bedding-quilt-soft-microfiber-holiday-bedsprea-design-11</t>
        </is>
      </c>
      <c r="B30" s="2" t="inlineStr">
        <is>
          <t>jeminise.com+christmas-bedding-quilt-soft-microfiber-holiday-bedsprea-design-11|media:47934039949511|pos:4|url:308dac038ae1</t>
        </is>
      </c>
      <c r="C30" s="4" t="inlineStr">
        <is>
          <t>https://cdn.shopify.com/s/files/1/0792/5098/1063/files/2f4d4c35afff8f2089e0135e46abde6f635650c9769aa95164023d71bd8441f7.jpg?v=1787239368</t>
        </is>
      </c>
      <c r="D30" s="4" t="inlineStr">
        <is>
          <t>https://cdn.shopify.com/s/files/1/0792/5098/1063/files/2f4d4c35afff8f2089e0135e46abde6f635650c9769aa95164023d71bd8441f7.jpg?v=1787239368</t>
        </is>
      </c>
      <c r="E30" s="2" t="inlineStr">
        <is>
          <t>47934039949511</t>
        </is>
      </c>
      <c r="F30" s="4" t="inlineStr">
        <is>
          <t>https://cdn.shopify.com/s/files/1/0792/5098/1063/files/2f4d4c35afff8f2089e0135e46abde6f635650c9769aa95164023d71bd8441f7.jpg?v=1787239368</t>
        </is>
      </c>
      <c r="G30" s="2" t="n"/>
      <c r="H30" s="2" t="inlineStr">
        <is>
          <t>GALLERY</t>
        </is>
      </c>
      <c r="I30" s="2" t="inlineStr">
        <is>
          <t>DIRECT_URL_DOWNLOAD_1200PX + VISUAL_READ</t>
        </is>
      </c>
      <c r="J30" s="2" t="inlineStr">
        <is>
          <t>2026-09-09T12:00:00+07:00</t>
        </is>
      </c>
      <c r="K30" s="2" t="inlineStr">
        <is>
          <t>Close-up of printed surface and visible quilting texture.</t>
        </is>
      </c>
      <c r="L30" s="2" t="inlineStr">
        <is>
          <t>Close-up of Christmas tree branches, red and gold ornaments, star shapes and visible quilt stitching.</t>
        </is>
      </c>
      <c r="M30" s="2" t="inlineStr">
        <is>
          <t>Christmas Bedding Quilt – Soft Microfiber Holiday Bedspread, Lightweight Winter Bedding, Cozy Xmas Quilts for Couch, Bedroom &amp; Seasonal Home Decorations (Christmas Quilt-DS11)</t>
        </is>
      </c>
      <c r="N30" s="2" t="inlineStr">
        <is>
          <t>SET</t>
        </is>
      </c>
      <c r="O30" s="2" t="inlineStr">
        <is>
          <t>White Christmas tree quilt stitching close-up</t>
        </is>
      </c>
      <c r="P30" s="2" t="inlineStr">
        <is>
          <t>FULL</t>
        </is>
      </c>
      <c r="Q30" s="2" t="inlineStr">
        <is>
          <t>FULL</t>
        </is>
      </c>
      <c r="R30" s="2" t="inlineStr">
        <is>
          <t>FULL</t>
        </is>
      </c>
      <c r="S30" s="2" t="inlineStr">
        <is>
          <t>FULL</t>
        </is>
      </c>
      <c r="T30" s="5" t="n">
        <f>IF(P30="FULL",40,IF(P30="PARTIAL",40/2,0))+IF(Q30="FULL",30,IF(Q30="PARTIAL",30/2,0))+IF(R30="FULL",20,IF(R30="PARTIAL",20/2,0))+IF(S30="FULL",10,IF(S30="PARTIAL",10/2,0))</f>
        <v>100</v>
      </c>
      <c r="U30" s="5" t="n">
        <f>IF(P30="NOT_CHECKED",0,40)+IF(Q30="NOT_CHECKED",0,30)+IF(R30="NOT_CHECKED",0,20)+IF(S30="NOT_CHECKED",0,10)</f>
        <v>100</v>
      </c>
      <c r="V30" s="5" t="n">
        <f>IF(U30=100,T30,"")</f>
        <v>100</v>
      </c>
      <c r="W30" s="5" t="n">
        <f>T30</f>
        <v>100</v>
      </c>
      <c r="X30" s="5" t="n">
        <f>T30+(100-U30)</f>
        <v>100</v>
      </c>
      <c r="Y30" s="2" t="inlineStr">
        <is>
          <t>[]</t>
        </is>
      </c>
      <c r="Z30" s="2" t="inlineStr">
        <is>
          <t>["evidence_batch_003_026", "https://jeminise.com/products/christmas-bedding-quilt-soft-microfiber-holiday-bedsprea-design-11", "https://cdn.shopify.com/s/files/1/0792/5098/1063/files/2f4d4c35afff8f2089e0135e46abde6f635650c9769aa95164023d71bd8441f7.jpg?v=1787239368"]</t>
        </is>
      </c>
      <c r="AA30" s="2" t="inlineStr">
        <is>
          <t>r6</t>
        </is>
      </c>
    </row>
    <row r="31" ht="66" customHeight="1">
      <c r="A31" s="3" t="inlineStr">
        <is>
          <t>jeminise.com+christmas-bedding-quilt-soft-microfiber-holiday-bedsprea-design-11</t>
        </is>
      </c>
      <c r="B31" s="3" t="inlineStr">
        <is>
          <t>jeminise.com+christmas-bedding-quilt-soft-microfiber-holiday-bedsprea-design-11|media:47934039982279|pos:5|url:f0b0d6e55a46</t>
        </is>
      </c>
      <c r="C31" s="4" t="inlineStr">
        <is>
          <t>https://cdn.shopify.com/s/files/1/0792/5098/1063/files/1061d99508b65a3791be2f40d46d11d955f9c37d218235d1ab797254f993a666.jpg?v=1787239369</t>
        </is>
      </c>
      <c r="D31" s="4" t="inlineStr">
        <is>
          <t>https://cdn.shopify.com/s/files/1/0792/5098/1063/files/1061d99508b65a3791be2f40d46d11d955f9c37d218235d1ab797254f993a666.jpg?v=1787239369</t>
        </is>
      </c>
      <c r="E31" s="3" t="inlineStr">
        <is>
          <t>47934039982279</t>
        </is>
      </c>
      <c r="F31" s="4" t="inlineStr">
        <is>
          <t>https://cdn.shopify.com/s/files/1/0792/5098/1063/files/1061d99508b65a3791be2f40d46d11d955f9c37d218235d1ab797254f993a666.jpg?v=1787239369</t>
        </is>
      </c>
      <c r="G31" s="3" t="n"/>
      <c r="H31" s="3" t="inlineStr">
        <is>
          <t>GALLERY</t>
        </is>
      </c>
      <c r="I31" s="3" t="inlineStr">
        <is>
          <t>DIRECT_URL_DOWNLOAD_1200PX + VISUAL_READ</t>
        </is>
      </c>
      <c r="J31" s="3" t="inlineStr">
        <is>
          <t>2026-09-09T12:00:00+07:00</t>
        </is>
      </c>
      <c r="K31" s="3" t="inlineStr">
        <is>
          <t>Included-components and size graphic with quilt/sham options and dimensions.</t>
        </is>
      </c>
      <c r="L31" s="3" t="inlineStr">
        <is>
          <t>Size and component panel showing one premium quilt and two optional standard shams.</t>
        </is>
      </c>
      <c r="M31" s="3" t="inlineStr">
        <is>
          <t>Christmas Bedding Quilt – Soft Microfiber Holiday Bedspread, Lightweight Winter Bedding, Cozy Xmas Quilts for Couch, Bedroom &amp; Seasonal Home Decorations (Christmas Quilt-DS11)</t>
        </is>
      </c>
      <c r="N31" s="3" t="inlineStr">
        <is>
          <t>SET</t>
        </is>
      </c>
      <c r="O31" s="3" t="inlineStr">
        <is>
          <t>White Christmas tree quilt size and sham options</t>
        </is>
      </c>
      <c r="P31" s="3" t="inlineStr">
        <is>
          <t>FULL</t>
        </is>
      </c>
      <c r="Q31" s="3" t="inlineStr">
        <is>
          <t>FULL</t>
        </is>
      </c>
      <c r="R31" s="3" t="inlineStr">
        <is>
          <t>FULL</t>
        </is>
      </c>
      <c r="S31" s="3" t="inlineStr">
        <is>
          <t>FULL</t>
        </is>
      </c>
      <c r="T31" s="7" t="n">
        <f>IF(P31="FULL",40,IF(P31="PARTIAL",40/2,0))+IF(Q31="FULL",30,IF(Q31="PARTIAL",30/2,0))+IF(R31="FULL",20,IF(R31="PARTIAL",20/2,0))+IF(S31="FULL",10,IF(S31="PARTIAL",10/2,0))</f>
        <v>100</v>
      </c>
      <c r="U31" s="7" t="n">
        <f>IF(P31="NOT_CHECKED",0,40)+IF(Q31="NOT_CHECKED",0,30)+IF(R31="NOT_CHECKED",0,20)+IF(S31="NOT_CHECKED",0,10)</f>
        <v>100</v>
      </c>
      <c r="V31" s="7" t="n">
        <f>IF(U31=100,T31,"")</f>
        <v>100</v>
      </c>
      <c r="W31" s="7" t="n">
        <f>T31</f>
        <v>100</v>
      </c>
      <c r="X31" s="7" t="n">
        <f>T31+(100-U31)</f>
        <v>100</v>
      </c>
      <c r="Y31" s="3" t="inlineStr">
        <is>
          <t>[]</t>
        </is>
      </c>
      <c r="Z31" s="3" t="inlineStr">
        <is>
          <t>["evidence_batch_003_026", "https://jeminise.com/products/christmas-bedding-quilt-soft-microfiber-holiday-bedsprea-design-11", "https://cdn.shopify.com/s/files/1/0792/5098/1063/files/1061d99508b65a3791be2f40d46d11d955f9c37d218235d1ab797254f993a666.jpg?v=1787239369"]</t>
        </is>
      </c>
      <c r="AA31" s="3" t="inlineStr">
        <is>
          <t>r6</t>
        </is>
      </c>
    </row>
    <row r="32" ht="66" customHeight="1">
      <c r="A32" s="2" t="inlineStr">
        <is>
          <t>jeminise.com+christmas-bedding-quilt-soft-microfiber-holiday-bedsprea-design-12</t>
        </is>
      </c>
      <c r="B32" s="2" t="inlineStr">
        <is>
          <t>jeminise.com+christmas-bedding-quilt-soft-microfiber-holiday-bedsprea-design-12|media:47934031659207|pos:1|url:c931a49eaa2e</t>
        </is>
      </c>
      <c r="C32" s="4" t="inlineStr">
        <is>
          <t>https://cdn.shopify.com/s/files/1/0792/5098/1063/files/76a7585bd4cd30b07b5040b9e886936f39bc38e39d68a0e9ad8c7762fc463cc2.jpg?v=1787239299</t>
        </is>
      </c>
      <c r="D32" s="4" t="inlineStr">
        <is>
          <t>https://cdn.shopify.com/s/files/1/0792/5098/1063/files/76a7585bd4cd30b07b5040b9e886936f39bc38e39d68a0e9ad8c7762fc463cc2.jpg?v=1787239299</t>
        </is>
      </c>
      <c r="E32" s="2" t="inlineStr">
        <is>
          <t>47934031659207</t>
        </is>
      </c>
      <c r="F32" s="4" t="inlineStr">
        <is>
          <t>https://cdn.shopify.com/s/files/1/0792/5098/1063/files/76a7585bd4cd30b07b5040b9e886936f39bc38e39d68a0e9ad8c7762fc463cc2.jpg?v=1787239299</t>
        </is>
      </c>
      <c r="G32" s="2" t="n"/>
      <c r="H32" s="2" t="inlineStr">
        <is>
          <t>GALLERY</t>
        </is>
      </c>
      <c r="I32" s="2" t="inlineStr">
        <is>
          <t>DIRECT_URL_DOWNLOAD_1200PX + VISUAL_READ</t>
        </is>
      </c>
      <c r="J32" s="2" t="inlineStr">
        <is>
          <t>2026-09-09T12:00:00+07:00</t>
        </is>
      </c>
      <c r="K32" s="2" t="inlineStr">
        <is>
          <t>Front bedroom mockup showing the primary quilt motif and coordinated shams.</t>
        </is>
      </c>
      <c r="L32" s="2" t="inlineStr">
        <is>
          <t>Two snowmen and cardinals Christmas quilt bed mockup with red background, wreath frame and matching shams.</t>
        </is>
      </c>
      <c r="M32" s="2" t="inlineStr">
        <is>
          <t>Christmas Bedding Quilt – Soft Microfiber Holiday Bedspread, Lightweight Winter Bedding, Cozy Xmas Quilts for Couch, Bedroom &amp; Seasonal Home Decorations (Christmas Quilt-DS12)</t>
        </is>
      </c>
      <c r="N32" s="2" t="inlineStr">
        <is>
          <t>SET</t>
        </is>
      </c>
      <c r="O32" s="2" t="inlineStr">
        <is>
          <t>Two snowmen cardinals Christmas quilt set</t>
        </is>
      </c>
      <c r="P32" s="2" t="inlineStr">
        <is>
          <t>FULL</t>
        </is>
      </c>
      <c r="Q32" s="2" t="inlineStr">
        <is>
          <t>FULL</t>
        </is>
      </c>
      <c r="R32" s="2" t="inlineStr">
        <is>
          <t>FULL</t>
        </is>
      </c>
      <c r="S32" s="2" t="inlineStr">
        <is>
          <t>FULL</t>
        </is>
      </c>
      <c r="T32" s="5" t="n">
        <f>IF(P32="FULL",40,IF(P32="PARTIAL",40/2,0))+IF(Q32="FULL",30,IF(Q32="PARTIAL",30/2,0))+IF(R32="FULL",20,IF(R32="PARTIAL",20/2,0))+IF(S32="FULL",10,IF(S32="PARTIAL",10/2,0))</f>
        <v>100</v>
      </c>
      <c r="U32" s="5" t="n">
        <f>IF(P32="NOT_CHECKED",0,40)+IF(Q32="NOT_CHECKED",0,30)+IF(R32="NOT_CHECKED",0,20)+IF(S32="NOT_CHECKED",0,10)</f>
        <v>100</v>
      </c>
      <c r="V32" s="5" t="n">
        <f>IF(U32=100,T32,"")</f>
        <v>100</v>
      </c>
      <c r="W32" s="5" t="n">
        <f>T32</f>
        <v>100</v>
      </c>
      <c r="X32" s="5" t="n">
        <f>T32+(100-U32)</f>
        <v>100</v>
      </c>
      <c r="Y32" s="2" t="inlineStr">
        <is>
          <t>[]</t>
        </is>
      </c>
      <c r="Z32" s="2" t="inlineStr">
        <is>
          <t>["evidence_batch_003_027", "https://jeminise.com/products/christmas-bedding-quilt-soft-microfiber-holiday-bedsprea-design-12", "https://cdn.shopify.com/s/files/1/0792/5098/1063/files/76a7585bd4cd30b07b5040b9e886936f39bc38e39d68a0e9ad8c7762fc463cc2.jpg?v=1787239299"]</t>
        </is>
      </c>
      <c r="AA32" s="2" t="inlineStr">
        <is>
          <t>r6</t>
        </is>
      </c>
    </row>
    <row r="33" ht="66" customHeight="1">
      <c r="A33" s="3" t="inlineStr">
        <is>
          <t>jeminise.com+christmas-bedding-quilt-soft-microfiber-holiday-bedsprea-design-12</t>
        </is>
      </c>
      <c r="B33" s="3" t="inlineStr">
        <is>
          <t>jeminise.com+christmas-bedding-quilt-soft-microfiber-holiday-bedsprea-design-12|media:47934031691975|pos:2|url:9bcf0d90696f</t>
        </is>
      </c>
      <c r="C33" s="4" t="inlineStr">
        <is>
          <t>https://cdn.shopify.com/s/files/1/0792/5098/1063/files/771b444bc3c1e5abffae2b5c7e4c8a21e7d9116e9df079048baf711d9cdab5de.jpg?v=1787239299</t>
        </is>
      </c>
      <c r="D33" s="4" t="inlineStr">
        <is>
          <t>https://cdn.shopify.com/s/files/1/0792/5098/1063/files/771b444bc3c1e5abffae2b5c7e4c8a21e7d9116e9df079048baf711d9cdab5de.jpg?v=1787239299</t>
        </is>
      </c>
      <c r="E33" s="3" t="inlineStr">
        <is>
          <t>47934031691975</t>
        </is>
      </c>
      <c r="F33" s="4" t="inlineStr">
        <is>
          <t>https://cdn.shopify.com/s/files/1/0792/5098/1063/files/771b444bc3c1e5abffae2b5c7e4c8a21e7d9116e9df079048baf711d9cdab5de.jpg?v=1787239299</t>
        </is>
      </c>
      <c r="G33" s="3" t="n"/>
      <c r="H33" s="3" t="inlineStr">
        <is>
          <t>GALLERY</t>
        </is>
      </c>
      <c r="I33" s="3" t="inlineStr">
        <is>
          <t>DIRECT_URL_DOWNLOAD_1200PX + VISUAL_READ</t>
        </is>
      </c>
      <c r="J33" s="3" t="inlineStr">
        <is>
          <t>2026-09-09T12:00:00+07:00</t>
        </is>
      </c>
      <c r="K33" s="3" t="inlineStr">
        <is>
          <t>Angled bedroom mockup confirming the same motif across the set.</t>
        </is>
      </c>
      <c r="L33" s="3" t="inlineStr">
        <is>
          <t>Bedroom mockup showing two snowmen with cardinals on a red Christmas quilt.</t>
        </is>
      </c>
      <c r="M33" s="3" t="inlineStr">
        <is>
          <t>Christmas Bedding Quilt – Soft Microfiber Holiday Bedspread, Lightweight Winter Bedding, Cozy Xmas Quilts for Couch, Bedroom &amp; Seasonal Home Decorations (Christmas Quilt-DS12)</t>
        </is>
      </c>
      <c r="N33" s="3" t="inlineStr">
        <is>
          <t>SET</t>
        </is>
      </c>
      <c r="O33" s="3" t="inlineStr">
        <is>
          <t>Two snowmen cardinals quilt bedroom mockup</t>
        </is>
      </c>
      <c r="P33" s="3" t="inlineStr">
        <is>
          <t>FULL</t>
        </is>
      </c>
      <c r="Q33" s="3" t="inlineStr">
        <is>
          <t>FULL</t>
        </is>
      </c>
      <c r="R33" s="3" t="inlineStr">
        <is>
          <t>FULL</t>
        </is>
      </c>
      <c r="S33" s="3" t="inlineStr">
        <is>
          <t>FULL</t>
        </is>
      </c>
      <c r="T33" s="7" t="n">
        <f>IF(P33="FULL",40,IF(P33="PARTIAL",40/2,0))+IF(Q33="FULL",30,IF(Q33="PARTIAL",30/2,0))+IF(R33="FULL",20,IF(R33="PARTIAL",20/2,0))+IF(S33="FULL",10,IF(S33="PARTIAL",10/2,0))</f>
        <v>100</v>
      </c>
      <c r="U33" s="7" t="n">
        <f>IF(P33="NOT_CHECKED",0,40)+IF(Q33="NOT_CHECKED",0,30)+IF(R33="NOT_CHECKED",0,20)+IF(S33="NOT_CHECKED",0,10)</f>
        <v>100</v>
      </c>
      <c r="V33" s="7" t="n">
        <f>IF(U33=100,T33,"")</f>
        <v>100</v>
      </c>
      <c r="W33" s="7" t="n">
        <f>T33</f>
        <v>100</v>
      </c>
      <c r="X33" s="7" t="n">
        <f>T33+(100-U33)</f>
        <v>100</v>
      </c>
      <c r="Y33" s="3" t="inlineStr">
        <is>
          <t>[]</t>
        </is>
      </c>
      <c r="Z33" s="3" t="inlineStr">
        <is>
          <t>["evidence_batch_003_027", "https://jeminise.com/products/christmas-bedding-quilt-soft-microfiber-holiday-bedsprea-design-12", "https://cdn.shopify.com/s/files/1/0792/5098/1063/files/771b444bc3c1e5abffae2b5c7e4c8a21e7d9116e9df079048baf711d9cdab5de.jpg?v=1787239299"]</t>
        </is>
      </c>
      <c r="AA33" s="3" t="inlineStr">
        <is>
          <t>r6</t>
        </is>
      </c>
    </row>
    <row r="34" ht="66" customHeight="1">
      <c r="A34" s="2" t="inlineStr">
        <is>
          <t>jeminise.com+christmas-bedding-quilt-soft-microfiber-holiday-bedsprea-design-12</t>
        </is>
      </c>
      <c r="B34" s="2" t="inlineStr">
        <is>
          <t>jeminise.com+christmas-bedding-quilt-soft-microfiber-holiday-bedsprea-design-12|media:47934031724743|pos:3|url:dc6e53e39b08</t>
        </is>
      </c>
      <c r="C34" s="4" t="inlineStr">
        <is>
          <t>https://cdn.shopify.com/s/files/1/0792/5098/1063/files/1633b2e89fa22831d4dc4a89053d8f3b3c491963e2b6b8e797728b03f280d901.jpg?v=1787239299</t>
        </is>
      </c>
      <c r="D34" s="4" t="inlineStr">
        <is>
          <t>https://cdn.shopify.com/s/files/1/0792/5098/1063/files/1633b2e89fa22831d4dc4a89053d8f3b3c491963e2b6b8e797728b03f280d901.jpg?v=1787239299</t>
        </is>
      </c>
      <c r="E34" s="2" t="inlineStr">
        <is>
          <t>47934031724743</t>
        </is>
      </c>
      <c r="F34" s="4" t="inlineStr">
        <is>
          <t>https://cdn.shopify.com/s/files/1/0792/5098/1063/files/1633b2e89fa22831d4dc4a89053d8f3b3c491963e2b6b8e797728b03f280d901.jpg?v=1787239299</t>
        </is>
      </c>
      <c r="G34" s="2" t="n"/>
      <c r="H34" s="2" t="inlineStr">
        <is>
          <t>GALLERY</t>
        </is>
      </c>
      <c r="I34" s="2" t="inlineStr">
        <is>
          <t>DIRECT_URL_DOWNLOAD_1200PX + VISUAL_READ</t>
        </is>
      </c>
      <c r="J34" s="2" t="inlineStr">
        <is>
          <t>2026-09-09T12:00:00+07:00</t>
        </is>
      </c>
      <c r="K34" s="2" t="inlineStr">
        <is>
          <t>Isolated pillow sham showing the coordinated printed artwork.</t>
        </is>
      </c>
      <c r="L34" s="2" t="inlineStr">
        <is>
          <t>Matching pillow sham with two snowmen, cardinal pair and wreath frame on red background.</t>
        </is>
      </c>
      <c r="M34" s="2" t="inlineStr">
        <is>
          <t>Christmas Bedding Quilt – Soft Microfiber Holiday Bedspread, Lightweight Winter Bedding, Cozy Xmas Quilts for Couch, Bedroom &amp; Seasonal Home Decorations (Christmas Quilt-DS12)</t>
        </is>
      </c>
      <c r="N34" s="2" t="inlineStr">
        <is>
          <t>SET</t>
        </is>
      </c>
      <c r="O34" s="2" t="inlineStr">
        <is>
          <t>Two snowmen cardinals Christmas pillow sham</t>
        </is>
      </c>
      <c r="P34" s="2" t="inlineStr">
        <is>
          <t>FULL</t>
        </is>
      </c>
      <c r="Q34" s="2" t="inlineStr">
        <is>
          <t>FULL</t>
        </is>
      </c>
      <c r="R34" s="2" t="inlineStr">
        <is>
          <t>FULL</t>
        </is>
      </c>
      <c r="S34" s="2" t="inlineStr">
        <is>
          <t>FULL</t>
        </is>
      </c>
      <c r="T34" s="5" t="n">
        <f>IF(P34="FULL",40,IF(P34="PARTIAL",40/2,0))+IF(Q34="FULL",30,IF(Q34="PARTIAL",30/2,0))+IF(R34="FULL",20,IF(R34="PARTIAL",20/2,0))+IF(S34="FULL",10,IF(S34="PARTIAL",10/2,0))</f>
        <v>100</v>
      </c>
      <c r="U34" s="5" t="n">
        <f>IF(P34="NOT_CHECKED",0,40)+IF(Q34="NOT_CHECKED",0,30)+IF(R34="NOT_CHECKED",0,20)+IF(S34="NOT_CHECKED",0,10)</f>
        <v>100</v>
      </c>
      <c r="V34" s="5" t="n">
        <f>IF(U34=100,T34,"")</f>
        <v>100</v>
      </c>
      <c r="W34" s="5" t="n">
        <f>T34</f>
        <v>100</v>
      </c>
      <c r="X34" s="5" t="n">
        <f>T34+(100-U34)</f>
        <v>100</v>
      </c>
      <c r="Y34" s="2" t="inlineStr">
        <is>
          <t>[]</t>
        </is>
      </c>
      <c r="Z34" s="2" t="inlineStr">
        <is>
          <t>["evidence_batch_003_027", "https://jeminise.com/products/christmas-bedding-quilt-soft-microfiber-holiday-bedsprea-design-12", "https://cdn.shopify.com/s/files/1/0792/5098/1063/files/1633b2e89fa22831d4dc4a89053d8f3b3c491963e2b6b8e797728b03f280d901.jpg?v=1787239299"]</t>
        </is>
      </c>
      <c r="AA34" s="2" t="inlineStr">
        <is>
          <t>r6</t>
        </is>
      </c>
    </row>
    <row r="35" ht="66" customHeight="1">
      <c r="A35" s="3" t="inlineStr">
        <is>
          <t>jeminise.com+christmas-bedding-quilt-soft-microfiber-holiday-bedsprea-design-12</t>
        </is>
      </c>
      <c r="B35" s="3" t="inlineStr">
        <is>
          <t>jeminise.com+christmas-bedding-quilt-soft-microfiber-holiday-bedsprea-design-12|media:47934031757511|pos:4|url:e9586d710dfb</t>
        </is>
      </c>
      <c r="C35" s="4" t="inlineStr">
        <is>
          <t>https://cdn.shopify.com/s/files/1/0792/5098/1063/files/8f72705c73157de73c90d17e957027dab4c5f6da82cd04f8c0291ff9478cbcb5.jpg?v=1787239299</t>
        </is>
      </c>
      <c r="D35" s="4" t="inlineStr">
        <is>
          <t>https://cdn.shopify.com/s/files/1/0792/5098/1063/files/8f72705c73157de73c90d17e957027dab4c5f6da82cd04f8c0291ff9478cbcb5.jpg?v=1787239299</t>
        </is>
      </c>
      <c r="E35" s="3" t="inlineStr">
        <is>
          <t>47934031757511</t>
        </is>
      </c>
      <c r="F35" s="4" t="inlineStr">
        <is>
          <t>https://cdn.shopify.com/s/files/1/0792/5098/1063/files/8f72705c73157de73c90d17e957027dab4c5f6da82cd04f8c0291ff9478cbcb5.jpg?v=1787239299</t>
        </is>
      </c>
      <c r="G35" s="3" t="n"/>
      <c r="H35" s="3" t="inlineStr">
        <is>
          <t>GALLERY</t>
        </is>
      </c>
      <c r="I35" s="3" t="inlineStr">
        <is>
          <t>DIRECT_URL_DOWNLOAD_1200PX + VISUAL_READ</t>
        </is>
      </c>
      <c r="J35" s="3" t="inlineStr">
        <is>
          <t>2026-09-09T12:00:00+07:00</t>
        </is>
      </c>
      <c r="K35" s="3" t="inlineStr">
        <is>
          <t>Close-up of printed surface and visible quilting texture.</t>
        </is>
      </c>
      <c r="L35" s="3" t="inlineStr">
        <is>
          <t>Close-up of cardinals perched near two snowmen with visible quilt stitching.</t>
        </is>
      </c>
      <c r="M35" s="3" t="inlineStr">
        <is>
          <t>Christmas Bedding Quilt – Soft Microfiber Holiday Bedspread, Lightweight Winter Bedding, Cozy Xmas Quilts for Couch, Bedroom &amp; Seasonal Home Decorations (Christmas Quilt-DS12)</t>
        </is>
      </c>
      <c r="N35" s="3" t="inlineStr">
        <is>
          <t>SET</t>
        </is>
      </c>
      <c r="O35" s="3" t="inlineStr">
        <is>
          <t>Two snowmen cardinals quilt stitching close-up</t>
        </is>
      </c>
      <c r="P35" s="3" t="inlineStr">
        <is>
          <t>FULL</t>
        </is>
      </c>
      <c r="Q35" s="3" t="inlineStr">
        <is>
          <t>FULL</t>
        </is>
      </c>
      <c r="R35" s="3" t="inlineStr">
        <is>
          <t>FULL</t>
        </is>
      </c>
      <c r="S35" s="3" t="inlineStr">
        <is>
          <t>FULL</t>
        </is>
      </c>
      <c r="T35" s="7" t="n">
        <f>IF(P35="FULL",40,IF(P35="PARTIAL",40/2,0))+IF(Q35="FULL",30,IF(Q35="PARTIAL",30/2,0))+IF(R35="FULL",20,IF(R35="PARTIAL",20/2,0))+IF(S35="FULL",10,IF(S35="PARTIAL",10/2,0))</f>
        <v>100</v>
      </c>
      <c r="U35" s="7" t="n">
        <f>IF(P35="NOT_CHECKED",0,40)+IF(Q35="NOT_CHECKED",0,30)+IF(R35="NOT_CHECKED",0,20)+IF(S35="NOT_CHECKED",0,10)</f>
        <v>100</v>
      </c>
      <c r="V35" s="7" t="n">
        <f>IF(U35=100,T35,"")</f>
        <v>100</v>
      </c>
      <c r="W35" s="7" t="n">
        <f>T35</f>
        <v>100</v>
      </c>
      <c r="X35" s="7" t="n">
        <f>T35+(100-U35)</f>
        <v>100</v>
      </c>
      <c r="Y35" s="3" t="inlineStr">
        <is>
          <t>[]</t>
        </is>
      </c>
      <c r="Z35" s="3" t="inlineStr">
        <is>
          <t>["evidence_batch_003_027", "https://jeminise.com/products/christmas-bedding-quilt-soft-microfiber-holiday-bedsprea-design-12", "https://cdn.shopify.com/s/files/1/0792/5098/1063/files/8f72705c73157de73c90d17e957027dab4c5f6da82cd04f8c0291ff9478cbcb5.jpg?v=1787239299"]</t>
        </is>
      </c>
      <c r="AA35" s="3" t="inlineStr">
        <is>
          <t>r6</t>
        </is>
      </c>
    </row>
    <row r="36" ht="66" customHeight="1">
      <c r="A36" s="2" t="inlineStr">
        <is>
          <t>jeminise.com+christmas-bedding-quilt-soft-microfiber-holiday-bedsprea-design-12</t>
        </is>
      </c>
      <c r="B36" s="2" t="inlineStr">
        <is>
          <t>jeminise.com+christmas-bedding-quilt-soft-microfiber-holiday-bedsprea-design-12|media:47934031790279|pos:5|url:5b92aa87fc19</t>
        </is>
      </c>
      <c r="C36" s="4" t="inlineStr">
        <is>
          <t>https://cdn.shopify.com/s/files/1/0792/5098/1063/files/581cabcc8f29304036025dfeda00684fc9b10f6fda52339d78d676869aca4f8d.jpg?v=1787239300</t>
        </is>
      </c>
      <c r="D36" s="4" t="inlineStr">
        <is>
          <t>https://cdn.shopify.com/s/files/1/0792/5098/1063/files/581cabcc8f29304036025dfeda00684fc9b10f6fda52339d78d676869aca4f8d.jpg?v=1787239300</t>
        </is>
      </c>
      <c r="E36" s="2" t="inlineStr">
        <is>
          <t>47934031790279</t>
        </is>
      </c>
      <c r="F36" s="4" t="inlineStr">
        <is>
          <t>https://cdn.shopify.com/s/files/1/0792/5098/1063/files/581cabcc8f29304036025dfeda00684fc9b10f6fda52339d78d676869aca4f8d.jpg?v=1787239300</t>
        </is>
      </c>
      <c r="G36" s="2" t="n"/>
      <c r="H36" s="2" t="inlineStr">
        <is>
          <t>GALLERY</t>
        </is>
      </c>
      <c r="I36" s="2" t="inlineStr">
        <is>
          <t>DIRECT_URL_DOWNLOAD_1200PX + VISUAL_READ</t>
        </is>
      </c>
      <c r="J36" s="2" t="inlineStr">
        <is>
          <t>2026-09-09T12:00:00+07:00</t>
        </is>
      </c>
      <c r="K36" s="2" t="inlineStr">
        <is>
          <t>Included-components and size graphic with quilt/sham options and dimensions.</t>
        </is>
      </c>
      <c r="L36" s="2" t="inlineStr">
        <is>
          <t>Size and component panel showing one premium quilt and two optional standard shams.</t>
        </is>
      </c>
      <c r="M36" s="2" t="inlineStr">
        <is>
          <t>Christmas Bedding Quilt – Soft Microfiber Holiday Bedspread, Lightweight Winter Bedding, Cozy Xmas Quilts for Couch, Bedroom &amp; Seasonal Home Decorations (Christmas Quilt-DS12)</t>
        </is>
      </c>
      <c r="N36" s="2" t="inlineStr">
        <is>
          <t>SET</t>
        </is>
      </c>
      <c r="O36" s="2" t="inlineStr">
        <is>
          <t>Two snowmen cardinals quilt size options</t>
        </is>
      </c>
      <c r="P36" s="2" t="inlineStr">
        <is>
          <t>FULL</t>
        </is>
      </c>
      <c r="Q36" s="2" t="inlineStr">
        <is>
          <t>FULL</t>
        </is>
      </c>
      <c r="R36" s="2" t="inlineStr">
        <is>
          <t>FULL</t>
        </is>
      </c>
      <c r="S36" s="2" t="inlineStr">
        <is>
          <t>FULL</t>
        </is>
      </c>
      <c r="T36" s="5" t="n">
        <f>IF(P36="FULL",40,IF(P36="PARTIAL",40/2,0))+IF(Q36="FULL",30,IF(Q36="PARTIAL",30/2,0))+IF(R36="FULL",20,IF(R36="PARTIAL",20/2,0))+IF(S36="FULL",10,IF(S36="PARTIAL",10/2,0))</f>
        <v>100</v>
      </c>
      <c r="U36" s="5" t="n">
        <f>IF(P36="NOT_CHECKED",0,40)+IF(Q36="NOT_CHECKED",0,30)+IF(R36="NOT_CHECKED",0,20)+IF(S36="NOT_CHECKED",0,10)</f>
        <v>100</v>
      </c>
      <c r="V36" s="5" t="n">
        <f>IF(U36=100,T36,"")</f>
        <v>100</v>
      </c>
      <c r="W36" s="5" t="n">
        <f>T36</f>
        <v>100</v>
      </c>
      <c r="X36" s="5" t="n">
        <f>T36+(100-U36)</f>
        <v>100</v>
      </c>
      <c r="Y36" s="2" t="inlineStr">
        <is>
          <t>[]</t>
        </is>
      </c>
      <c r="Z36" s="2" t="inlineStr">
        <is>
          <t>["evidence_batch_003_027", "https://jeminise.com/products/christmas-bedding-quilt-soft-microfiber-holiday-bedsprea-design-12", "https://cdn.shopify.com/s/files/1/0792/5098/1063/files/581cabcc8f29304036025dfeda00684fc9b10f6fda52339d78d676869aca4f8d.jpg?v=1787239300"]</t>
        </is>
      </c>
      <c r="AA36" s="2" t="inlineStr">
        <is>
          <t>r6</t>
        </is>
      </c>
    </row>
    <row r="37" ht="66" customHeight="1">
      <c r="A37" s="3" t="inlineStr">
        <is>
          <t>jeminise.com+christmas-bedding-quilt-soft-microfiber-holiday-bedspread</t>
        </is>
      </c>
      <c r="B37" s="3" t="inlineStr">
        <is>
          <t>jeminise.com+christmas-bedding-quilt-soft-microfiber-holiday-bedspread|media:47934029234375|pos:1|url:8c5f9ae5f82a</t>
        </is>
      </c>
      <c r="C37" s="4" t="inlineStr">
        <is>
          <t>https://cdn.shopify.com/s/files/1/0792/5098/1063/files/46766faf8cb22969ec6d9243d29501302e7d75e6617406cd4d523e3d582c385e.jpg?v=1787239287</t>
        </is>
      </c>
      <c r="D37" s="4" t="inlineStr">
        <is>
          <t>https://cdn.shopify.com/s/files/1/0792/5098/1063/files/46766faf8cb22969ec6d9243d29501302e7d75e6617406cd4d523e3d582c385e.jpg?v=1787239287</t>
        </is>
      </c>
      <c r="E37" s="3" t="inlineStr">
        <is>
          <t>47934029234375</t>
        </is>
      </c>
      <c r="F37" s="4" t="inlineStr">
        <is>
          <t>https://cdn.shopify.com/s/files/1/0792/5098/1063/files/46766faf8cb22969ec6d9243d29501302e7d75e6617406cd4d523e3d582c385e.jpg?v=1787239287</t>
        </is>
      </c>
      <c r="G37" s="3" t="n"/>
      <c r="H37" s="3" t="inlineStr">
        <is>
          <t>GALLERY</t>
        </is>
      </c>
      <c r="I37" s="3" t="inlineStr">
        <is>
          <t>DIRECT_URL_DOWNLOAD_1200PX + VISUAL_READ</t>
        </is>
      </c>
      <c r="J37" s="3" t="inlineStr">
        <is>
          <t>2026-09-09T12:00:00+07:00</t>
        </is>
      </c>
      <c r="K37" s="3" t="inlineStr">
        <is>
          <t>Front bedroom mockup showing the primary quilt motif and coordinated shams.</t>
        </is>
      </c>
      <c r="L37" s="3" t="inlineStr">
        <is>
          <t>Vintage Christmas tree quilt bed mockup with cream background, gifts, ornaments and matching shams.</t>
        </is>
      </c>
      <c r="M37" s="3" t="inlineStr">
        <is>
          <t>Christmas Bedding Quilt – Soft Microfiber Holiday Bedspread, Lightweight Winter Bedding, Cozy Xmas Quilts for Couch, Bedroom &amp; Seasonal Home Decorations (Christmas Quilt-DS07)</t>
        </is>
      </c>
      <c r="N37" s="3" t="inlineStr">
        <is>
          <t>SET</t>
        </is>
      </c>
      <c r="O37" s="3" t="inlineStr">
        <is>
          <t>Vintage Christmas tree quilt set on bed</t>
        </is>
      </c>
      <c r="P37" s="3" t="inlineStr">
        <is>
          <t>FULL</t>
        </is>
      </c>
      <c r="Q37" s="3" t="inlineStr">
        <is>
          <t>FULL</t>
        </is>
      </c>
      <c r="R37" s="3" t="inlineStr">
        <is>
          <t>FULL</t>
        </is>
      </c>
      <c r="S37" s="3" t="inlineStr">
        <is>
          <t>FULL</t>
        </is>
      </c>
      <c r="T37" s="7" t="n">
        <f>IF(P37="FULL",40,IF(P37="PARTIAL",40/2,0))+IF(Q37="FULL",30,IF(Q37="PARTIAL",30/2,0))+IF(R37="FULL",20,IF(R37="PARTIAL",20/2,0))+IF(S37="FULL",10,IF(S37="PARTIAL",10/2,0))</f>
        <v>100</v>
      </c>
      <c r="U37" s="7" t="n">
        <f>IF(P37="NOT_CHECKED",0,40)+IF(Q37="NOT_CHECKED",0,30)+IF(R37="NOT_CHECKED",0,20)+IF(S37="NOT_CHECKED",0,10)</f>
        <v>100</v>
      </c>
      <c r="V37" s="7" t="n">
        <f>IF(U37=100,T37,"")</f>
        <v>100</v>
      </c>
      <c r="W37" s="7" t="n">
        <f>T37</f>
        <v>100</v>
      </c>
      <c r="X37" s="7" t="n">
        <f>T37+(100-U37)</f>
        <v>100</v>
      </c>
      <c r="Y37" s="3" t="inlineStr">
        <is>
          <t>[]</t>
        </is>
      </c>
      <c r="Z37" s="3" t="inlineStr">
        <is>
          <t>["evidence_batch_003_028", "https://jeminise.com/products/christmas-bedding-quilt-soft-microfiber-holiday-bedspread", "https://cdn.shopify.com/s/files/1/0792/5098/1063/files/46766faf8cb22969ec6d9243d29501302e7d75e6617406cd4d523e3d582c385e.jpg?v=1787239287"]</t>
        </is>
      </c>
      <c r="AA37" s="3" t="inlineStr">
        <is>
          <t>r6</t>
        </is>
      </c>
    </row>
    <row r="38" ht="66" customHeight="1">
      <c r="A38" s="2" t="inlineStr">
        <is>
          <t>jeminise.com+christmas-bedding-quilt-soft-microfiber-holiday-bedspread</t>
        </is>
      </c>
      <c r="B38" s="2" t="inlineStr">
        <is>
          <t>jeminise.com+christmas-bedding-quilt-soft-microfiber-holiday-bedspread|media:47934029267143|pos:2|url:db81aa30347a</t>
        </is>
      </c>
      <c r="C38" s="4" t="inlineStr">
        <is>
          <t>https://cdn.shopify.com/s/files/1/0792/5098/1063/files/aefdb300474b2be72d2922e6647c41bde3bb061800ef5a5d164b41494b81fb19.jpg?v=1787239287</t>
        </is>
      </c>
      <c r="D38" s="4" t="inlineStr">
        <is>
          <t>https://cdn.shopify.com/s/files/1/0792/5098/1063/files/aefdb300474b2be72d2922e6647c41bde3bb061800ef5a5d164b41494b81fb19.jpg?v=1787239287</t>
        </is>
      </c>
      <c r="E38" s="2" t="inlineStr">
        <is>
          <t>47934029267143</t>
        </is>
      </c>
      <c r="F38" s="4" t="inlineStr">
        <is>
          <t>https://cdn.shopify.com/s/files/1/0792/5098/1063/files/aefdb300474b2be72d2922e6647c41bde3bb061800ef5a5d164b41494b81fb19.jpg?v=1787239287</t>
        </is>
      </c>
      <c r="G38" s="2" t="n"/>
      <c r="H38" s="2" t="inlineStr">
        <is>
          <t>GALLERY</t>
        </is>
      </c>
      <c r="I38" s="2" t="inlineStr">
        <is>
          <t>DIRECT_URL_DOWNLOAD_1200PX + VISUAL_READ</t>
        </is>
      </c>
      <c r="J38" s="2" t="inlineStr">
        <is>
          <t>2026-09-09T12:00:00+07:00</t>
        </is>
      </c>
      <c r="K38" s="2" t="inlineStr">
        <is>
          <t>Angled bedroom mockup confirming the same motif across the set.</t>
        </is>
      </c>
      <c r="L38" s="2" t="inlineStr">
        <is>
          <t>Bedroom mockup showing vintage Christmas tree quilt with presents and coordinated pillow shams.</t>
        </is>
      </c>
      <c r="M38" s="2" t="inlineStr">
        <is>
          <t>Christmas Bedding Quilt – Soft Microfiber Holiday Bedspread, Lightweight Winter Bedding, Cozy Xmas Quilts for Couch, Bedroom &amp; Seasonal Home Decorations (Christmas Quilt-DS07)</t>
        </is>
      </c>
      <c r="N38" s="2" t="inlineStr">
        <is>
          <t>SET</t>
        </is>
      </c>
      <c r="O38" s="2" t="inlineStr">
        <is>
          <t>Vintage Christmas tree quilt bedroom mockup</t>
        </is>
      </c>
      <c r="P38" s="2" t="inlineStr">
        <is>
          <t>FULL</t>
        </is>
      </c>
      <c r="Q38" s="2" t="inlineStr">
        <is>
          <t>FULL</t>
        </is>
      </c>
      <c r="R38" s="2" t="inlineStr">
        <is>
          <t>FULL</t>
        </is>
      </c>
      <c r="S38" s="2" t="inlineStr">
        <is>
          <t>FULL</t>
        </is>
      </c>
      <c r="T38" s="5" t="n">
        <f>IF(P38="FULL",40,IF(P38="PARTIAL",40/2,0))+IF(Q38="FULL",30,IF(Q38="PARTIAL",30/2,0))+IF(R38="FULL",20,IF(R38="PARTIAL",20/2,0))+IF(S38="FULL",10,IF(S38="PARTIAL",10/2,0))</f>
        <v>100</v>
      </c>
      <c r="U38" s="5" t="n">
        <f>IF(P38="NOT_CHECKED",0,40)+IF(Q38="NOT_CHECKED",0,30)+IF(R38="NOT_CHECKED",0,20)+IF(S38="NOT_CHECKED",0,10)</f>
        <v>100</v>
      </c>
      <c r="V38" s="5" t="n">
        <f>IF(U38=100,T38,"")</f>
        <v>100</v>
      </c>
      <c r="W38" s="5" t="n">
        <f>T38</f>
        <v>100</v>
      </c>
      <c r="X38" s="5" t="n">
        <f>T38+(100-U38)</f>
        <v>100</v>
      </c>
      <c r="Y38" s="2" t="inlineStr">
        <is>
          <t>[]</t>
        </is>
      </c>
      <c r="Z38" s="2" t="inlineStr">
        <is>
          <t>["evidence_batch_003_028", "https://jeminise.com/products/christmas-bedding-quilt-soft-microfiber-holiday-bedspread", "https://cdn.shopify.com/s/files/1/0792/5098/1063/files/aefdb300474b2be72d2922e6647c41bde3bb061800ef5a5d164b41494b81fb19.jpg?v=1787239287"]</t>
        </is>
      </c>
      <c r="AA38" s="2" t="inlineStr">
        <is>
          <t>r6</t>
        </is>
      </c>
    </row>
    <row r="39" ht="66" customHeight="1">
      <c r="A39" s="3" t="inlineStr">
        <is>
          <t>jeminise.com+christmas-bedding-quilt-soft-microfiber-holiday-bedspread</t>
        </is>
      </c>
      <c r="B39" s="3" t="inlineStr">
        <is>
          <t>jeminise.com+christmas-bedding-quilt-soft-microfiber-holiday-bedspread|media:47934029299911|pos:3|url:a3ca6c533615</t>
        </is>
      </c>
      <c r="C39" s="4" t="inlineStr">
        <is>
          <t>https://cdn.shopify.com/s/files/1/0792/5098/1063/files/3a3d71b9e950f5c9823b2552370a6a4a7cba089c4b15f174d2430e5fa07d5a5d.jpg?v=1787239286</t>
        </is>
      </c>
      <c r="D39" s="4" t="inlineStr">
        <is>
          <t>https://cdn.shopify.com/s/files/1/0792/5098/1063/files/3a3d71b9e950f5c9823b2552370a6a4a7cba089c4b15f174d2430e5fa07d5a5d.jpg?v=1787239286</t>
        </is>
      </c>
      <c r="E39" s="3" t="inlineStr">
        <is>
          <t>47934029299911</t>
        </is>
      </c>
      <c r="F39" s="4" t="inlineStr">
        <is>
          <t>https://cdn.shopify.com/s/files/1/0792/5098/1063/files/3a3d71b9e950f5c9823b2552370a6a4a7cba089c4b15f174d2430e5fa07d5a5d.jpg?v=1787239286</t>
        </is>
      </c>
      <c r="G39" s="3" t="n"/>
      <c r="H39" s="3" t="inlineStr">
        <is>
          <t>GALLERY</t>
        </is>
      </c>
      <c r="I39" s="3" t="inlineStr">
        <is>
          <t>DIRECT_URL_DOWNLOAD_1200PX + VISUAL_READ</t>
        </is>
      </c>
      <c r="J39" s="3" t="inlineStr">
        <is>
          <t>2026-09-09T12:00:00+07:00</t>
        </is>
      </c>
      <c r="K39" s="3" t="inlineStr">
        <is>
          <t>Isolated pillow sham showing the coordinated printed artwork.</t>
        </is>
      </c>
      <c r="L39" s="3" t="inlineStr">
        <is>
          <t>Matching pillow sham with decorated Christmas tree, presents and vintage border artwork.</t>
        </is>
      </c>
      <c r="M39" s="3" t="inlineStr">
        <is>
          <t>Christmas Bedding Quilt – Soft Microfiber Holiday Bedspread, Lightweight Winter Bedding, Cozy Xmas Quilts for Couch, Bedroom &amp; Seasonal Home Decorations (Christmas Quilt-DS07)</t>
        </is>
      </c>
      <c r="N39" s="3" t="inlineStr">
        <is>
          <t>SET</t>
        </is>
      </c>
      <c r="O39" s="3" t="inlineStr">
        <is>
          <t>Vintage Christmas tree quilt pillow sham</t>
        </is>
      </c>
      <c r="P39" s="3" t="inlineStr">
        <is>
          <t>FULL</t>
        </is>
      </c>
      <c r="Q39" s="3" t="inlineStr">
        <is>
          <t>FULL</t>
        </is>
      </c>
      <c r="R39" s="3" t="inlineStr">
        <is>
          <t>FULL</t>
        </is>
      </c>
      <c r="S39" s="3" t="inlineStr">
        <is>
          <t>FULL</t>
        </is>
      </c>
      <c r="T39" s="7" t="n">
        <f>IF(P39="FULL",40,IF(P39="PARTIAL",40/2,0))+IF(Q39="FULL",30,IF(Q39="PARTIAL",30/2,0))+IF(R39="FULL",20,IF(R39="PARTIAL",20/2,0))+IF(S39="FULL",10,IF(S39="PARTIAL",10/2,0))</f>
        <v>100</v>
      </c>
      <c r="U39" s="7" t="n">
        <f>IF(P39="NOT_CHECKED",0,40)+IF(Q39="NOT_CHECKED",0,30)+IF(R39="NOT_CHECKED",0,20)+IF(S39="NOT_CHECKED",0,10)</f>
        <v>100</v>
      </c>
      <c r="V39" s="7" t="n">
        <f>IF(U39=100,T39,"")</f>
        <v>100</v>
      </c>
      <c r="W39" s="7" t="n">
        <f>T39</f>
        <v>100</v>
      </c>
      <c r="X39" s="7" t="n">
        <f>T39+(100-U39)</f>
        <v>100</v>
      </c>
      <c r="Y39" s="3" t="inlineStr">
        <is>
          <t>[]</t>
        </is>
      </c>
      <c r="Z39" s="3" t="inlineStr">
        <is>
          <t>["evidence_batch_003_028", "https://jeminise.com/products/christmas-bedding-quilt-soft-microfiber-holiday-bedspread", "https://cdn.shopify.com/s/files/1/0792/5098/1063/files/3a3d71b9e950f5c9823b2552370a6a4a7cba089c4b15f174d2430e5fa07d5a5d.jpg?v=1787239286"]</t>
        </is>
      </c>
      <c r="AA39" s="3" t="inlineStr">
        <is>
          <t>r6</t>
        </is>
      </c>
    </row>
    <row r="40" ht="66" customHeight="1">
      <c r="A40" s="2" t="inlineStr">
        <is>
          <t>jeminise.com+christmas-bedding-quilt-soft-microfiber-holiday-bedspread</t>
        </is>
      </c>
      <c r="B40" s="2" t="inlineStr">
        <is>
          <t>jeminise.com+christmas-bedding-quilt-soft-microfiber-holiday-bedspread|media:47934029332679|pos:4|url:fd27aad42129</t>
        </is>
      </c>
      <c r="C40" s="4" t="inlineStr">
        <is>
          <t>https://cdn.shopify.com/s/files/1/0792/5098/1063/files/7066a2433b3f12d4cacd6f4e8cc8c23427cc728f21337e12f0e0996e3b9d0eac.jpg?v=1787239286</t>
        </is>
      </c>
      <c r="D40" s="4" t="inlineStr">
        <is>
          <t>https://cdn.shopify.com/s/files/1/0792/5098/1063/files/7066a2433b3f12d4cacd6f4e8cc8c23427cc728f21337e12f0e0996e3b9d0eac.jpg?v=1787239286</t>
        </is>
      </c>
      <c r="E40" s="2" t="inlineStr">
        <is>
          <t>47934029332679</t>
        </is>
      </c>
      <c r="F40" s="4" t="inlineStr">
        <is>
          <t>https://cdn.shopify.com/s/files/1/0792/5098/1063/files/7066a2433b3f12d4cacd6f4e8cc8c23427cc728f21337e12f0e0996e3b9d0eac.jpg?v=1787239286</t>
        </is>
      </c>
      <c r="G40" s="2" t="n"/>
      <c r="H40" s="2" t="inlineStr">
        <is>
          <t>GALLERY</t>
        </is>
      </c>
      <c r="I40" s="2" t="inlineStr">
        <is>
          <t>DIRECT_URL_DOWNLOAD_1200PX + VISUAL_READ</t>
        </is>
      </c>
      <c r="J40" s="2" t="inlineStr">
        <is>
          <t>2026-09-09T12:00:00+07:00</t>
        </is>
      </c>
      <c r="K40" s="2" t="inlineStr">
        <is>
          <t>Close-up of printed surface and visible quilting texture.</t>
        </is>
      </c>
      <c r="L40" s="2" t="inlineStr">
        <is>
          <t>Close-up of decorated tree branches, ornaments, garland and visible quilt stitching.</t>
        </is>
      </c>
      <c r="M40" s="2" t="inlineStr">
        <is>
          <t>Christmas Bedding Quilt – Soft Microfiber Holiday Bedspread, Lightweight Winter Bedding, Cozy Xmas Quilts for Couch, Bedroom &amp; Seasonal Home Decorations (Christmas Quilt-DS07)</t>
        </is>
      </c>
      <c r="N40" s="2" t="inlineStr">
        <is>
          <t>SET</t>
        </is>
      </c>
      <c r="O40" s="2" t="inlineStr">
        <is>
          <t>Vintage Christmas tree quilt stitching close-up</t>
        </is>
      </c>
      <c r="P40" s="2" t="inlineStr">
        <is>
          <t>FULL</t>
        </is>
      </c>
      <c r="Q40" s="2" t="inlineStr">
        <is>
          <t>FULL</t>
        </is>
      </c>
      <c r="R40" s="2" t="inlineStr">
        <is>
          <t>FULL</t>
        </is>
      </c>
      <c r="S40" s="2" t="inlineStr">
        <is>
          <t>FULL</t>
        </is>
      </c>
      <c r="T40" s="5" t="n">
        <f>IF(P40="FULL",40,IF(P40="PARTIAL",40/2,0))+IF(Q40="FULL",30,IF(Q40="PARTIAL",30/2,0))+IF(R40="FULL",20,IF(R40="PARTIAL",20/2,0))+IF(S40="FULL",10,IF(S40="PARTIAL",10/2,0))</f>
        <v>100</v>
      </c>
      <c r="U40" s="5" t="n">
        <f>IF(P40="NOT_CHECKED",0,40)+IF(Q40="NOT_CHECKED",0,30)+IF(R40="NOT_CHECKED",0,20)+IF(S40="NOT_CHECKED",0,10)</f>
        <v>100</v>
      </c>
      <c r="V40" s="5" t="n">
        <f>IF(U40=100,T40,"")</f>
        <v>100</v>
      </c>
      <c r="W40" s="5" t="n">
        <f>T40</f>
        <v>100</v>
      </c>
      <c r="X40" s="5" t="n">
        <f>T40+(100-U40)</f>
        <v>100</v>
      </c>
      <c r="Y40" s="2" t="inlineStr">
        <is>
          <t>[]</t>
        </is>
      </c>
      <c r="Z40" s="2" t="inlineStr">
        <is>
          <t>["evidence_batch_003_028", "https://jeminise.com/products/christmas-bedding-quilt-soft-microfiber-holiday-bedspread", "https://cdn.shopify.com/s/files/1/0792/5098/1063/files/7066a2433b3f12d4cacd6f4e8cc8c23427cc728f21337e12f0e0996e3b9d0eac.jpg?v=1787239286"]</t>
        </is>
      </c>
      <c r="AA40" s="2" t="inlineStr">
        <is>
          <t>r6</t>
        </is>
      </c>
    </row>
    <row r="41" ht="66" customHeight="1">
      <c r="A41" s="3" t="inlineStr">
        <is>
          <t>jeminise.com+christmas-bedding-quilt-soft-microfiber-holiday-bedspread</t>
        </is>
      </c>
      <c r="B41" s="3" t="inlineStr">
        <is>
          <t>jeminise.com+christmas-bedding-quilt-soft-microfiber-holiday-bedspread|media:47934029365447|pos:5|url:8106938b4ad0</t>
        </is>
      </c>
      <c r="C41" s="4" t="inlineStr">
        <is>
          <t>https://cdn.shopify.com/s/files/1/0792/5098/1063/files/7b383fdda314586dd2b1631d354d11f6044cf860e78d60b0da30f368498ad48f.jpg?v=1787239286</t>
        </is>
      </c>
      <c r="D41" s="4" t="inlineStr">
        <is>
          <t>https://cdn.shopify.com/s/files/1/0792/5098/1063/files/7b383fdda314586dd2b1631d354d11f6044cf860e78d60b0da30f368498ad48f.jpg?v=1787239286</t>
        </is>
      </c>
      <c r="E41" s="3" t="inlineStr">
        <is>
          <t>47934029365447</t>
        </is>
      </c>
      <c r="F41" s="4" t="inlineStr">
        <is>
          <t>https://cdn.shopify.com/s/files/1/0792/5098/1063/files/7b383fdda314586dd2b1631d354d11f6044cf860e78d60b0da30f368498ad48f.jpg?v=1787239286</t>
        </is>
      </c>
      <c r="G41" s="3" t="n"/>
      <c r="H41" s="3" t="inlineStr">
        <is>
          <t>GALLERY</t>
        </is>
      </c>
      <c r="I41" s="3" t="inlineStr">
        <is>
          <t>DIRECT_URL_DOWNLOAD_1200PX + VISUAL_READ</t>
        </is>
      </c>
      <c r="J41" s="3" t="inlineStr">
        <is>
          <t>2026-09-09T12:00:00+07:00</t>
        </is>
      </c>
      <c r="K41" s="3" t="inlineStr">
        <is>
          <t>Included-components and size graphic with quilt/sham options and dimensions.</t>
        </is>
      </c>
      <c r="L41" s="3" t="inlineStr">
        <is>
          <t>Size and component panel showing one premium quilt and two optional standard shams.</t>
        </is>
      </c>
      <c r="M41" s="3" t="inlineStr">
        <is>
          <t>Christmas Bedding Quilt – Soft Microfiber Holiday Bedspread, Lightweight Winter Bedding, Cozy Xmas Quilts for Couch, Bedroom &amp; Seasonal Home Decorations (Christmas Quilt-DS07)</t>
        </is>
      </c>
      <c r="N41" s="3" t="inlineStr">
        <is>
          <t>SET</t>
        </is>
      </c>
      <c r="O41" s="3" t="inlineStr">
        <is>
          <t>Vintage Christmas tree quilt size and sham options</t>
        </is>
      </c>
      <c r="P41" s="3" t="inlineStr">
        <is>
          <t>FULL</t>
        </is>
      </c>
      <c r="Q41" s="3" t="inlineStr">
        <is>
          <t>FULL</t>
        </is>
      </c>
      <c r="R41" s="3" t="inlineStr">
        <is>
          <t>FULL</t>
        </is>
      </c>
      <c r="S41" s="3" t="inlineStr">
        <is>
          <t>FULL</t>
        </is>
      </c>
      <c r="T41" s="7" t="n">
        <f>IF(P41="FULL",40,IF(P41="PARTIAL",40/2,0))+IF(Q41="FULL",30,IF(Q41="PARTIAL",30/2,0))+IF(R41="FULL",20,IF(R41="PARTIAL",20/2,0))+IF(S41="FULL",10,IF(S41="PARTIAL",10/2,0))</f>
        <v>100</v>
      </c>
      <c r="U41" s="7" t="n">
        <f>IF(P41="NOT_CHECKED",0,40)+IF(Q41="NOT_CHECKED",0,30)+IF(R41="NOT_CHECKED",0,20)+IF(S41="NOT_CHECKED",0,10)</f>
        <v>100</v>
      </c>
      <c r="V41" s="7" t="n">
        <f>IF(U41=100,T41,"")</f>
        <v>100</v>
      </c>
      <c r="W41" s="7" t="n">
        <f>T41</f>
        <v>100</v>
      </c>
      <c r="X41" s="7" t="n">
        <f>T41+(100-U41)</f>
        <v>100</v>
      </c>
      <c r="Y41" s="3" t="inlineStr">
        <is>
          <t>[]</t>
        </is>
      </c>
      <c r="Z41" s="3" t="inlineStr">
        <is>
          <t>["evidence_batch_003_028", "https://jeminise.com/products/christmas-bedding-quilt-soft-microfiber-holiday-bedspread", "https://cdn.shopify.com/s/files/1/0792/5098/1063/files/7b383fdda314586dd2b1631d354d11f6044cf860e78d60b0da30f368498ad48f.jpg?v=1787239286"]</t>
        </is>
      </c>
      <c r="AA41" s="3" t="inlineStr">
        <is>
          <t>r6</t>
        </is>
      </c>
    </row>
    <row r="42" ht="66" customHeight="1">
      <c r="A42" s="2" t="inlineStr">
        <is>
          <t>jeminise.com+christmas-cardinal-on-branch-within-patchwork-winter-quilt-892d70543a-892d70543a</t>
        </is>
      </c>
      <c r="B42" s="2" t="inlineStr">
        <is>
          <t>jeminise.com+christmas-cardinal-on-branch-within-patchwork-winter-quilt-892d70543a-892d70543a|media:47539978830023|pos:1|url:9400943c2c10</t>
        </is>
      </c>
      <c r="C42" s="4" t="inlineStr">
        <is>
          <t>https://cdn.shopify.com/s/files/1/0792/5098/1063/files/bf28c41377cdb7a1ead58c1b8bf6522ea073b8840f5304f63418bda5d7a7b388.jpg?v=1785098877</t>
        </is>
      </c>
      <c r="D42" s="4" t="inlineStr">
        <is>
          <t>https://cdn.shopify.com/s/files/1/0792/5098/1063/files/bf28c41377cdb7a1ead58c1b8bf6522ea073b8840f5304f63418bda5d7a7b388.jpg?v=1785098877</t>
        </is>
      </c>
      <c r="E42" s="2" t="inlineStr">
        <is>
          <t>47539978830023</t>
        </is>
      </c>
      <c r="F42" s="4" t="inlineStr">
        <is>
          <t>https://cdn.shopify.com/s/files/1/0792/5098/1063/files/bf28c41377cdb7a1ead58c1b8bf6522ea073b8840f5304f63418bda5d7a7b388.jpg?v=1785098877</t>
        </is>
      </c>
      <c r="G42" s="2" t="n"/>
      <c r="H42" s="2" t="inlineStr">
        <is>
          <t>GALLERY</t>
        </is>
      </c>
      <c r="I42" s="2" t="inlineStr">
        <is>
          <t>DIRECT_URL_DOWNLOAD_1200PX + VISUAL_READ</t>
        </is>
      </c>
      <c r="J42" s="2" t="inlineStr">
        <is>
          <t>2026-09-09T12:00:00+07:00</t>
        </is>
      </c>
      <c r="K42" s="2" t="inlineStr">
        <is>
          <t>Front bedroom mockup showing the primary quilt motif and coordinated shams.</t>
        </is>
      </c>
      <c r="L42" s="2" t="inlineStr">
        <is>
          <t>Cardinal memorial Christmas quilt bed mockup with red patchwork, poinsettias, hearts, bells and I Am Always With You text.</t>
        </is>
      </c>
      <c r="M42" s="2" t="inlineStr">
        <is>
          <t>Christmas Cardinal on Branch Within Patchwork Winter Quilt</t>
        </is>
      </c>
      <c r="N42" s="2" t="inlineStr">
        <is>
          <t>SET</t>
        </is>
      </c>
      <c r="O42" s="2" t="inlineStr">
        <is>
          <t>Cardinal memorial Christmas quilt set on bed</t>
        </is>
      </c>
      <c r="P42" s="2" t="inlineStr">
        <is>
          <t>FULL</t>
        </is>
      </c>
      <c r="Q42" s="2" t="inlineStr">
        <is>
          <t>FULL</t>
        </is>
      </c>
      <c r="R42" s="2" t="inlineStr">
        <is>
          <t>FULL</t>
        </is>
      </c>
      <c r="S42" s="2" t="inlineStr">
        <is>
          <t>FULL</t>
        </is>
      </c>
      <c r="T42" s="5" t="n">
        <f>IF(P42="FULL",40,IF(P42="PARTIAL",40/2,0))+IF(Q42="FULL",30,IF(Q42="PARTIAL",30/2,0))+IF(R42="FULL",20,IF(R42="PARTIAL",20/2,0))+IF(S42="FULL",10,IF(S42="PARTIAL",10/2,0))</f>
        <v>100</v>
      </c>
      <c r="U42" s="5" t="n">
        <f>IF(P42="NOT_CHECKED",0,40)+IF(Q42="NOT_CHECKED",0,30)+IF(R42="NOT_CHECKED",0,20)+IF(S42="NOT_CHECKED",0,10)</f>
        <v>100</v>
      </c>
      <c r="V42" s="5" t="n">
        <f>IF(U42=100,T42,"")</f>
        <v>100</v>
      </c>
      <c r="W42" s="5" t="n">
        <f>T42</f>
        <v>100</v>
      </c>
      <c r="X42" s="5" t="n">
        <f>T42+(100-U42)</f>
        <v>100</v>
      </c>
      <c r="Y42" s="2" t="inlineStr">
        <is>
          <t>[]</t>
        </is>
      </c>
      <c r="Z42" s="2" t="inlineStr">
        <is>
          <t>["evidence_batch_003_029", "https://jeminise.com/products/christmas-cardinal-on-branch-within-patchwork-winter-quilt-892d70543a-892d70543a", "https://cdn.shopify.com/s/files/1/0792/5098/1063/files/bf28c41377cdb7a1ead58c1b8bf6522ea073b8840f5304f63418bda5d7a7b388.jpg?v=1785098877"]</t>
        </is>
      </c>
      <c r="AA42" s="2" t="inlineStr">
        <is>
          <t>r6</t>
        </is>
      </c>
    </row>
    <row r="43" ht="66" customHeight="1">
      <c r="A43" s="3" t="inlineStr">
        <is>
          <t>jeminise.com+christmas-cardinal-on-branch-within-patchwork-winter-quilt-892d70543a-892d70543a</t>
        </is>
      </c>
      <c r="B43" s="3" t="inlineStr">
        <is>
          <t>jeminise.com+christmas-cardinal-on-branch-within-patchwork-winter-quilt-892d70543a-892d70543a|media:47539978862791|pos:2|url:e2b0e5e5a55a</t>
        </is>
      </c>
      <c r="C43" s="4" t="inlineStr">
        <is>
          <t>https://cdn.shopify.com/s/files/1/0792/5098/1063/files/81f3805955113fdaf94272a97be66d4eb8728684496654f5010e77aa4ab8e87b.jpg?v=1785098877</t>
        </is>
      </c>
      <c r="D43" s="4" t="inlineStr">
        <is>
          <t>https://cdn.shopify.com/s/files/1/0792/5098/1063/files/81f3805955113fdaf94272a97be66d4eb8728684496654f5010e77aa4ab8e87b.jpg?v=1785098877</t>
        </is>
      </c>
      <c r="E43" s="3" t="inlineStr">
        <is>
          <t>47539978862791</t>
        </is>
      </c>
      <c r="F43" s="4" t="inlineStr">
        <is>
          <t>https://cdn.shopify.com/s/files/1/0792/5098/1063/files/81f3805955113fdaf94272a97be66d4eb8728684496654f5010e77aa4ab8e87b.jpg?v=1785098877</t>
        </is>
      </c>
      <c r="G43" s="3" t="n"/>
      <c r="H43" s="3" t="inlineStr">
        <is>
          <t>GALLERY</t>
        </is>
      </c>
      <c r="I43" s="3" t="inlineStr">
        <is>
          <t>DIRECT_URL_DOWNLOAD_1200PX + VISUAL_READ</t>
        </is>
      </c>
      <c r="J43" s="3" t="inlineStr">
        <is>
          <t>2026-09-09T12:00:00+07:00</t>
        </is>
      </c>
      <c r="K43" s="3" t="inlineStr">
        <is>
          <t>Angled bedroom mockup confirming the same motif across the set.</t>
        </is>
      </c>
      <c r="L43" s="3" t="inlineStr">
        <is>
          <t>Close-up of red cardinal and I Am Always With You text with berries and visible quilt stitching.</t>
        </is>
      </c>
      <c r="M43" s="3" t="inlineStr">
        <is>
          <t>Christmas Cardinal on Branch Within Patchwork Winter Quilt</t>
        </is>
      </c>
      <c r="N43" s="3" t="inlineStr">
        <is>
          <t>SET</t>
        </is>
      </c>
      <c r="O43" s="3" t="inlineStr">
        <is>
          <t>Cardinal memorial quilt text close-up</t>
        </is>
      </c>
      <c r="P43" s="3" t="inlineStr">
        <is>
          <t>FULL</t>
        </is>
      </c>
      <c r="Q43" s="3" t="inlineStr">
        <is>
          <t>FULL</t>
        </is>
      </c>
      <c r="R43" s="3" t="inlineStr">
        <is>
          <t>FULL</t>
        </is>
      </c>
      <c r="S43" s="3" t="inlineStr">
        <is>
          <t>FULL</t>
        </is>
      </c>
      <c r="T43" s="7" t="n">
        <f>IF(P43="FULL",40,IF(P43="PARTIAL",40/2,0))+IF(Q43="FULL",30,IF(Q43="PARTIAL",30/2,0))+IF(R43="FULL",20,IF(R43="PARTIAL",20/2,0))+IF(S43="FULL",10,IF(S43="PARTIAL",10/2,0))</f>
        <v>100</v>
      </c>
      <c r="U43" s="7" t="n">
        <f>IF(P43="NOT_CHECKED",0,40)+IF(Q43="NOT_CHECKED",0,30)+IF(R43="NOT_CHECKED",0,20)+IF(S43="NOT_CHECKED",0,10)</f>
        <v>100</v>
      </c>
      <c r="V43" s="7" t="n">
        <f>IF(U43=100,T43,"")</f>
        <v>100</v>
      </c>
      <c r="W43" s="7" t="n">
        <f>T43</f>
        <v>100</v>
      </c>
      <c r="X43" s="7" t="n">
        <f>T43+(100-U43)</f>
        <v>100</v>
      </c>
      <c r="Y43" s="3" t="inlineStr">
        <is>
          <t>[]</t>
        </is>
      </c>
      <c r="Z43" s="3" t="inlineStr">
        <is>
          <t>["evidence_batch_003_029", "https://jeminise.com/products/christmas-cardinal-on-branch-within-patchwork-winter-quilt-892d70543a-892d70543a", "https://cdn.shopify.com/s/files/1/0792/5098/1063/files/81f3805955113fdaf94272a97be66d4eb8728684496654f5010e77aa4ab8e87b.jpg?v=1785098877"]</t>
        </is>
      </c>
      <c r="AA43" s="3" t="inlineStr">
        <is>
          <t>r6</t>
        </is>
      </c>
    </row>
    <row r="44" ht="66" customHeight="1">
      <c r="A44" s="2" t="inlineStr">
        <is>
          <t>jeminise.com+christmas-cardinal-on-branch-within-patchwork-winter-quilt-892d70543a-892d70543a</t>
        </is>
      </c>
      <c r="B44" s="2" t="inlineStr">
        <is>
          <t>jeminise.com+christmas-cardinal-on-branch-within-patchwork-winter-quilt-892d70543a-892d70543a|media:47539978895559|pos:3|url:563a53cd1509</t>
        </is>
      </c>
      <c r="C44" s="4" t="inlineStr">
        <is>
          <t>https://cdn.shopify.com/s/files/1/0792/5098/1063/files/71627aa23557dde06f36d989c7eea33ac95d6403196bf70fbc4eefcf56b6e70f.jpg?v=1785098877</t>
        </is>
      </c>
      <c r="D44" s="4" t="inlineStr">
        <is>
          <t>https://cdn.shopify.com/s/files/1/0792/5098/1063/files/71627aa23557dde06f36d989c7eea33ac95d6403196bf70fbc4eefcf56b6e70f.jpg?v=1785098877</t>
        </is>
      </c>
      <c r="E44" s="2" t="inlineStr">
        <is>
          <t>47539978895559</t>
        </is>
      </c>
      <c r="F44" s="4" t="inlineStr">
        <is>
          <t>https://cdn.shopify.com/s/files/1/0792/5098/1063/files/71627aa23557dde06f36d989c7eea33ac95d6403196bf70fbc4eefcf56b6e70f.jpg?v=1785098877</t>
        </is>
      </c>
      <c r="G44" s="2" t="n"/>
      <c r="H44" s="2" t="inlineStr">
        <is>
          <t>GALLERY</t>
        </is>
      </c>
      <c r="I44" s="2" t="inlineStr">
        <is>
          <t>DIRECT_URL_DOWNLOAD_1200PX + VISUAL_READ</t>
        </is>
      </c>
      <c r="J44" s="2" t="inlineStr">
        <is>
          <t>2026-09-09T12:00:00+07:00</t>
        </is>
      </c>
      <c r="K44" s="2" t="inlineStr">
        <is>
          <t>Isolated pillow sham showing the coordinated printed artwork.</t>
        </is>
      </c>
      <c r="L44" s="2" t="inlineStr">
        <is>
          <t>Matching pillow sham with cardinal memorial patchwork, poinsettias, hearts and bells.</t>
        </is>
      </c>
      <c r="M44" s="2" t="inlineStr">
        <is>
          <t>Christmas Cardinal on Branch Within Patchwork Winter Quilt</t>
        </is>
      </c>
      <c r="N44" s="2" t="inlineStr">
        <is>
          <t>SET</t>
        </is>
      </c>
      <c r="O44" s="2" t="inlineStr">
        <is>
          <t>Cardinal memorial Christmas pillow sham</t>
        </is>
      </c>
      <c r="P44" s="2" t="inlineStr">
        <is>
          <t>FULL</t>
        </is>
      </c>
      <c r="Q44" s="2" t="inlineStr">
        <is>
          <t>FULL</t>
        </is>
      </c>
      <c r="R44" s="2" t="inlineStr">
        <is>
          <t>FULL</t>
        </is>
      </c>
      <c r="S44" s="2" t="inlineStr">
        <is>
          <t>FULL</t>
        </is>
      </c>
      <c r="T44" s="5" t="n">
        <f>IF(P44="FULL",40,IF(P44="PARTIAL",40/2,0))+IF(Q44="FULL",30,IF(Q44="PARTIAL",30/2,0))+IF(R44="FULL",20,IF(R44="PARTIAL",20/2,0))+IF(S44="FULL",10,IF(S44="PARTIAL",10/2,0))</f>
        <v>100</v>
      </c>
      <c r="U44" s="5" t="n">
        <f>IF(P44="NOT_CHECKED",0,40)+IF(Q44="NOT_CHECKED",0,30)+IF(R44="NOT_CHECKED",0,20)+IF(S44="NOT_CHECKED",0,10)</f>
        <v>100</v>
      </c>
      <c r="V44" s="5" t="n">
        <f>IF(U44=100,T44,"")</f>
        <v>100</v>
      </c>
      <c r="W44" s="5" t="n">
        <f>T44</f>
        <v>100</v>
      </c>
      <c r="X44" s="5" t="n">
        <f>T44+(100-U44)</f>
        <v>100</v>
      </c>
      <c r="Y44" s="2" t="inlineStr">
        <is>
          <t>[]</t>
        </is>
      </c>
      <c r="Z44" s="2" t="inlineStr">
        <is>
          <t>["evidence_batch_003_029", "https://jeminise.com/products/christmas-cardinal-on-branch-within-patchwork-winter-quilt-892d70543a-892d70543a", "https://cdn.shopify.com/s/files/1/0792/5098/1063/files/71627aa23557dde06f36d989c7eea33ac95d6403196bf70fbc4eefcf56b6e70f.jpg?v=1785098877"]</t>
        </is>
      </c>
      <c r="AA44" s="2" t="inlineStr">
        <is>
          <t>r6</t>
        </is>
      </c>
    </row>
    <row r="45" ht="66" customHeight="1">
      <c r="A45" s="3" t="inlineStr">
        <is>
          <t>jeminise.com+christmas-cardinal-on-branch-within-patchwork-winter-quilt-892d70543a-892d70543a</t>
        </is>
      </c>
      <c r="B45" s="3" t="inlineStr">
        <is>
          <t>jeminise.com+christmas-cardinal-on-branch-within-patchwork-winter-quilt-892d70543a-892d70543a|media:47539978928327|pos:4|url:48065b06fbcb</t>
        </is>
      </c>
      <c r="C45" s="4" t="inlineStr">
        <is>
          <t>https://cdn.shopify.com/s/files/1/0792/5098/1063/files/b845f1cebf41c07e8603d709af5f48108735e52a2b08909404bc927ce2f2fba6.jpg?v=1785098877</t>
        </is>
      </c>
      <c r="D45" s="4" t="inlineStr">
        <is>
          <t>https://cdn.shopify.com/s/files/1/0792/5098/1063/files/b845f1cebf41c07e8603d709af5f48108735e52a2b08909404bc927ce2f2fba6.jpg?v=1785098877</t>
        </is>
      </c>
      <c r="E45" s="3" t="inlineStr">
        <is>
          <t>47539978928327</t>
        </is>
      </c>
      <c r="F45" s="4" t="inlineStr">
        <is>
          <t>https://cdn.shopify.com/s/files/1/0792/5098/1063/files/b845f1cebf41c07e8603d709af5f48108735e52a2b08909404bc927ce2f2fba6.jpg?v=1785098877</t>
        </is>
      </c>
      <c r="G45" s="3" t="n"/>
      <c r="H45" s="3" t="inlineStr">
        <is>
          <t>GALLERY</t>
        </is>
      </c>
      <c r="I45" s="3" t="inlineStr">
        <is>
          <t>DIRECT_URL_DOWNLOAD_1200PX + VISUAL_READ</t>
        </is>
      </c>
      <c r="J45" s="3" t="inlineStr">
        <is>
          <t>2026-09-09T12:00:00+07:00</t>
        </is>
      </c>
      <c r="K45" s="3" t="inlineStr">
        <is>
          <t>Close-up of printed surface and visible quilting texture.</t>
        </is>
      </c>
      <c r="L45" s="3" t="inlineStr">
        <is>
          <t>Bedroom mockup showing cardinal memorial patchwork quilt with coordinated pillow shams.</t>
        </is>
      </c>
      <c r="M45" s="3" t="inlineStr">
        <is>
          <t>Christmas Cardinal on Branch Within Patchwork Winter Quilt</t>
        </is>
      </c>
      <c r="N45" s="3" t="inlineStr">
        <is>
          <t>SET</t>
        </is>
      </c>
      <c r="O45" s="3" t="inlineStr">
        <is>
          <t>Cardinal memorial quilt bedroom mockup</t>
        </is>
      </c>
      <c r="P45" s="3" t="inlineStr">
        <is>
          <t>FULL</t>
        </is>
      </c>
      <c r="Q45" s="3" t="inlineStr">
        <is>
          <t>FULL</t>
        </is>
      </c>
      <c r="R45" s="3" t="inlineStr">
        <is>
          <t>FULL</t>
        </is>
      </c>
      <c r="S45" s="3" t="inlineStr">
        <is>
          <t>FULL</t>
        </is>
      </c>
      <c r="T45" s="7" t="n">
        <f>IF(P45="FULL",40,IF(P45="PARTIAL",40/2,0))+IF(Q45="FULL",30,IF(Q45="PARTIAL",30/2,0))+IF(R45="FULL",20,IF(R45="PARTIAL",20/2,0))+IF(S45="FULL",10,IF(S45="PARTIAL",10/2,0))</f>
        <v>100</v>
      </c>
      <c r="U45" s="7" t="n">
        <f>IF(P45="NOT_CHECKED",0,40)+IF(Q45="NOT_CHECKED",0,30)+IF(R45="NOT_CHECKED",0,20)+IF(S45="NOT_CHECKED",0,10)</f>
        <v>100</v>
      </c>
      <c r="V45" s="7" t="n">
        <f>IF(U45=100,T45,"")</f>
        <v>100</v>
      </c>
      <c r="W45" s="7" t="n">
        <f>T45</f>
        <v>100</v>
      </c>
      <c r="X45" s="7" t="n">
        <f>T45+(100-U45)</f>
        <v>100</v>
      </c>
      <c r="Y45" s="3" t="inlineStr">
        <is>
          <t>[]</t>
        </is>
      </c>
      <c r="Z45" s="3" t="inlineStr">
        <is>
          <t>["evidence_batch_003_029", "https://jeminise.com/products/christmas-cardinal-on-branch-within-patchwork-winter-quilt-892d70543a-892d70543a", "https://cdn.shopify.com/s/files/1/0792/5098/1063/files/b845f1cebf41c07e8603d709af5f48108735e52a2b08909404bc927ce2f2fba6.jpg?v=1785098877"]</t>
        </is>
      </c>
      <c r="AA45" s="3" t="inlineStr">
        <is>
          <t>r6</t>
        </is>
      </c>
    </row>
    <row r="46" ht="66" customHeight="1">
      <c r="A46" s="2" t="inlineStr">
        <is>
          <t>jeminise.com+christmas-cardinal-on-branch-within-patchwork-winter-quilt-892d70543a-892d70543a</t>
        </is>
      </c>
      <c r="B46" s="2" t="inlineStr">
        <is>
          <t>jeminise.com+christmas-cardinal-on-branch-within-patchwork-winter-quilt-892d70543a-892d70543a|media:47539978961095|pos:5|url:d2ce6dabeed3</t>
        </is>
      </c>
      <c r="C46" s="4" t="inlineStr">
        <is>
          <t>https://cdn.shopify.com/s/files/1/0792/5098/1063/files/1fac1cce8b7ccababe2eb09442d3c916aba2c52da0db73e8cf64b748a51cde9b.jpg?v=1785098877</t>
        </is>
      </c>
      <c r="D46" s="4" t="inlineStr">
        <is>
          <t>https://cdn.shopify.com/s/files/1/0792/5098/1063/files/1fac1cce8b7ccababe2eb09442d3c916aba2c52da0db73e8cf64b748a51cde9b.jpg?v=1785098877</t>
        </is>
      </c>
      <c r="E46" s="2" t="inlineStr">
        <is>
          <t>47539978961095</t>
        </is>
      </c>
      <c r="F46" s="4" t="inlineStr">
        <is>
          <t>https://cdn.shopify.com/s/files/1/0792/5098/1063/files/1fac1cce8b7ccababe2eb09442d3c916aba2c52da0db73e8cf64b748a51cde9b.jpg?v=1785098877</t>
        </is>
      </c>
      <c r="G46" s="2" t="n"/>
      <c r="H46" s="2" t="inlineStr">
        <is>
          <t>GALLERY</t>
        </is>
      </c>
      <c r="I46" s="2" t="inlineStr">
        <is>
          <t>DIRECT_URL_DOWNLOAD_1200PX + VISUAL_READ</t>
        </is>
      </c>
      <c r="J46" s="2" t="inlineStr">
        <is>
          <t>2026-09-09T12:00:00+07:00</t>
        </is>
      </c>
      <c r="K46" s="2" t="inlineStr">
        <is>
          <t>Included-components and size graphic with quilt/sham options and dimensions.</t>
        </is>
      </c>
      <c r="L46" s="2" t="inlineStr">
        <is>
          <t>Size and component panel showing one premium quilt and two optional standard shams.</t>
        </is>
      </c>
      <c r="M46" s="2" t="inlineStr">
        <is>
          <t>Christmas Cardinal on Branch Within Patchwork Winter Quilt</t>
        </is>
      </c>
      <c r="N46" s="2" t="inlineStr">
        <is>
          <t>SET</t>
        </is>
      </c>
      <c r="O46" s="2" t="inlineStr">
        <is>
          <t>Cardinal memorial quilt size and sham options</t>
        </is>
      </c>
      <c r="P46" s="2" t="inlineStr">
        <is>
          <t>FULL</t>
        </is>
      </c>
      <c r="Q46" s="2" t="inlineStr">
        <is>
          <t>FULL</t>
        </is>
      </c>
      <c r="R46" s="2" t="inlineStr">
        <is>
          <t>FULL</t>
        </is>
      </c>
      <c r="S46" s="2" t="inlineStr">
        <is>
          <t>FULL</t>
        </is>
      </c>
      <c r="T46" s="5" t="n">
        <f>IF(P46="FULL",40,IF(P46="PARTIAL",40/2,0))+IF(Q46="FULL",30,IF(Q46="PARTIAL",30/2,0))+IF(R46="FULL",20,IF(R46="PARTIAL",20/2,0))+IF(S46="FULL",10,IF(S46="PARTIAL",10/2,0))</f>
        <v>100</v>
      </c>
      <c r="U46" s="5" t="n">
        <f>IF(P46="NOT_CHECKED",0,40)+IF(Q46="NOT_CHECKED",0,30)+IF(R46="NOT_CHECKED",0,20)+IF(S46="NOT_CHECKED",0,10)</f>
        <v>100</v>
      </c>
      <c r="V46" s="5" t="n">
        <f>IF(U46=100,T46,"")</f>
        <v>100</v>
      </c>
      <c r="W46" s="5" t="n">
        <f>T46</f>
        <v>100</v>
      </c>
      <c r="X46" s="5" t="n">
        <f>T46+(100-U46)</f>
        <v>100</v>
      </c>
      <c r="Y46" s="2" t="inlineStr">
        <is>
          <t>[]</t>
        </is>
      </c>
      <c r="Z46" s="2" t="inlineStr">
        <is>
          <t>["evidence_batch_003_029", "https://jeminise.com/products/christmas-cardinal-on-branch-within-patchwork-winter-quilt-892d70543a-892d70543a", "https://cdn.shopify.com/s/files/1/0792/5098/1063/files/1fac1cce8b7ccababe2eb09442d3c916aba2c52da0db73e8cf64b748a51cde9b.jpg?v=1785098877"]</t>
        </is>
      </c>
      <c r="AA46" s="2" t="inlineStr">
        <is>
          <t>r6</t>
        </is>
      </c>
    </row>
    <row r="47" ht="66" customHeight="1">
      <c r="A47" s="3" t="inlineStr">
        <is>
          <t>jeminise.com+christmas-cardinal-perched-on-branch-within-wreath-patchwork-winter-quilt-9e7c0b5896-9e7c0b5896</t>
        </is>
      </c>
      <c r="B47" s="3" t="inlineStr">
        <is>
          <t>jeminise.com+christmas-cardinal-perched-on-branch-within-wreath-patchwork-winter-quilt-9e7c0b5896-9e7c0b5896|media:47540040990919|pos:1|url:417eadc72ae1</t>
        </is>
      </c>
      <c r="C47" s="4" t="inlineStr">
        <is>
          <t>https://cdn.shopify.com/s/files/1/0792/5098/1063/files/7f0f7c972b51dc5c33f101a4d3a2b691df2bbeddf273a1476dd88ac51d509beb.jpg?v=1785099457</t>
        </is>
      </c>
      <c r="D47" s="4" t="inlineStr">
        <is>
          <t>https://cdn.shopify.com/s/files/1/0792/5098/1063/files/7f0f7c972b51dc5c33f101a4d3a2b691df2bbeddf273a1476dd88ac51d509beb.jpg?v=1785099457</t>
        </is>
      </c>
      <c r="E47" s="3" t="inlineStr">
        <is>
          <t>47540040990919</t>
        </is>
      </c>
      <c r="F47" s="4" t="inlineStr">
        <is>
          <t>https://cdn.shopify.com/s/files/1/0792/5098/1063/files/7f0f7c972b51dc5c33f101a4d3a2b691df2bbeddf273a1476dd88ac51d509beb.jpg?v=1785099457</t>
        </is>
      </c>
      <c r="G47" s="3" t="n"/>
      <c r="H47" s="3" t="inlineStr">
        <is>
          <t>GALLERY</t>
        </is>
      </c>
      <c r="I47" s="3" t="inlineStr">
        <is>
          <t>DIRECT_URL_DOWNLOAD_1200PX + VISUAL_READ</t>
        </is>
      </c>
      <c r="J47" s="3" t="inlineStr">
        <is>
          <t>2026-09-09T12:00:00+07:00</t>
        </is>
      </c>
      <c r="K47" s="3" t="inlineStr">
        <is>
          <t>Front bedroom mockup showing the primary quilt motif and coordinated shams.</t>
        </is>
      </c>
      <c r="L47" s="3" t="inlineStr">
        <is>
          <t>Cardinal Christmas wreath quilt bed mockup with Sophia sample name, pine, holly berries, pinecones and matching shams.</t>
        </is>
      </c>
      <c r="M47" s="3" t="inlineStr">
        <is>
          <t>Christmas Cardinal Perched on Branch Within Wreath Patchwork Winter Quilt</t>
        </is>
      </c>
      <c r="N47" s="3" t="inlineStr">
        <is>
          <t>SET</t>
        </is>
      </c>
      <c r="O47" s="3" t="inlineStr">
        <is>
          <t>Cardinal Christmas wreath quilt set on bed</t>
        </is>
      </c>
      <c r="P47" s="3" t="inlineStr">
        <is>
          <t>FULL</t>
        </is>
      </c>
      <c r="Q47" s="3" t="inlineStr">
        <is>
          <t>FULL</t>
        </is>
      </c>
      <c r="R47" s="3" t="inlineStr">
        <is>
          <t>FULL</t>
        </is>
      </c>
      <c r="S47" s="3" t="inlineStr">
        <is>
          <t>FULL</t>
        </is>
      </c>
      <c r="T47" s="7" t="n">
        <f>IF(P47="FULL",40,IF(P47="PARTIAL",40/2,0))+IF(Q47="FULL",30,IF(Q47="PARTIAL",30/2,0))+IF(R47="FULL",20,IF(R47="PARTIAL",20/2,0))+IF(S47="FULL",10,IF(S47="PARTIAL",10/2,0))</f>
        <v>100</v>
      </c>
      <c r="U47" s="7" t="n">
        <f>IF(P47="NOT_CHECKED",0,40)+IF(Q47="NOT_CHECKED",0,30)+IF(R47="NOT_CHECKED",0,20)+IF(S47="NOT_CHECKED",0,10)</f>
        <v>100</v>
      </c>
      <c r="V47" s="7" t="n">
        <f>IF(U47=100,T47,"")</f>
        <v>100</v>
      </c>
      <c r="W47" s="7" t="n">
        <f>T47</f>
        <v>100</v>
      </c>
      <c r="X47" s="7" t="n">
        <f>T47+(100-U47)</f>
        <v>100</v>
      </c>
      <c r="Y47" s="3" t="inlineStr">
        <is>
          <t>[]</t>
        </is>
      </c>
      <c r="Z47" s="3" t="inlineStr">
        <is>
          <t>["evidence_batch_003_030", "https://jeminise.com/products/christmas-cardinal-perched-on-branch-within-wreath-patchwork-winter-quilt-9e7c0b5896-9e7c0b5896", "https://cdn.shopify.com/s/files/1/0792/5098/1063/files/7f0f7c972b51dc5c33f101a4d3a2b691df2bbeddf273a1476dd88ac51d509beb.jpg?v=1785099457"]</t>
        </is>
      </c>
      <c r="AA47" s="3" t="inlineStr">
        <is>
          <t>r6</t>
        </is>
      </c>
    </row>
    <row r="48" ht="66" customHeight="1">
      <c r="A48" s="2" t="inlineStr">
        <is>
          <t>jeminise.com+christmas-cardinal-perched-on-branch-within-wreath-patchwork-winter-quilt-9e7c0b5896-9e7c0b5896</t>
        </is>
      </c>
      <c r="B48" s="2" t="inlineStr">
        <is>
          <t>jeminise.com+christmas-cardinal-perched-on-branch-within-wreath-patchwork-winter-quilt-9e7c0b5896-9e7c0b5896|media:47540041023687|pos:2|url:1df29936435f</t>
        </is>
      </c>
      <c r="C48" s="4" t="inlineStr">
        <is>
          <t>https://cdn.shopify.com/s/files/1/0792/5098/1063/files/5e721c7639a6dabb93bc6beaa75f1f177b995a54e6852aab0e8a13d284356650.jpg?v=1785099457</t>
        </is>
      </c>
      <c r="D48" s="4" t="inlineStr">
        <is>
          <t>https://cdn.shopify.com/s/files/1/0792/5098/1063/files/5e721c7639a6dabb93bc6beaa75f1f177b995a54e6852aab0e8a13d284356650.jpg?v=1785099457</t>
        </is>
      </c>
      <c r="E48" s="2" t="inlineStr">
        <is>
          <t>47540041023687</t>
        </is>
      </c>
      <c r="F48" s="4" t="inlineStr">
        <is>
          <t>https://cdn.shopify.com/s/files/1/0792/5098/1063/files/5e721c7639a6dabb93bc6beaa75f1f177b995a54e6852aab0e8a13d284356650.jpg?v=1785099457</t>
        </is>
      </c>
      <c r="G48" s="2" t="n"/>
      <c r="H48" s="2" t="inlineStr">
        <is>
          <t>GALLERY</t>
        </is>
      </c>
      <c r="I48" s="2" t="inlineStr">
        <is>
          <t>DIRECT_URL_DOWNLOAD_1200PX + VISUAL_READ</t>
        </is>
      </c>
      <c r="J48" s="2" t="inlineStr">
        <is>
          <t>2026-09-09T12:00:00+07:00</t>
        </is>
      </c>
      <c r="K48" s="2" t="inlineStr">
        <is>
          <t>Angled bedroom mockup confirming the same motif across the set.</t>
        </is>
      </c>
      <c r="L48" s="2" t="inlineStr">
        <is>
          <t>Close-up of red cardinal with pine, holly berries, pinecones and visible quilt stitching.</t>
        </is>
      </c>
      <c r="M48" s="2" t="inlineStr">
        <is>
          <t>Christmas Cardinal Perched on Branch Within Wreath Patchwork Winter Quilt</t>
        </is>
      </c>
      <c r="N48" s="2" t="inlineStr">
        <is>
          <t>SET</t>
        </is>
      </c>
      <c r="O48" s="2" t="inlineStr">
        <is>
          <t>Cardinal wreath quilt stitching close-up</t>
        </is>
      </c>
      <c r="P48" s="2" t="inlineStr">
        <is>
          <t>FULL</t>
        </is>
      </c>
      <c r="Q48" s="2" t="inlineStr">
        <is>
          <t>FULL</t>
        </is>
      </c>
      <c r="R48" s="2" t="inlineStr">
        <is>
          <t>FULL</t>
        </is>
      </c>
      <c r="S48" s="2" t="inlineStr">
        <is>
          <t>FULL</t>
        </is>
      </c>
      <c r="T48" s="5" t="n">
        <f>IF(P48="FULL",40,IF(P48="PARTIAL",40/2,0))+IF(Q48="FULL",30,IF(Q48="PARTIAL",30/2,0))+IF(R48="FULL",20,IF(R48="PARTIAL",20/2,0))+IF(S48="FULL",10,IF(S48="PARTIAL",10/2,0))</f>
        <v>100</v>
      </c>
      <c r="U48" s="5" t="n">
        <f>IF(P48="NOT_CHECKED",0,40)+IF(Q48="NOT_CHECKED",0,30)+IF(R48="NOT_CHECKED",0,20)+IF(S48="NOT_CHECKED",0,10)</f>
        <v>100</v>
      </c>
      <c r="V48" s="5" t="n">
        <f>IF(U48=100,T48,"")</f>
        <v>100</v>
      </c>
      <c r="W48" s="5" t="n">
        <f>T48</f>
        <v>100</v>
      </c>
      <c r="X48" s="5" t="n">
        <f>T48+(100-U48)</f>
        <v>100</v>
      </c>
      <c r="Y48" s="2" t="inlineStr">
        <is>
          <t>[]</t>
        </is>
      </c>
      <c r="Z48" s="2" t="inlineStr">
        <is>
          <t>["evidence_batch_003_030", "https://jeminise.com/products/christmas-cardinal-perched-on-branch-within-wreath-patchwork-winter-quilt-9e7c0b5896-9e7c0b5896", "https://cdn.shopify.com/s/files/1/0792/5098/1063/files/5e721c7639a6dabb93bc6beaa75f1f177b995a54e6852aab0e8a13d284356650.jpg?v=1785099457"]</t>
        </is>
      </c>
      <c r="AA48" s="2" t="inlineStr">
        <is>
          <t>r6</t>
        </is>
      </c>
    </row>
    <row r="49" ht="66" customHeight="1">
      <c r="A49" s="3" t="inlineStr">
        <is>
          <t>jeminise.com+christmas-cardinal-perched-on-branch-within-wreath-patchwork-winter-quilt-9e7c0b5896-9e7c0b5896</t>
        </is>
      </c>
      <c r="B49" s="3" t="inlineStr">
        <is>
          <t>jeminise.com+christmas-cardinal-perched-on-branch-within-wreath-patchwork-winter-quilt-9e7c0b5896-9e7c0b5896|media:47540041056455|pos:3|url:752d6348beb5</t>
        </is>
      </c>
      <c r="C49" s="4" t="inlineStr">
        <is>
          <t>https://cdn.shopify.com/s/files/1/0792/5098/1063/files/d9efdd2323a7b245add351d35c70df2b8916ba50b2c07232a28ce2618017c7ca.jpg?v=1785099457</t>
        </is>
      </c>
      <c r="D49" s="4" t="inlineStr">
        <is>
          <t>https://cdn.shopify.com/s/files/1/0792/5098/1063/files/d9efdd2323a7b245add351d35c70df2b8916ba50b2c07232a28ce2618017c7ca.jpg?v=1785099457</t>
        </is>
      </c>
      <c r="E49" s="3" t="inlineStr">
        <is>
          <t>47540041056455</t>
        </is>
      </c>
      <c r="F49" s="4" t="inlineStr">
        <is>
          <t>https://cdn.shopify.com/s/files/1/0792/5098/1063/files/d9efdd2323a7b245add351d35c70df2b8916ba50b2c07232a28ce2618017c7ca.jpg?v=1785099457</t>
        </is>
      </c>
      <c r="G49" s="3" t="n"/>
      <c r="H49" s="3" t="inlineStr">
        <is>
          <t>GALLERY</t>
        </is>
      </c>
      <c r="I49" s="3" t="inlineStr">
        <is>
          <t>DIRECT_URL_DOWNLOAD_1200PX + VISUAL_READ</t>
        </is>
      </c>
      <c r="J49" s="3" t="inlineStr">
        <is>
          <t>2026-09-09T12:00:00+07:00</t>
        </is>
      </c>
      <c r="K49" s="3" t="inlineStr">
        <is>
          <t>Isolated pillow sham showing the coordinated printed artwork.</t>
        </is>
      </c>
      <c r="L49" s="3" t="inlineStr">
        <is>
          <t>Matching pillow sham with cardinal wreath artwork and Sophia sample name.</t>
        </is>
      </c>
      <c r="M49" s="3" t="inlineStr">
        <is>
          <t>Christmas Cardinal Perched on Branch Within Wreath Patchwork Winter Quilt</t>
        </is>
      </c>
      <c r="N49" s="3" t="inlineStr">
        <is>
          <t>SET</t>
        </is>
      </c>
      <c r="O49" s="3" t="inlineStr">
        <is>
          <t>Cardinal Christmas wreath pillow sham</t>
        </is>
      </c>
      <c r="P49" s="3" t="inlineStr">
        <is>
          <t>FULL</t>
        </is>
      </c>
      <c r="Q49" s="3" t="inlineStr">
        <is>
          <t>FULL</t>
        </is>
      </c>
      <c r="R49" s="3" t="inlineStr">
        <is>
          <t>FULL</t>
        </is>
      </c>
      <c r="S49" s="3" t="inlineStr">
        <is>
          <t>FULL</t>
        </is>
      </c>
      <c r="T49" s="7" t="n">
        <f>IF(P49="FULL",40,IF(P49="PARTIAL",40/2,0))+IF(Q49="FULL",30,IF(Q49="PARTIAL",30/2,0))+IF(R49="FULL",20,IF(R49="PARTIAL",20/2,0))+IF(S49="FULL",10,IF(S49="PARTIAL",10/2,0))</f>
        <v>100</v>
      </c>
      <c r="U49" s="7" t="n">
        <f>IF(P49="NOT_CHECKED",0,40)+IF(Q49="NOT_CHECKED",0,30)+IF(R49="NOT_CHECKED",0,20)+IF(S49="NOT_CHECKED",0,10)</f>
        <v>100</v>
      </c>
      <c r="V49" s="7" t="n">
        <f>IF(U49=100,T49,"")</f>
        <v>100</v>
      </c>
      <c r="W49" s="7" t="n">
        <f>T49</f>
        <v>100</v>
      </c>
      <c r="X49" s="7" t="n">
        <f>T49+(100-U49)</f>
        <v>100</v>
      </c>
      <c r="Y49" s="3" t="inlineStr">
        <is>
          <t>[]</t>
        </is>
      </c>
      <c r="Z49" s="3" t="inlineStr">
        <is>
          <t>["evidence_batch_003_030", "https://jeminise.com/products/christmas-cardinal-perched-on-branch-within-wreath-patchwork-winter-quilt-9e7c0b5896-9e7c0b5896", "https://cdn.shopify.com/s/files/1/0792/5098/1063/files/d9efdd2323a7b245add351d35c70df2b8916ba50b2c07232a28ce2618017c7ca.jpg?v=1785099457"]</t>
        </is>
      </c>
      <c r="AA49" s="3" t="inlineStr">
        <is>
          <t>r6</t>
        </is>
      </c>
    </row>
    <row r="50" ht="66" customHeight="1">
      <c r="A50" s="2" t="inlineStr">
        <is>
          <t>jeminise.com+christmas-cardinal-perched-on-branch-within-wreath-patchwork-winter-quilt-9e7c0b5896-9e7c0b5896</t>
        </is>
      </c>
      <c r="B50" s="2" t="inlineStr">
        <is>
          <t>jeminise.com+christmas-cardinal-perched-on-branch-within-wreath-patchwork-winter-quilt-9e7c0b5896-9e7c0b5896|media:47540041089223|pos:4|url:6b8cec8a7854</t>
        </is>
      </c>
      <c r="C50" s="4" t="inlineStr">
        <is>
          <t>https://cdn.shopify.com/s/files/1/0792/5098/1063/files/b311d7393465380998bca8b3a9210a013c229b61d664f3dce0691513d873c82e.jpg?v=1785099457</t>
        </is>
      </c>
      <c r="D50" s="4" t="inlineStr">
        <is>
          <t>https://cdn.shopify.com/s/files/1/0792/5098/1063/files/b311d7393465380998bca8b3a9210a013c229b61d664f3dce0691513d873c82e.jpg?v=1785099457</t>
        </is>
      </c>
      <c r="E50" s="2" t="inlineStr">
        <is>
          <t>47540041089223</t>
        </is>
      </c>
      <c r="F50" s="4" t="inlineStr">
        <is>
          <t>https://cdn.shopify.com/s/files/1/0792/5098/1063/files/b311d7393465380998bca8b3a9210a013c229b61d664f3dce0691513d873c82e.jpg?v=1785099457</t>
        </is>
      </c>
      <c r="G50" s="2" t="n"/>
      <c r="H50" s="2" t="inlineStr">
        <is>
          <t>GALLERY</t>
        </is>
      </c>
      <c r="I50" s="2" t="inlineStr">
        <is>
          <t>DIRECT_URL_DOWNLOAD_1200PX + VISUAL_READ</t>
        </is>
      </c>
      <c r="J50" s="2" t="inlineStr">
        <is>
          <t>2026-09-09T12:00:00+07:00</t>
        </is>
      </c>
      <c r="K50" s="2" t="inlineStr">
        <is>
          <t>Close-up of printed surface and visible quilting texture.</t>
        </is>
      </c>
      <c r="L50" s="2" t="inlineStr">
        <is>
          <t>Bedroom mockup showing cardinal wreath quilt with Sophia sample artwork and coordinated shams.</t>
        </is>
      </c>
      <c r="M50" s="2" t="inlineStr">
        <is>
          <t>Christmas Cardinal Perched on Branch Within Wreath Patchwork Winter Quilt</t>
        </is>
      </c>
      <c r="N50" s="2" t="inlineStr">
        <is>
          <t>SET</t>
        </is>
      </c>
      <c r="O50" s="2" t="inlineStr">
        <is>
          <t>Cardinal wreath quilt bedroom mockup</t>
        </is>
      </c>
      <c r="P50" s="2" t="inlineStr">
        <is>
          <t>FULL</t>
        </is>
      </c>
      <c r="Q50" s="2" t="inlineStr">
        <is>
          <t>FULL</t>
        </is>
      </c>
      <c r="R50" s="2" t="inlineStr">
        <is>
          <t>FULL</t>
        </is>
      </c>
      <c r="S50" s="2" t="inlineStr">
        <is>
          <t>FULL</t>
        </is>
      </c>
      <c r="T50" s="5" t="n">
        <f>IF(P50="FULL",40,IF(P50="PARTIAL",40/2,0))+IF(Q50="FULL",30,IF(Q50="PARTIAL",30/2,0))+IF(R50="FULL",20,IF(R50="PARTIAL",20/2,0))+IF(S50="FULL",10,IF(S50="PARTIAL",10/2,0))</f>
        <v>100</v>
      </c>
      <c r="U50" s="5" t="n">
        <f>IF(P50="NOT_CHECKED",0,40)+IF(Q50="NOT_CHECKED",0,30)+IF(R50="NOT_CHECKED",0,20)+IF(S50="NOT_CHECKED",0,10)</f>
        <v>100</v>
      </c>
      <c r="V50" s="5" t="n">
        <f>IF(U50=100,T50,"")</f>
        <v>100</v>
      </c>
      <c r="W50" s="5" t="n">
        <f>T50</f>
        <v>100</v>
      </c>
      <c r="X50" s="5" t="n">
        <f>T50+(100-U50)</f>
        <v>100</v>
      </c>
      <c r="Y50" s="2" t="inlineStr">
        <is>
          <t>[]</t>
        </is>
      </c>
      <c r="Z50" s="2" t="inlineStr">
        <is>
          <t>["evidence_batch_003_030", "https://jeminise.com/products/christmas-cardinal-perched-on-branch-within-wreath-patchwork-winter-quilt-9e7c0b5896-9e7c0b5896", "https://cdn.shopify.com/s/files/1/0792/5098/1063/files/b311d7393465380998bca8b3a9210a013c229b61d664f3dce0691513d873c82e.jpg?v=1785099457"]</t>
        </is>
      </c>
      <c r="AA50" s="2" t="inlineStr">
        <is>
          <t>r6</t>
        </is>
      </c>
    </row>
    <row r="51" ht="66" customHeight="1">
      <c r="A51" s="3" t="inlineStr">
        <is>
          <t>jeminise.com+christmas-cardinal-perched-on-branch-within-wreath-patchwork-winter-quilt-9e7c0b5896-9e7c0b5896</t>
        </is>
      </c>
      <c r="B51" s="3" t="inlineStr">
        <is>
          <t>jeminise.com+christmas-cardinal-perched-on-branch-within-wreath-patchwork-winter-quilt-9e7c0b5896-9e7c0b5896|media:47540041121991|pos:5|url:8aaff82f0ee4</t>
        </is>
      </c>
      <c r="C51" s="4" t="inlineStr">
        <is>
          <t>https://cdn.shopify.com/s/files/1/0792/5098/1063/files/b3f4b380fddc0b4717e5a8960ebd73a239442861c5a0cc84575c35c7339c41e1.jpg?v=1785099457</t>
        </is>
      </c>
      <c r="D51" s="4" t="inlineStr">
        <is>
          <t>https://cdn.shopify.com/s/files/1/0792/5098/1063/files/b3f4b380fddc0b4717e5a8960ebd73a239442861c5a0cc84575c35c7339c41e1.jpg?v=1785099457</t>
        </is>
      </c>
      <c r="E51" s="3" t="inlineStr">
        <is>
          <t>47540041121991</t>
        </is>
      </c>
      <c r="F51" s="4" t="inlineStr">
        <is>
          <t>https://cdn.shopify.com/s/files/1/0792/5098/1063/files/b3f4b380fddc0b4717e5a8960ebd73a239442861c5a0cc84575c35c7339c41e1.jpg?v=1785099457</t>
        </is>
      </c>
      <c r="G51" s="3" t="n"/>
      <c r="H51" s="3" t="inlineStr">
        <is>
          <t>GALLERY</t>
        </is>
      </c>
      <c r="I51" s="3" t="inlineStr">
        <is>
          <t>DIRECT_URL_DOWNLOAD_1200PX + VISUAL_READ</t>
        </is>
      </c>
      <c r="J51" s="3" t="inlineStr">
        <is>
          <t>2026-09-09T12:00:00+07:00</t>
        </is>
      </c>
      <c r="K51" s="3" t="inlineStr">
        <is>
          <t>Included-components and size graphic with quilt/sham options and dimensions.</t>
        </is>
      </c>
      <c r="L51" s="3" t="inlineStr">
        <is>
          <t>Size and component panel showing one premium quilt and two optional standard shams.</t>
        </is>
      </c>
      <c r="M51" s="3" t="inlineStr">
        <is>
          <t>Christmas Cardinal Perched on Branch Within Wreath Patchwork Winter Quilt</t>
        </is>
      </c>
      <c r="N51" s="3" t="inlineStr">
        <is>
          <t>SET</t>
        </is>
      </c>
      <c r="O51" s="3" t="inlineStr">
        <is>
          <t>Cardinal wreath quilt size and sham options</t>
        </is>
      </c>
      <c r="P51" s="3" t="inlineStr">
        <is>
          <t>FULL</t>
        </is>
      </c>
      <c r="Q51" s="3" t="inlineStr">
        <is>
          <t>FULL</t>
        </is>
      </c>
      <c r="R51" s="3" t="inlineStr">
        <is>
          <t>FULL</t>
        </is>
      </c>
      <c r="S51" s="3" t="inlineStr">
        <is>
          <t>FULL</t>
        </is>
      </c>
      <c r="T51" s="7" t="n">
        <f>IF(P51="FULL",40,IF(P51="PARTIAL",40/2,0))+IF(Q51="FULL",30,IF(Q51="PARTIAL",30/2,0))+IF(R51="FULL",20,IF(R51="PARTIAL",20/2,0))+IF(S51="FULL",10,IF(S51="PARTIAL",10/2,0))</f>
        <v>100</v>
      </c>
      <c r="U51" s="7" t="n">
        <f>IF(P51="NOT_CHECKED",0,40)+IF(Q51="NOT_CHECKED",0,30)+IF(R51="NOT_CHECKED",0,20)+IF(S51="NOT_CHECKED",0,10)</f>
        <v>100</v>
      </c>
      <c r="V51" s="7" t="n">
        <f>IF(U51=100,T51,"")</f>
        <v>100</v>
      </c>
      <c r="W51" s="7" t="n">
        <f>T51</f>
        <v>100</v>
      </c>
      <c r="X51" s="7" t="n">
        <f>T51+(100-U51)</f>
        <v>100</v>
      </c>
      <c r="Y51" s="3" t="inlineStr">
        <is>
          <t>[]</t>
        </is>
      </c>
      <c r="Z51" s="3" t="inlineStr">
        <is>
          <t>["evidence_batch_003_030", "https://jeminise.com/products/christmas-cardinal-perched-on-branch-within-wreath-patchwork-winter-quilt-9e7c0b5896-9e7c0b5896", "https://cdn.shopify.com/s/files/1/0792/5098/1063/files/b3f4b380fddc0b4717e5a8960ebd73a239442861c5a0cc84575c35c7339c41e1.jpg?v=1785099457"]</t>
        </is>
      </c>
      <c r="AA51" s="3" t="inlineStr">
        <is>
          <t>r6</t>
        </is>
      </c>
    </row>
  </sheetData>
  <autoFilter ref="A1:AA51"/>
  <hyperlinks>
    <hyperlink ref="C2" ns1:id="rId1"/>
    <hyperlink ref="D2" ns1:id="rId2"/>
    <hyperlink ref="F2" ns1:id="rId3"/>
    <hyperlink ref="C3" ns1:id="rId4"/>
    <hyperlink ref="D3" ns1:id="rId5"/>
    <hyperlink ref="F3" ns1:id="rId6"/>
    <hyperlink ref="C4" ns1:id="rId7"/>
    <hyperlink ref="D4" ns1:id="rId8"/>
    <hyperlink ref="F4" ns1:id="rId9"/>
    <hyperlink ref="C5" ns1:id="rId10"/>
    <hyperlink ref="D5" ns1:id="rId11"/>
    <hyperlink ref="F5" ns1:id="rId12"/>
    <hyperlink ref="C6" ns1:id="rId13"/>
    <hyperlink ref="D6" ns1:id="rId14"/>
    <hyperlink ref="F6" ns1:id="rId15"/>
    <hyperlink ref="C7" ns1:id="rId16"/>
    <hyperlink ref="D7" ns1:id="rId17"/>
    <hyperlink ref="F7" ns1:id="rId18"/>
    <hyperlink ref="C8" ns1:id="rId19"/>
    <hyperlink ref="D8" ns1:id="rId20"/>
    <hyperlink ref="F8" ns1:id="rId21"/>
    <hyperlink ref="C9" ns1:id="rId22"/>
    <hyperlink ref="D9" ns1:id="rId23"/>
    <hyperlink ref="F9" ns1:id="rId24"/>
    <hyperlink ref="C10" ns1:id="rId25"/>
    <hyperlink ref="D10" ns1:id="rId26"/>
    <hyperlink ref="F10" ns1:id="rId27"/>
    <hyperlink ref="C11" ns1:id="rId28"/>
    <hyperlink ref="D11" ns1:id="rId29"/>
    <hyperlink ref="F11" ns1:id="rId30"/>
    <hyperlink ref="C12" ns1:id="rId31"/>
    <hyperlink ref="D12" ns1:id="rId32"/>
    <hyperlink ref="F12" ns1:id="rId33"/>
    <hyperlink ref="C13" ns1:id="rId34"/>
    <hyperlink ref="D13" ns1:id="rId35"/>
    <hyperlink ref="F13" ns1:id="rId36"/>
    <hyperlink ref="C14" ns1:id="rId37"/>
    <hyperlink ref="D14" ns1:id="rId38"/>
    <hyperlink ref="F14" ns1:id="rId39"/>
    <hyperlink ref="C15" ns1:id="rId40"/>
    <hyperlink ref="D15" ns1:id="rId41"/>
    <hyperlink ref="F15" ns1:id="rId42"/>
    <hyperlink ref="C16" ns1:id="rId43"/>
    <hyperlink ref="D16" ns1:id="rId44"/>
    <hyperlink ref="F16" ns1:id="rId45"/>
    <hyperlink ref="C17" ns1:id="rId46"/>
    <hyperlink ref="D17" ns1:id="rId47"/>
    <hyperlink ref="F17" ns1:id="rId48"/>
    <hyperlink ref="C18" ns1:id="rId49"/>
    <hyperlink ref="D18" ns1:id="rId50"/>
    <hyperlink ref="F18" ns1:id="rId51"/>
    <hyperlink ref="C19" ns1:id="rId52"/>
    <hyperlink ref="D19" ns1:id="rId53"/>
    <hyperlink ref="F19" ns1:id="rId54"/>
    <hyperlink ref="C20" ns1:id="rId55"/>
    <hyperlink ref="D20" ns1:id="rId56"/>
    <hyperlink ref="F20" ns1:id="rId57"/>
    <hyperlink ref="C21" ns1:id="rId58"/>
    <hyperlink ref="D21" ns1:id="rId59"/>
    <hyperlink ref="F21" ns1:id="rId60"/>
    <hyperlink ref="C22" ns1:id="rId61"/>
    <hyperlink ref="D22" ns1:id="rId62"/>
    <hyperlink ref="F22" ns1:id="rId63"/>
    <hyperlink ref="C23" ns1:id="rId64"/>
    <hyperlink ref="D23" ns1:id="rId65"/>
    <hyperlink ref="F23" ns1:id="rId66"/>
    <hyperlink ref="C24" ns1:id="rId67"/>
    <hyperlink ref="D24" ns1:id="rId68"/>
    <hyperlink ref="F24" ns1:id="rId69"/>
    <hyperlink ref="C25" ns1:id="rId70"/>
    <hyperlink ref="D25" ns1:id="rId71"/>
    <hyperlink ref="F25" ns1:id="rId72"/>
    <hyperlink ref="C26" ns1:id="rId73"/>
    <hyperlink ref="D26" ns1:id="rId74"/>
    <hyperlink ref="F26" ns1:id="rId75"/>
    <hyperlink ref="C27" ns1:id="rId76"/>
    <hyperlink ref="D27" ns1:id="rId77"/>
    <hyperlink ref="F27" ns1:id="rId78"/>
    <hyperlink ref="C28" ns1:id="rId79"/>
    <hyperlink ref="D28" ns1:id="rId80"/>
    <hyperlink ref="F28" ns1:id="rId81"/>
    <hyperlink ref="C29" ns1:id="rId82"/>
    <hyperlink ref="D29" ns1:id="rId83"/>
    <hyperlink ref="F29" ns1:id="rId84"/>
    <hyperlink ref="C30" ns1:id="rId85"/>
    <hyperlink ref="D30" ns1:id="rId86"/>
    <hyperlink ref="F30" ns1:id="rId87"/>
    <hyperlink ref="C31" ns1:id="rId88"/>
    <hyperlink ref="D31" ns1:id="rId89"/>
    <hyperlink ref="F31" ns1:id="rId90"/>
    <hyperlink ref="C32" ns1:id="rId91"/>
    <hyperlink ref="D32" ns1:id="rId92"/>
    <hyperlink ref="F32" ns1:id="rId93"/>
    <hyperlink ref="C33" ns1:id="rId94"/>
    <hyperlink ref="D33" ns1:id="rId95"/>
    <hyperlink ref="F33" ns1:id="rId96"/>
    <hyperlink ref="C34" ns1:id="rId97"/>
    <hyperlink ref="D34" ns1:id="rId98"/>
    <hyperlink ref="F34" ns1:id="rId99"/>
    <hyperlink ref="C35" ns1:id="rId100"/>
    <hyperlink ref="D35" ns1:id="rId101"/>
    <hyperlink ref="F35" ns1:id="rId102"/>
    <hyperlink ref="C36" ns1:id="rId103"/>
    <hyperlink ref="D36" ns1:id="rId104"/>
    <hyperlink ref="F36" ns1:id="rId105"/>
    <hyperlink ref="C37" ns1:id="rId106"/>
    <hyperlink ref="D37" ns1:id="rId107"/>
    <hyperlink ref="F37" ns1:id="rId108"/>
    <hyperlink ref="C38" ns1:id="rId109"/>
    <hyperlink ref="D38" ns1:id="rId110"/>
    <hyperlink ref="F38" ns1:id="rId111"/>
    <hyperlink ref="C39" ns1:id="rId112"/>
    <hyperlink ref="D39" ns1:id="rId113"/>
    <hyperlink ref="F39" ns1:id="rId114"/>
    <hyperlink ref="C40" ns1:id="rId115"/>
    <hyperlink ref="D40" ns1:id="rId116"/>
    <hyperlink ref="F40" ns1:id="rId117"/>
    <hyperlink ref="C41" ns1:id="rId118"/>
    <hyperlink ref="D41" ns1:id="rId119"/>
    <hyperlink ref="F41" ns1:id="rId120"/>
    <hyperlink ref="C42" ns1:id="rId121"/>
    <hyperlink ref="D42" ns1:id="rId122"/>
    <hyperlink ref="F42" ns1:id="rId123"/>
    <hyperlink ref="C43" ns1:id="rId124"/>
    <hyperlink ref="D43" ns1:id="rId125"/>
    <hyperlink ref="F43" ns1:id="rId126"/>
    <hyperlink ref="C44" ns1:id="rId127"/>
    <hyperlink ref="D44" ns1:id="rId128"/>
    <hyperlink ref="F44" ns1:id="rId129"/>
    <hyperlink ref="C45" ns1:id="rId130"/>
    <hyperlink ref="D45" ns1:id="rId131"/>
    <hyperlink ref="F45" ns1:id="rId132"/>
    <hyperlink ref="C46" ns1:id="rId133"/>
    <hyperlink ref="D46" ns1:id="rId134"/>
    <hyperlink ref="F46" ns1:id="rId135"/>
    <hyperlink ref="C47" ns1:id="rId136"/>
    <hyperlink ref="D47" ns1:id="rId137"/>
    <hyperlink ref="F47" ns1:id="rId138"/>
    <hyperlink ref="C48" ns1:id="rId139"/>
    <hyperlink ref="D48" ns1:id="rId140"/>
    <hyperlink ref="F48" ns1:id="rId141"/>
    <hyperlink ref="C49" ns1:id="rId142"/>
    <hyperlink ref="D49" ns1:id="rId143"/>
    <hyperlink ref="F49" ns1:id="rId144"/>
    <hyperlink ref="C50" ns1:id="rId145"/>
    <hyperlink ref="D50" ns1:id="rId146"/>
    <hyperlink ref="F50" ns1:id="rId147"/>
    <hyperlink ref="C51" ns1:id="rId148"/>
    <hyperlink ref="D51" ns1:id="rId149"/>
    <hyperlink ref="F51" ns1:id="rId150"/>
  </hyperlinks>
  <printOptions horizontalCentered="0"/>
  <pageMargins left="0.25" right="0.25" top="0.5" bottom="0.5" header="0.5" footer="0.5"/>
  <pageSetup orientation="landscape" fitToHeight="0" fitToWidth="3"/>
</worksheet>
</file>

<file path=xl/worksheets/sheet5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 fitToPage="1"/>
  </sheetPr>
  <dimension ref="A1:L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20" customWidth="1" min="4" max="4"/>
    <col width="24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13" customWidth="1" min="12" max="12"/>
  </cols>
  <sheetData>
    <row r="1" ht="32" customHeight="1">
      <c r="A1" s="9" t="inlineStr">
        <is>
          <t>issue_id</t>
        </is>
      </c>
      <c r="B1" s="9" t="inlineStr">
        <is>
          <t>product_key</t>
        </is>
      </c>
      <c r="C1" s="9" t="inlineStr">
        <is>
          <t>qa_image_key</t>
        </is>
      </c>
      <c r="D1" s="9" t="inlineStr">
        <is>
          <t>severity</t>
        </is>
      </c>
      <c r="E1" s="9" t="inlineStr">
        <is>
          <t>field</t>
        </is>
      </c>
      <c r="F1" s="9" t="inlineStr">
        <is>
          <t>submitted_value</t>
        </is>
      </c>
      <c r="G1" s="9" t="inlineStr">
        <is>
          <t>source_observation</t>
        </is>
      </c>
      <c r="H1" s="9" t="inlineStr">
        <is>
          <t>reason</t>
        </is>
      </c>
      <c r="I1" s="9" t="inlineStr">
        <is>
          <t>recommended_fix</t>
        </is>
      </c>
      <c r="J1" s="9" t="inlineStr">
        <is>
          <t>supporting_evidence</t>
        </is>
      </c>
      <c r="K1" s="9" t="inlineStr">
        <is>
          <t>recheck_condition</t>
        </is>
      </c>
      <c r="L1" s="11" t="inlineStr">
        <is>
          <t>history_status</t>
        </is>
      </c>
    </row>
    <row r="2" ht="84" customHeight="1">
      <c r="A2" s="10" t="inlineStr">
        <is>
          <t>R6-ISS-021-PERS</t>
        </is>
      </c>
      <c r="B2" s="10" t="inlineStr">
        <is>
          <t>jeminise.com+christmas-bedding-quilt-soft-microfiber-holiday-bedsprea-design-05</t>
        </is>
      </c>
      <c r="C2" s="10" t="n"/>
      <c r="D2" s="10" t="inlineStr">
        <is>
          <t>MAJOR</t>
        </is>
      </c>
      <c r="E2" s="10" t="inlineStr">
        <is>
          <t>personalization_control</t>
        </is>
      </c>
      <c r="F2" s="10" t="inlineStr">
        <is>
          <t>No personalization field claimed in r6 description</t>
        </is>
      </c>
      <c r="G2" s="10" t="inlineStr">
        <is>
          <t>Live HTML/product JSON shows a 1 text input only for positions 21, 29 and 30; live options otherwise show size and pillowcase selectors only.</t>
        </is>
      </c>
      <c r="H2" s="10" t="inlineStr">
        <is>
          <t>r6 customer-facing copy does not match the exact live personalization control state.</t>
        </is>
      </c>
      <c r="I2" s="10" t="inlineStr">
        <is>
          <t>Verify the Shopify customizer and either add the exact control or remove Personalized/name-field claims; for 29-30 rewrite the description to reflect the live control.</t>
        </is>
      </c>
      <c r="J2" s="4" t="inlineStr">
        <is>
          <t>https://jeminise.com/products/christmas-bedding-quilt-soft-microfiber-holiday-bedsprea-design-05; seo_runs/jeminise.com/20260906_234129/qa/20260909_120000/source_snapshot/live/21_christmas-bedding-quilt-soft-microfiber-holiday-bedsprea-design-05.js.json</t>
        </is>
      </c>
      <c r="K2" s="10" t="inlineStr">
        <is>
          <t>Re-read live JSON and rendered product form after correction.</t>
        </is>
      </c>
      <c r="L2" s="10" t="inlineStr">
        <is>
          <t>REGRESSED</t>
        </is>
      </c>
    </row>
    <row r="3" ht="84" customHeight="1">
      <c r="A3" s="10" t="inlineStr">
        <is>
          <t>R6-ISS-022-PERS</t>
        </is>
      </c>
      <c r="B3" s="10" t="inlineStr">
        <is>
          <t>jeminise.com+christmas-bedding-quilt-soft-microfiber-holiday-bedsprea-design-06</t>
        </is>
      </c>
      <c r="C3" s="10" t="n"/>
      <c r="D3" s="10" t="inlineStr">
        <is>
          <t>MAJOR</t>
        </is>
      </c>
      <c r="E3" s="10" t="inlineStr">
        <is>
          <t>personalization_control</t>
        </is>
      </c>
      <c r="F3" s="10" t="inlineStr">
        <is>
          <t>Personalized title/name-field claim</t>
        </is>
      </c>
      <c r="G3" s="10" t="inlineStr">
        <is>
          <t>Live HTML/product JSON shows a 1 text input only for positions 21, 29 and 30; live options otherwise show size and pillowcase selectors only.</t>
        </is>
      </c>
      <c r="H3" s="10" t="inlineStr">
        <is>
          <t>r6 customer-facing copy does not match the exact live personalization control state.</t>
        </is>
      </c>
      <c r="I3" s="10" t="inlineStr">
        <is>
          <t>Verify the Shopify customizer and either add the exact control or remove Personalized/name-field claims; for 29-30 rewrite the description to reflect the live control.</t>
        </is>
      </c>
      <c r="J3" s="4" t="inlineStr">
        <is>
          <t>https://jeminise.com/products/christmas-bedding-quilt-soft-microfiber-holiday-bedsprea-design-06; seo_runs/jeminise.com/20260906_234129/qa/20260909_120000/source_snapshot/live/22_christmas-bedding-quilt-soft-microfiber-holiday-bedsprea-design-06.js.json</t>
        </is>
      </c>
      <c r="K3" s="10" t="inlineStr">
        <is>
          <t>Re-read live JSON and rendered product form after correction.</t>
        </is>
      </c>
      <c r="L3" s="10" t="inlineStr">
        <is>
          <t>REGRESSED</t>
        </is>
      </c>
    </row>
    <row r="4" ht="84" customHeight="1">
      <c r="A4" s="10" t="inlineStr">
        <is>
          <t>R6-ISS-023-PERS</t>
        </is>
      </c>
      <c r="B4" s="10" t="inlineStr">
        <is>
          <t>jeminise.com+christmas-bedding-quilt-soft-microfiber-holiday-bedsprea-design-08</t>
        </is>
      </c>
      <c r="C4" s="10" t="n"/>
      <c r="D4" s="10" t="inlineStr">
        <is>
          <t>MAJOR</t>
        </is>
      </c>
      <c r="E4" s="10" t="inlineStr">
        <is>
          <t>personalization_control</t>
        </is>
      </c>
      <c r="F4" s="10" t="inlineStr">
        <is>
          <t>Personalized title/name-field claim</t>
        </is>
      </c>
      <c r="G4" s="10" t="inlineStr">
        <is>
          <t>Live HTML/product JSON shows a 1 text input only for positions 21, 29 and 30; live options otherwise show size and pillowcase selectors only.</t>
        </is>
      </c>
      <c r="H4" s="10" t="inlineStr">
        <is>
          <t>r6 customer-facing copy does not match the exact live personalization control state.</t>
        </is>
      </c>
      <c r="I4" s="10" t="inlineStr">
        <is>
          <t>Verify the Shopify customizer and either add the exact control or remove Personalized/name-field claims; for 29-30 rewrite the description to reflect the live control.</t>
        </is>
      </c>
      <c r="J4" s="4" t="inlineStr">
        <is>
          <t>https://jeminise.com/products/christmas-bedding-quilt-soft-microfiber-holiday-bedsprea-design-08; seo_runs/jeminise.com/20260906_234129/qa/20260909_120000/source_snapshot/live/23_christmas-bedding-quilt-soft-microfiber-holiday-bedsprea-design-08.js.json</t>
        </is>
      </c>
      <c r="K4" s="10" t="inlineStr">
        <is>
          <t>Re-read live JSON and rendered product form after correction.</t>
        </is>
      </c>
      <c r="L4" s="10" t="inlineStr">
        <is>
          <t>REGRESSED</t>
        </is>
      </c>
    </row>
    <row r="5" ht="84" customHeight="1">
      <c r="A5" s="10" t="inlineStr">
        <is>
          <t>R6-ISS-024-PERS</t>
        </is>
      </c>
      <c r="B5" s="10" t="inlineStr">
        <is>
          <t>jeminise.com+christmas-bedding-quilt-soft-microfiber-holiday-bedsprea-design-09</t>
        </is>
      </c>
      <c r="C5" s="10" t="n"/>
      <c r="D5" s="10" t="inlineStr">
        <is>
          <t>MAJOR</t>
        </is>
      </c>
      <c r="E5" s="10" t="inlineStr">
        <is>
          <t>personalization_control</t>
        </is>
      </c>
      <c r="F5" s="10" t="inlineStr">
        <is>
          <t>Personalized title/name-field claim</t>
        </is>
      </c>
      <c r="G5" s="10" t="inlineStr">
        <is>
          <t>Live HTML/product JSON shows a 1 text input only for positions 21, 29 and 30; live options otherwise show size and pillowcase selectors only.</t>
        </is>
      </c>
      <c r="H5" s="10" t="inlineStr">
        <is>
          <t>r6 customer-facing copy does not match the exact live personalization control state.</t>
        </is>
      </c>
      <c r="I5" s="10" t="inlineStr">
        <is>
          <t>Verify the Shopify customizer and either add the exact control or remove Personalized/name-field claims; for 29-30 rewrite the description to reflect the live control.</t>
        </is>
      </c>
      <c r="J5" s="4" t="inlineStr">
        <is>
          <t>https://jeminise.com/products/christmas-bedding-quilt-soft-microfiber-holiday-bedsprea-design-09; seo_runs/jeminise.com/20260906_234129/qa/20260909_120000/source_snapshot/live/24_christmas-bedding-quilt-soft-microfiber-holiday-bedsprea-design-09.js.json</t>
        </is>
      </c>
      <c r="K5" s="10" t="inlineStr">
        <is>
          <t>Re-read live JSON and rendered product form after correction.</t>
        </is>
      </c>
      <c r="L5" s="10" t="inlineStr">
        <is>
          <t>REGRESSED</t>
        </is>
      </c>
    </row>
    <row r="6" ht="84" customHeight="1">
      <c r="A6" s="10" t="inlineStr">
        <is>
          <t>R6-ISS-025-PERS</t>
        </is>
      </c>
      <c r="B6" s="10" t="inlineStr">
        <is>
          <t>jeminise.com+christmas-bedding-quilt-soft-microfiber-holiday-bedsprea-design-10</t>
        </is>
      </c>
      <c r="C6" s="10" t="n"/>
      <c r="D6" s="10" t="inlineStr">
        <is>
          <t>MAJOR</t>
        </is>
      </c>
      <c r="E6" s="10" t="inlineStr">
        <is>
          <t>personalization_control</t>
        </is>
      </c>
      <c r="F6" s="10" t="inlineStr">
        <is>
          <t>Personalized title/name-field claim</t>
        </is>
      </c>
      <c r="G6" s="10" t="inlineStr">
        <is>
          <t>Live HTML/product JSON shows a 1 text input only for positions 21, 29 and 30; live options otherwise show size and pillowcase selectors only.</t>
        </is>
      </c>
      <c r="H6" s="10" t="inlineStr">
        <is>
          <t>r6 customer-facing copy does not match the exact live personalization control state.</t>
        </is>
      </c>
      <c r="I6" s="10" t="inlineStr">
        <is>
          <t>Verify the Shopify customizer and either add the exact control or remove Personalized/name-field claims; for 29-30 rewrite the description to reflect the live control.</t>
        </is>
      </c>
      <c r="J6" s="4" t="inlineStr">
        <is>
          <t>https://jeminise.com/products/christmas-bedding-quilt-soft-microfiber-holiday-bedsprea-design-10; seo_runs/jeminise.com/20260906_234129/qa/20260909_120000/source_snapshot/live/25_christmas-bedding-quilt-soft-microfiber-holiday-bedsprea-design-10.js.json</t>
        </is>
      </c>
      <c r="K6" s="10" t="inlineStr">
        <is>
          <t>Re-read live JSON and rendered product form after correction.</t>
        </is>
      </c>
      <c r="L6" s="10" t="inlineStr">
        <is>
          <t>REGRESSED</t>
        </is>
      </c>
    </row>
    <row r="7" ht="84" customHeight="1">
      <c r="A7" s="10" t="inlineStr">
        <is>
          <t>R6-ISS-026-PERS</t>
        </is>
      </c>
      <c r="B7" s="10" t="inlineStr">
        <is>
          <t>jeminise.com+christmas-bedding-quilt-soft-microfiber-holiday-bedsprea-design-11</t>
        </is>
      </c>
      <c r="C7" s="10" t="n"/>
      <c r="D7" s="10" t="inlineStr">
        <is>
          <t>MAJOR</t>
        </is>
      </c>
      <c r="E7" s="10" t="inlineStr">
        <is>
          <t>personalization_control</t>
        </is>
      </c>
      <c r="F7" s="10" t="inlineStr">
        <is>
          <t>Personalized title/name-field claim</t>
        </is>
      </c>
      <c r="G7" s="10" t="inlineStr">
        <is>
          <t>Live HTML/product JSON shows a 1 text input only for positions 21, 29 and 30; live options otherwise show size and pillowcase selectors only.</t>
        </is>
      </c>
      <c r="H7" s="10" t="inlineStr">
        <is>
          <t>r6 customer-facing copy does not match the exact live personalization control state.</t>
        </is>
      </c>
      <c r="I7" s="10" t="inlineStr">
        <is>
          <t>Verify the Shopify customizer and either add the exact control or remove Personalized/name-field claims; for 29-30 rewrite the description to reflect the live control.</t>
        </is>
      </c>
      <c r="J7" s="4" t="inlineStr">
        <is>
          <t>https://jeminise.com/products/christmas-bedding-quilt-soft-microfiber-holiday-bedsprea-design-11; seo_runs/jeminise.com/20260906_234129/qa/20260909_120000/source_snapshot/live/26_christmas-bedding-quilt-soft-microfiber-holiday-bedsprea-design-11.js.json</t>
        </is>
      </c>
      <c r="K7" s="10" t="inlineStr">
        <is>
          <t>Re-read live JSON and rendered product form after correction.</t>
        </is>
      </c>
      <c r="L7" s="10" t="inlineStr">
        <is>
          <t>REGRESSED</t>
        </is>
      </c>
    </row>
    <row r="8" ht="84" customHeight="1">
      <c r="A8" s="10" t="inlineStr">
        <is>
          <t>R6-ISS-027-PERS</t>
        </is>
      </c>
      <c r="B8" s="10" t="inlineStr">
        <is>
          <t>jeminise.com+christmas-bedding-quilt-soft-microfiber-holiday-bedsprea-design-12</t>
        </is>
      </c>
      <c r="C8" s="10" t="n"/>
      <c r="D8" s="10" t="inlineStr">
        <is>
          <t>MAJOR</t>
        </is>
      </c>
      <c r="E8" s="10" t="inlineStr">
        <is>
          <t>personalization_control</t>
        </is>
      </c>
      <c r="F8" s="10" t="inlineStr">
        <is>
          <t>Personalized title/name-field claim</t>
        </is>
      </c>
      <c r="G8" s="10" t="inlineStr">
        <is>
          <t>Live HTML/product JSON shows a 1 text input only for positions 21, 29 and 30; live options otherwise show size and pillowcase selectors only.</t>
        </is>
      </c>
      <c r="H8" s="10" t="inlineStr">
        <is>
          <t>r6 customer-facing copy does not match the exact live personalization control state.</t>
        </is>
      </c>
      <c r="I8" s="10" t="inlineStr">
        <is>
          <t>Verify the Shopify customizer and either add the exact control or remove Personalized/name-field claims; for 29-30 rewrite the description to reflect the live control.</t>
        </is>
      </c>
      <c r="J8" s="4" t="inlineStr">
        <is>
          <t>https://jeminise.com/products/christmas-bedding-quilt-soft-microfiber-holiday-bedsprea-design-12; seo_runs/jeminise.com/20260906_234129/qa/20260909_120000/source_snapshot/live/27_christmas-bedding-quilt-soft-microfiber-holiday-bedsprea-design-12.js.json</t>
        </is>
      </c>
      <c r="K8" s="10" t="inlineStr">
        <is>
          <t>Re-read live JSON and rendered product form after correction.</t>
        </is>
      </c>
      <c r="L8" s="10" t="inlineStr">
        <is>
          <t>REGRESSED</t>
        </is>
      </c>
    </row>
    <row r="9" ht="84" customHeight="1">
      <c r="A9" s="10" t="inlineStr">
        <is>
          <t>R6-ISS-028-PERS</t>
        </is>
      </c>
      <c r="B9" s="10" t="inlineStr">
        <is>
          <t>jeminise.com+christmas-bedding-quilt-soft-microfiber-holiday-bedspread</t>
        </is>
      </c>
      <c r="C9" s="10" t="n"/>
      <c r="D9" s="10" t="inlineStr">
        <is>
          <t>MAJOR</t>
        </is>
      </c>
      <c r="E9" s="10" t="inlineStr">
        <is>
          <t>personalization_control</t>
        </is>
      </c>
      <c r="F9" s="10" t="inlineStr">
        <is>
          <t>Personalized title/name-field claim</t>
        </is>
      </c>
      <c r="G9" s="10" t="inlineStr">
        <is>
          <t>Live HTML/product JSON shows a 1 text input only for positions 21, 29 and 30; live options otherwise show size and pillowcase selectors only.</t>
        </is>
      </c>
      <c r="H9" s="10" t="inlineStr">
        <is>
          <t>r6 customer-facing copy does not match the exact live personalization control state.</t>
        </is>
      </c>
      <c r="I9" s="10" t="inlineStr">
        <is>
          <t>Verify the Shopify customizer and either add the exact control or remove Personalized/name-field claims; for 29-30 rewrite the description to reflect the live control.</t>
        </is>
      </c>
      <c r="J9" s="4" t="inlineStr">
        <is>
          <t>https://jeminise.com/products/christmas-bedding-quilt-soft-microfiber-holiday-bedspread; seo_runs/jeminise.com/20260906_234129/qa/20260909_120000/source_snapshot/live/28_christmas-bedding-quilt-soft-microfiber-holiday-bedspread.js.json</t>
        </is>
      </c>
      <c r="K9" s="10" t="inlineStr">
        <is>
          <t>Re-read live JSON and rendered product form after correction.</t>
        </is>
      </c>
      <c r="L9" s="10" t="inlineStr">
        <is>
          <t>REGRESSED</t>
        </is>
      </c>
    </row>
    <row r="10">
      <c r="A10" s="10" t="inlineStr">
        <is>
          <t>R6-ISS-029-PERS</t>
        </is>
      </c>
      <c r="B10" s="10" t="inlineStr">
        <is>
          <t>jeminise.com+christmas-cardinal-on-branch-within-patchwork-winter-quilt-892d70543a-892d70543a</t>
        </is>
      </c>
      <c r="C10" s="10" t="n"/>
      <c r="D10" s="10" t="inlineStr">
        <is>
          <t>MAJOR</t>
        </is>
      </c>
      <c r="E10" s="10" t="inlineStr">
        <is>
          <t>personalization_control</t>
        </is>
      </c>
      <c r="F10" s="10" t="inlineStr">
        <is>
          <t>No personalization field claimed in r6 description</t>
        </is>
      </c>
      <c r="G10" s="10" t="inlineStr">
        <is>
          <t>Live HTML/product JSON shows a 1 text input only for positions 21, 29 and 30; live options otherwise show size and pillowcase selectors only.</t>
        </is>
      </c>
      <c r="H10" s="10" t="inlineStr">
        <is>
          <t>r6 customer-facing copy does not match the exact live personalization control state.</t>
        </is>
      </c>
      <c r="I10" s="10" t="inlineStr">
        <is>
          <t>Verify the Shopify customizer and either add the exact control or remove Personalized/name-field claims; for 29-30 rewrite the description to reflect the live control.</t>
        </is>
      </c>
      <c r="J10" s="4" t="inlineStr">
        <is>
          <t>https://jeminise.com/products/christmas-cardinal-on-branch-within-patchwork-winter-quilt-892d70543a-892d70543a; seo_runs/jeminise.com/20260906_234129/qa/20260909_120000/source_snapshot/live/29_christmas-cardinal-on-branch-within-patchwork-winter-quilt-892d70543a-892d70543a.js.json</t>
        </is>
      </c>
      <c r="K10" s="10" t="inlineStr">
        <is>
          <t>Re-read live JSON and rendered product form after correction.</t>
        </is>
      </c>
      <c r="L10" s="10" t="inlineStr">
        <is>
          <t>PERSISTS</t>
        </is>
      </c>
    </row>
    <row r="11">
      <c r="A11" s="10" t="inlineStr">
        <is>
          <t>R6-ISS-030-PERS</t>
        </is>
      </c>
      <c r="B11" s="10" t="inlineStr">
        <is>
          <t>jeminise.com+christmas-cardinal-perched-on-branch-within-wreath-patchwork-winter-quilt-9e7c0b5896-9e7c0b5896</t>
        </is>
      </c>
      <c r="C11" s="10" t="n"/>
      <c r="D11" s="10" t="inlineStr">
        <is>
          <t>MAJOR</t>
        </is>
      </c>
      <c r="E11" s="10" t="inlineStr">
        <is>
          <t>personalization_control</t>
        </is>
      </c>
      <c r="F11" s="10" t="inlineStr">
        <is>
          <t>No personalization field claimed in r6 description</t>
        </is>
      </c>
      <c r="G11" s="10" t="inlineStr">
        <is>
          <t>Live HTML/product JSON shows a 1 text input only for positions 21, 29 and 30; live options otherwise show size and pillowcase selectors only.</t>
        </is>
      </c>
      <c r="H11" s="10" t="inlineStr">
        <is>
          <t>r6 customer-facing copy does not match the exact live personalization control state.</t>
        </is>
      </c>
      <c r="I11" s="10" t="inlineStr">
        <is>
          <t>Verify the Shopify customizer and either add the exact control or remove Personalized/name-field claims; for 29-30 rewrite the description to reflect the live control.</t>
        </is>
      </c>
      <c r="J11" s="4" t="inlineStr">
        <is>
          <t>https://jeminise.com/products/christmas-cardinal-perched-on-branch-within-wreath-patchwork-winter-quilt-9e7c0b5896-9e7c0b5896; seo_runs/jeminise.com/20260906_234129/qa/20260909_120000/source_snapshot/live/30_christmas-cardinal-perched-on-branch-within-wreath-patchwork-winter-quilt-9e7c0b5896-9e7c0b5896.js.json</t>
        </is>
      </c>
      <c r="K11" s="10" t="inlineStr">
        <is>
          <t>Re-read live JSON and rendered product form after correction.</t>
        </is>
      </c>
      <c r="L11" s="10" t="inlineStr">
        <is>
          <t>PERSISTS</t>
        </is>
      </c>
    </row>
    <row r="12">
      <c r="A12" s="10" t="inlineStr">
        <is>
          <t>R6-HIST-021-ENC</t>
        </is>
      </c>
      <c r="B12" s="10" t="inlineStr">
        <is>
          <t>jeminise.com+christmas-bedding-quilt-soft-microfiber-holiday-bedsprea-design-05</t>
        </is>
      </c>
      <c r="C12" s="10" t="n"/>
      <c r="D12" s="10" t="inlineStr">
        <is>
          <t>MINOR</t>
        </is>
      </c>
      <c r="E12" s="10" t="inlineStr">
        <is>
          <t>live_title/H1_encoding</t>
        </is>
      </c>
      <c r="F12" s="10" t="inlineStr">
        <is>
          <t>U+FFFD/truncated source title</t>
        </is>
      </c>
      <c r="G12" s="10" t="inlineStr">
        <is>
          <t>Live snapshot still contains the source encoding/truncation artifact in current title/H1.</t>
        </is>
      </c>
      <c r="H12" s="10" t="inlineStr">
        <is>
          <t>Historical r4 source issue remains observable; r6 proposed copy does not inherit it.</t>
        </is>
      </c>
      <c r="I12" s="10" t="inlineStr">
        <is>
          <t>Fix source title/H1 encoding separately; do not infer admin SEO state without export.</t>
        </is>
      </c>
      <c r="J12" s="4" t="inlineStr">
        <is>
          <t>https://jeminise.com/products/christmas-bedding-quilt-soft-microfiber-holiday-bedsprea-design-05</t>
        </is>
      </c>
      <c r="K12" s="10" t="inlineStr">
        <is>
          <t>Recheck rendered title/H1 after source correction.</t>
        </is>
      </c>
      <c r="L12" s="10" t="inlineStr">
        <is>
          <t>PERSISTS</t>
        </is>
      </c>
    </row>
    <row r="13">
      <c r="A13" s="10" t="inlineStr">
        <is>
          <t>R6-HIST-022-ENC</t>
        </is>
      </c>
      <c r="B13" s="10" t="inlineStr">
        <is>
          <t>jeminise.com+christmas-bedding-quilt-soft-microfiber-holiday-bedsprea-design-06</t>
        </is>
      </c>
      <c r="C13" s="10" t="n"/>
      <c r="D13" s="10" t="inlineStr">
        <is>
          <t>MINOR</t>
        </is>
      </c>
      <c r="E13" s="10" t="inlineStr">
        <is>
          <t>live_title/H1_encoding</t>
        </is>
      </c>
      <c r="F13" s="10" t="inlineStr">
        <is>
          <t>U+FFFD/truncated source title</t>
        </is>
      </c>
      <c r="G13" s="10" t="inlineStr">
        <is>
          <t>Live snapshot still contains the source encoding/truncation artifact in current title/H1.</t>
        </is>
      </c>
      <c r="H13" s="10" t="inlineStr">
        <is>
          <t>Historical r4 source issue remains observable; r6 proposed copy does not inherit it.</t>
        </is>
      </c>
      <c r="I13" s="10" t="inlineStr">
        <is>
          <t>Fix source title/H1 encoding separately; do not infer admin SEO state without export.</t>
        </is>
      </c>
      <c r="J13" s="4" t="inlineStr">
        <is>
          <t>https://jeminise.com/products/christmas-bedding-quilt-soft-microfiber-holiday-bedsprea-design-06</t>
        </is>
      </c>
      <c r="K13" s="10" t="inlineStr">
        <is>
          <t>Recheck rendered title/H1 after source correction.</t>
        </is>
      </c>
      <c r="L13" s="10" t="inlineStr">
        <is>
          <t>PERSISTS</t>
        </is>
      </c>
    </row>
    <row r="14">
      <c r="A14" s="10" t="inlineStr">
        <is>
          <t>R6-HIST-023-ENC</t>
        </is>
      </c>
      <c r="B14" s="10" t="inlineStr">
        <is>
          <t>jeminise.com+christmas-bedding-quilt-soft-microfiber-holiday-bedsprea-design-08</t>
        </is>
      </c>
      <c r="C14" s="10" t="n"/>
      <c r="D14" s="10" t="inlineStr">
        <is>
          <t>MINOR</t>
        </is>
      </c>
      <c r="E14" s="10" t="inlineStr">
        <is>
          <t>live_title/H1_encoding</t>
        </is>
      </c>
      <c r="F14" s="10" t="inlineStr">
        <is>
          <t>U+FFFD/truncated source title</t>
        </is>
      </c>
      <c r="G14" s="10" t="inlineStr">
        <is>
          <t>Live snapshot still contains the source encoding/truncation artifact in current title/H1.</t>
        </is>
      </c>
      <c r="H14" s="10" t="inlineStr">
        <is>
          <t>Historical r4 source issue remains observable; r6 proposed copy does not inherit it.</t>
        </is>
      </c>
      <c r="I14" s="10" t="inlineStr">
        <is>
          <t>Fix source title/H1 encoding separately; do not infer admin SEO state without export.</t>
        </is>
      </c>
      <c r="J14" s="4" t="inlineStr">
        <is>
          <t>https://jeminise.com/products/christmas-bedding-quilt-soft-microfiber-holiday-bedsprea-design-08</t>
        </is>
      </c>
      <c r="K14" s="10" t="inlineStr">
        <is>
          <t>Recheck rendered title/H1 after source correction.</t>
        </is>
      </c>
      <c r="L14" s="10" t="inlineStr">
        <is>
          <t>PERSISTS</t>
        </is>
      </c>
    </row>
    <row r="15">
      <c r="A15" s="10" t="inlineStr">
        <is>
          <t>R6-HIST-024-ENC</t>
        </is>
      </c>
      <c r="B15" s="10" t="inlineStr">
        <is>
          <t>jeminise.com+christmas-bedding-quilt-soft-microfiber-holiday-bedsprea-design-09</t>
        </is>
      </c>
      <c r="C15" s="10" t="n"/>
      <c r="D15" s="10" t="inlineStr">
        <is>
          <t>MINOR</t>
        </is>
      </c>
      <c r="E15" s="10" t="inlineStr">
        <is>
          <t>live_title/H1_encoding</t>
        </is>
      </c>
      <c r="F15" s="10" t="inlineStr">
        <is>
          <t>U+FFFD/truncated source title</t>
        </is>
      </c>
      <c r="G15" s="10" t="inlineStr">
        <is>
          <t>Live snapshot still contains the source encoding/truncation artifact in current title/H1.</t>
        </is>
      </c>
      <c r="H15" s="10" t="inlineStr">
        <is>
          <t>Historical r4 source issue remains observable; r6 proposed copy does not inherit it.</t>
        </is>
      </c>
      <c r="I15" s="10" t="inlineStr">
        <is>
          <t>Fix source title/H1 encoding separately; do not infer admin SEO state without export.</t>
        </is>
      </c>
      <c r="J15" s="4" t="inlineStr">
        <is>
          <t>https://jeminise.com/products/christmas-bedding-quilt-soft-microfiber-holiday-bedsprea-design-09</t>
        </is>
      </c>
      <c r="K15" s="10" t="inlineStr">
        <is>
          <t>Recheck rendered title/H1 after source correction.</t>
        </is>
      </c>
      <c r="L15" s="10" t="inlineStr">
        <is>
          <t>PERSISTS</t>
        </is>
      </c>
    </row>
    <row r="16">
      <c r="A16" s="10" t="inlineStr">
        <is>
          <t>R6-HIST-025-ENC</t>
        </is>
      </c>
      <c r="B16" s="10" t="inlineStr">
        <is>
          <t>jeminise.com+christmas-bedding-quilt-soft-microfiber-holiday-bedsprea-design-10</t>
        </is>
      </c>
      <c r="C16" s="10" t="n"/>
      <c r="D16" s="10" t="inlineStr">
        <is>
          <t>MINOR</t>
        </is>
      </c>
      <c r="E16" s="10" t="inlineStr">
        <is>
          <t>live_title/H1_encoding</t>
        </is>
      </c>
      <c r="F16" s="10" t="inlineStr">
        <is>
          <t>U+FFFD/truncated source title</t>
        </is>
      </c>
      <c r="G16" s="10" t="inlineStr">
        <is>
          <t>Live snapshot still contains the source encoding/truncation artifact in current title/H1.</t>
        </is>
      </c>
      <c r="H16" s="10" t="inlineStr">
        <is>
          <t>Historical r4 source issue remains observable; r6 proposed copy does not inherit it.</t>
        </is>
      </c>
      <c r="I16" s="10" t="inlineStr">
        <is>
          <t>Fix source title/H1 encoding separately; do not infer admin SEO state without export.</t>
        </is>
      </c>
      <c r="J16" s="4" t="inlineStr">
        <is>
          <t>https://jeminise.com/products/christmas-bedding-quilt-soft-microfiber-holiday-bedsprea-design-10</t>
        </is>
      </c>
      <c r="K16" s="10" t="inlineStr">
        <is>
          <t>Recheck rendered title/H1 after source correction.</t>
        </is>
      </c>
      <c r="L16" s="10" t="inlineStr">
        <is>
          <t>PERSISTS</t>
        </is>
      </c>
    </row>
    <row r="17">
      <c r="A17" s="10" t="inlineStr">
        <is>
          <t>R6-HIST-026-ENC</t>
        </is>
      </c>
      <c r="B17" s="10" t="inlineStr">
        <is>
          <t>jeminise.com+christmas-bedding-quilt-soft-microfiber-holiday-bedsprea-design-11</t>
        </is>
      </c>
      <c r="C17" s="10" t="n"/>
      <c r="D17" s="10" t="inlineStr">
        <is>
          <t>MINOR</t>
        </is>
      </c>
      <c r="E17" s="10" t="inlineStr">
        <is>
          <t>live_title/H1_encoding</t>
        </is>
      </c>
      <c r="F17" s="10" t="inlineStr">
        <is>
          <t>U+FFFD/truncated source title</t>
        </is>
      </c>
      <c r="G17" s="10" t="inlineStr">
        <is>
          <t>Live snapshot still contains the source encoding/truncation artifact in current title/H1.</t>
        </is>
      </c>
      <c r="H17" s="10" t="inlineStr">
        <is>
          <t>Historical r4 source issue remains observable; r6 proposed copy does not inherit it.</t>
        </is>
      </c>
      <c r="I17" s="10" t="inlineStr">
        <is>
          <t>Fix source title/H1 encoding separately; do not infer admin SEO state without export.</t>
        </is>
      </c>
      <c r="J17" s="4" t="inlineStr">
        <is>
          <t>https://jeminise.com/products/christmas-bedding-quilt-soft-microfiber-holiday-bedsprea-design-11</t>
        </is>
      </c>
      <c r="K17" s="10" t="inlineStr">
        <is>
          <t>Recheck rendered title/H1 after source correction.</t>
        </is>
      </c>
      <c r="L17" s="10" t="inlineStr">
        <is>
          <t>PERSISTS</t>
        </is>
      </c>
    </row>
    <row r="18">
      <c r="A18" s="10" t="inlineStr">
        <is>
          <t>R6-HIST-027-ENC</t>
        </is>
      </c>
      <c r="B18" s="10" t="inlineStr">
        <is>
          <t>jeminise.com+christmas-bedding-quilt-soft-microfiber-holiday-bedsprea-design-12</t>
        </is>
      </c>
      <c r="C18" s="10" t="n"/>
      <c r="D18" s="10" t="inlineStr">
        <is>
          <t>MINOR</t>
        </is>
      </c>
      <c r="E18" s="10" t="inlineStr">
        <is>
          <t>live_title/H1_encoding</t>
        </is>
      </c>
      <c r="F18" s="10" t="inlineStr">
        <is>
          <t>U+FFFD/truncated source title</t>
        </is>
      </c>
      <c r="G18" s="10" t="inlineStr">
        <is>
          <t>Live snapshot still contains the source encoding/truncation artifact in current title/H1.</t>
        </is>
      </c>
      <c r="H18" s="10" t="inlineStr">
        <is>
          <t>Historical r4 source issue remains observable; r6 proposed copy does not inherit it.</t>
        </is>
      </c>
      <c r="I18" s="10" t="inlineStr">
        <is>
          <t>Fix source title/H1 encoding separately; do not infer admin SEO state without export.</t>
        </is>
      </c>
      <c r="J18" s="4" t="inlineStr">
        <is>
          <t>https://jeminise.com/products/christmas-bedding-quilt-soft-microfiber-holiday-bedsprea-design-12</t>
        </is>
      </c>
      <c r="K18" s="10" t="inlineStr">
        <is>
          <t>Recheck rendered title/H1 after source correction.</t>
        </is>
      </c>
      <c r="L18" s="10" t="inlineStr">
        <is>
          <t>PERSISTS</t>
        </is>
      </c>
    </row>
    <row r="19">
      <c r="A19" s="10" t="inlineStr">
        <is>
          <t>R6-HIST-028-ENC</t>
        </is>
      </c>
      <c r="B19" s="10" t="inlineStr">
        <is>
          <t>jeminise.com+christmas-bedding-quilt-soft-microfiber-holiday-bedspread</t>
        </is>
      </c>
      <c r="C19" s="10" t="n"/>
      <c r="D19" s="10" t="inlineStr">
        <is>
          <t>MINOR</t>
        </is>
      </c>
      <c r="E19" s="10" t="inlineStr">
        <is>
          <t>live_title/H1_encoding</t>
        </is>
      </c>
      <c r="F19" s="10" t="inlineStr">
        <is>
          <t>U+FFFD/truncated source title</t>
        </is>
      </c>
      <c r="G19" s="10" t="inlineStr">
        <is>
          <t>Live snapshot still contains the source encoding/truncation artifact in current title/H1.</t>
        </is>
      </c>
      <c r="H19" s="10" t="inlineStr">
        <is>
          <t>Historical r4 source issue remains observable; r6 proposed copy does not inherit it.</t>
        </is>
      </c>
      <c r="I19" s="10" t="inlineStr">
        <is>
          <t>Fix source title/H1 encoding separately; do not infer admin SEO state without export.</t>
        </is>
      </c>
      <c r="J19" s="4" t="inlineStr">
        <is>
          <t>https://jeminise.com/products/christmas-bedding-quilt-soft-microfiber-holiday-bedspread</t>
        </is>
      </c>
      <c r="K19" s="10" t="inlineStr">
        <is>
          <t>Recheck rendered title/H1 after source correction.</t>
        </is>
      </c>
      <c r="L19" s="10" t="inlineStr">
        <is>
          <t>PERSISTS</t>
        </is>
      </c>
    </row>
    <row r="20">
      <c r="A20" s="10" t="inlineStr">
        <is>
          <t>R6-HIST-025-D2</t>
        </is>
      </c>
      <c r="B20" s="10" t="inlineStr"/>
      <c r="C20" s="10" t="n"/>
      <c r="D20" s="10" t="inlineStr">
        <is>
          <t>NOT_APPLICABLE</t>
        </is>
      </c>
      <c r="E20" s="10" t="inlineStr">
        <is>
          <t>description_internal_wording</t>
        </is>
      </c>
      <c r="F20" s="10" t="inlineStr">
        <is>
          <t>r4 internal review wording</t>
        </is>
      </c>
      <c r="G20" s="10" t="inlineStr">
        <is>
          <t>r6 description removes the historical process/copy-about-copy wording.</t>
        </is>
      </c>
      <c r="H20" s="10" t="inlineStr">
        <is>
          <t>Historical issue is resolved in r6 and is not scored as a current defect.</t>
        </is>
      </c>
      <c r="I20" s="10" t="inlineStr">
        <is>
          <t>No action; retain customer-facing copy.</t>
        </is>
      </c>
      <c r="J20" s="4" t="inlineStr">
        <is>
          <t>https://jeminise.com/products/christmas-bedding-quilt-soft-microfiber-holiday-bedsprea-design-10</t>
        </is>
      </c>
      <c r="K20" s="10" t="inlineStr">
        <is>
          <t>Future revision must remain customer-facing.</t>
        </is>
      </c>
      <c r="L20" s="10" t="inlineStr">
        <is>
          <t>RESOLVED</t>
        </is>
      </c>
    </row>
    <row r="21">
      <c r="A21" s="10" t="inlineStr">
        <is>
          <t>R6-HIST-027-D2</t>
        </is>
      </c>
      <c r="B21" s="10" t="inlineStr"/>
      <c r="C21" s="10" t="n"/>
      <c r="D21" s="10" t="inlineStr">
        <is>
          <t>NOT_APPLICABLE</t>
        </is>
      </c>
      <c r="E21" s="10" t="inlineStr">
        <is>
          <t>description_internal_wording</t>
        </is>
      </c>
      <c r="F21" s="10" t="inlineStr">
        <is>
          <t>r4 internal review wording</t>
        </is>
      </c>
      <c r="G21" s="10" t="inlineStr">
        <is>
          <t>r6 description removes the historical process/copy-about-copy wording.</t>
        </is>
      </c>
      <c r="H21" s="10" t="inlineStr">
        <is>
          <t>Historical issue is resolved in r6 and is not scored as a current defect.</t>
        </is>
      </c>
      <c r="I21" s="10" t="inlineStr">
        <is>
          <t>No action; retain customer-facing copy.</t>
        </is>
      </c>
      <c r="J21" s="4" t="inlineStr">
        <is>
          <t>https://jeminise.com/products/christmas-bedding-quilt-soft-microfiber-holiday-bedsprea-design-12</t>
        </is>
      </c>
      <c r="K21" s="10" t="inlineStr">
        <is>
          <t>Future revision must remain customer-facing.</t>
        </is>
      </c>
      <c r="L21" s="10" t="inlineStr">
        <is>
          <t>RESOLVED</t>
        </is>
      </c>
    </row>
  </sheetData>
  <autoFilter ref="A1:L21"/>
  <conditionalFormatting sqref="D2:D9">
    <cfRule type="expression" priority="1" dxfId="3">
      <formula>D2="CRITICAL"</formula>
    </cfRule>
    <cfRule type="expression" priority="2" dxfId="2">
      <formula>D2="MAJOR"</formula>
    </cfRule>
    <cfRule type="expression" priority="3" dxfId="1">
      <formula>D2="MINOR"</formula>
    </cfRule>
    <cfRule type="expression" priority="4" dxfId="4">
      <formula>D2="LIMITATION"</formula>
    </cfRule>
  </conditionalFormatting>
  <hyperlinks>
    <hyperlink ref="J2" ns1:id="rId1"/>
    <hyperlink ref="J3" ns1:id="rId2"/>
    <hyperlink ref="J4" ns1:id="rId3"/>
    <hyperlink ref="J5" ns1:id="rId4"/>
    <hyperlink ref="J6" ns1:id="rId5"/>
    <hyperlink ref="J7" ns1:id="rId6"/>
    <hyperlink ref="J8" ns1:id="rId7"/>
    <hyperlink ref="J9" ns1:id="rId8"/>
    <hyperlink ref="J10" ns1:id="rId9"/>
    <hyperlink ref="J11" ns1:id="rId10"/>
    <hyperlink ref="J12" ns1:id="rId11"/>
    <hyperlink ref="J13" ns1:id="rId12"/>
    <hyperlink ref="J14" ns1:id="rId13"/>
    <hyperlink ref="J15" ns1:id="rId14"/>
    <hyperlink ref="J16" ns1:id="rId15"/>
    <hyperlink ref="J17" ns1:id="rId16"/>
    <hyperlink ref="J18" ns1:id="rId17"/>
    <hyperlink ref="J19" ns1:id="rId18"/>
    <hyperlink ref="J20" ns1:id="rId19"/>
    <hyperlink ref="J21" ns1:id="rId20"/>
  </hyperlinks>
  <printOptions horizontalCentered="0"/>
  <pageMargins left="0.25" right="0.25" top="0.5" bottom="0.5" header="0.5" footer="0.5"/>
  <pageSetup orientation="landscape" fitToHeight="0" fitToWidth="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2026-09-08T01:54:41Z</dcterms:created>
  <dcterms:modified xmlns:dcterms="http://purl.org/dc/terms/" xmlns:xsi="http://www.w3.org/2001/XMLSchema-instance" xsi:type="dcterms:W3CDTF">2026-09-08T21:30:43Z</dcterms:modified>
</cp:coreProperties>
</file>