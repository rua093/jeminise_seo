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'QA_Summary'!$A$1:$O$2</definedName>
    <definedName name="_xlnm._FilterDatabase" localSheetId="1" hidden="1">'QA_Products'!$A$1:$Z$11</definedName>
    <definedName name="_xlnm._FilterDatabase" localSheetId="2" hidden="1">'QA_Criteria'!$A$1:$I$111</definedName>
    <definedName name="_xlnm._FilterDatabase" localSheetId="3" hidden="1">'QA_Images'!$A$1:$Q$53</definedName>
    <definedName name="_xlnm._FilterDatabase" localSheetId="4" hidden="1">'QA_Issues'!$A$1:$L$99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49"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36" customWidth="1" min="4" max="4"/>
    <col width="28" customWidth="1" min="5" max="5"/>
    <col width="34" customWidth="1" min="6" max="6"/>
    <col width="18" customWidth="1" min="7" max="7"/>
    <col width="40" customWidth="1" min="8" max="8"/>
    <col width="41" customWidth="1" min="9" max="9"/>
    <col width="43" customWidth="1" min="10" max="10"/>
    <col width="41" customWidth="1" min="11" max="11"/>
    <col width="45" customWidth="1" min="12" max="12"/>
    <col width="45" customWidth="1" min="13" max="13"/>
    <col width="13" customWidth="1" min="14" max="14"/>
    <col width="39" customWidth="1" min="15" max="15"/>
  </cols>
  <sheetData>
    <row r="1">
      <c r="A1" s="1" t="inlineStr">
        <is>
          <t>batch_name</t>
        </is>
      </c>
      <c r="B1" s="1" t="inlineStr">
        <is>
          <t>run_id</t>
        </is>
      </c>
      <c r="C1" s="1" t="inlineStr">
        <is>
          <t>total_products</t>
        </is>
      </c>
      <c r="D1" s="1" t="inlineStr">
        <is>
          <t>assessed_products</t>
        </is>
      </c>
      <c r="E1" s="1" t="inlineStr">
        <is>
          <t>total_images</t>
        </is>
      </c>
      <c r="F1" s="1" t="inlineStr">
        <is>
          <t>assessed_images</t>
        </is>
      </c>
      <c r="G1" s="1" t="inlineStr">
        <is>
          <t>assessed_weight</t>
        </is>
      </c>
      <c r="H1" s="1" t="inlineStr">
        <is>
          <t>average_score</t>
        </is>
      </c>
      <c r="I1" s="1" t="inlineStr">
        <is>
          <t>qa_pass_count</t>
        </is>
      </c>
      <c r="J1" s="1" t="inlineStr">
        <is>
          <t>qa_revise_count</t>
        </is>
      </c>
      <c r="K1" s="1" t="inlineStr">
        <is>
          <t>qa_fail_count</t>
        </is>
      </c>
      <c r="L1" s="1" t="inlineStr">
        <is>
          <t>qa_incomplete_count</t>
        </is>
      </c>
      <c r="M1" s="1" t="inlineStr">
        <is>
          <t>overall_status</t>
        </is>
      </c>
      <c r="N1" s="1" t="inlineStr">
        <is>
          <t>audit_date</t>
        </is>
      </c>
      <c r="O1" s="1" t="inlineStr">
        <is>
          <t>auditor</t>
        </is>
      </c>
    </row>
    <row r="2">
      <c r="A2" s="2" t="inlineStr">
        <is>
          <t>qa_batch_018_r3</t>
        </is>
      </c>
      <c r="B2" s="2" t="inlineStr">
        <is>
          <t>20260908_105500</t>
        </is>
      </c>
      <c r="C2" s="2">
        <f>COUNTA(QA_Products!A2:A11)</f>
        <v/>
      </c>
      <c r="D2" s="2">
        <f>COUNTIF(QA_Products!H2:H11,TRUE)</f>
        <v/>
      </c>
      <c r="E2" s="2">
        <f>COUNTA(QA_Images!A2:A53)</f>
        <v/>
      </c>
      <c r="F2" s="2">
        <f>COUNTIF(QA_Images!O2:O53,"&lt;&gt;")</f>
        <v/>
      </c>
      <c r="G2" s="2" t="n">
        <v>100</v>
      </c>
      <c r="H2" s="2">
        <f>ROUND(AVERAGE(QA_Products!T2:T11),2)</f>
        <v/>
      </c>
      <c r="I2" s="2">
        <f>COUNTIF(QA_Products!Y2:Y11,"QA_PASS")</f>
        <v/>
      </c>
      <c r="J2" s="2">
        <f>COUNTIF(QA_Products!Y2:Y11,"QA_REVISE")</f>
        <v/>
      </c>
      <c r="K2" s="2">
        <f>COUNTIF(QA_Products!Y2:Y11,"QA_FAIL")</f>
        <v/>
      </c>
      <c r="L2" s="2">
        <f>COUNTIF(QA_Products!Y2:Y11,"QA_INCOMPLETE")</f>
        <v/>
      </c>
      <c r="M2" s="2">
        <f>IF(K2&gt;0,"QA_FAIL",IF(J2&gt;0,"QA_REVISE","QA_PASS"))</f>
        <v/>
      </c>
      <c r="N2" s="2" t="inlineStr">
        <is>
          <t>2026-09-08</t>
        </is>
      </c>
      <c r="O2" s="2" t="inlineStr">
        <is>
          <t>Antigravity Independent QA Assistant</t>
        </is>
      </c>
    </row>
  </sheetData>
  <autoFilter ref="A1:O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21" customWidth="1" min="3" max="3"/>
    <col width="45" customWidth="1" min="4" max="4"/>
    <col width="45" customWidth="1" min="5" max="5"/>
    <col width="45" customWidth="1" min="6" max="6"/>
    <col width="45" customWidth="1" min="7" max="7"/>
    <col width="12"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31" customWidth="1" min="20" max="20"/>
    <col width="45" customWidth="1" min="21" max="21"/>
    <col width="45" customWidth="1" min="22" max="22"/>
    <col width="45" customWidth="1" min="23" max="23"/>
    <col width="45" customWidth="1" min="24" max="24"/>
    <col width="45" customWidth="1" min="25" max="25"/>
    <col width="45" customWidth="1" min="26" max="26"/>
  </cols>
  <sheetData>
    <row r="1">
      <c r="A1" s="1" t="inlineStr">
        <is>
          <t>product_key</t>
        </is>
      </c>
      <c r="B1" s="1" t="inlineStr">
        <is>
          <t>Handle</t>
        </is>
      </c>
      <c r="C1" s="1" t="inlineStr">
        <is>
          <t>inventory_position</t>
        </is>
      </c>
      <c r="D1" s="1" t="inlineStr">
        <is>
          <t>product_title_current</t>
        </is>
      </c>
      <c r="E1" s="1" t="inlineStr">
        <is>
          <t>product_title_proposed</t>
        </is>
      </c>
      <c r="F1" s="1" t="inlineStr">
        <is>
          <t>primary_keyword</t>
        </is>
      </c>
      <c r="G1" s="1" t="inlineStr">
        <is>
          <t>secondary_keywords</t>
        </is>
      </c>
      <c r="H1" s="1" t="inlineStr">
        <is>
          <t>page_read</t>
        </is>
      </c>
      <c r="I1" s="1" t="inlineStr">
        <is>
          <t>P1_score</t>
        </is>
      </c>
      <c r="J1" s="1" t="inlineStr">
        <is>
          <t>P2_score</t>
        </is>
      </c>
      <c r="K1" s="1" t="inlineStr">
        <is>
          <t>K1_score</t>
        </is>
      </c>
      <c r="L1" s="1" t="inlineStr">
        <is>
          <t>K2_score</t>
        </is>
      </c>
      <c r="M1" s="1" t="inlineStr">
        <is>
          <t>K3_score</t>
        </is>
      </c>
      <c r="N1" s="1" t="inlineStr">
        <is>
          <t>T1_score</t>
        </is>
      </c>
      <c r="O1" s="1" t="inlineStr">
        <is>
          <t>T2_score</t>
        </is>
      </c>
      <c r="P1" s="1" t="inlineStr">
        <is>
          <t>D1_score</t>
        </is>
      </c>
      <c r="Q1" s="1" t="inlineStr">
        <is>
          <t>D2_score</t>
        </is>
      </c>
      <c r="R1" s="1" t="inlineStr">
        <is>
          <t>I1_score</t>
        </is>
      </c>
      <c r="S1" s="1" t="inlineStr">
        <is>
          <t>E1_score</t>
        </is>
      </c>
      <c r="T1" s="1" t="inlineStr">
        <is>
          <t>total_score</t>
        </is>
      </c>
      <c r="U1" s="1" t="inlineStr">
        <is>
          <t>critical_issues_count</t>
        </is>
      </c>
      <c r="V1" s="1" t="inlineStr">
        <is>
          <t>major_issues_count</t>
        </is>
      </c>
      <c r="W1" s="1" t="inlineStr">
        <is>
          <t>minor_issues_count</t>
        </is>
      </c>
      <c r="X1" s="1" t="inlineStr">
        <is>
          <t>limitation_count</t>
        </is>
      </c>
      <c r="Y1" s="1" t="inlineStr">
        <is>
          <t>qa_status</t>
        </is>
      </c>
      <c r="Z1" s="1" t="inlineStr">
        <is>
          <t>notes</t>
        </is>
      </c>
    </row>
    <row r="2">
      <c r="A2" s="3" t="inlineStr">
        <is>
          <t>jeminise.com+pamnest-twin-halloween-comforter-set-with-sheets-5-pieces-design-08</t>
        </is>
      </c>
      <c r="B2" s="2" t="inlineStr">
        <is>
          <t>pamnest-twin-halloween-comforter-set-with-sheets-5-pieces-design-08</t>
        </is>
      </c>
      <c r="C2" s="2" t="n">
        <v>171</v>
      </c>
      <c r="D2" s="2" t="inlineStr">
        <is>
          <t>Pamnest Twin Halloween Comforter Set with Sheets, 5 Pieces - Design 08</t>
        </is>
      </c>
      <c r="E2" s="2" t="inlineStr">
        <is>
          <t>Pink Gothic Skull Comforter Set</t>
        </is>
      </c>
      <c r="F2" s="2" t="inlineStr">
        <is>
          <t>pink gothic skull comforter set</t>
        </is>
      </c>
      <c r="G2" s="2" t="inlineStr">
        <is>
          <t>gothic skull bedding, skeleton comforter set, pink black Halloween bedding</t>
        </is>
      </c>
      <c r="H2" s="2" t="b">
        <v>1</v>
      </c>
      <c r="I2" s="2">
        <f>SUMIFS(QA_Criteria!F:F,QA_Criteria!B:B,A2,QA_Criteria!C:C,"P1")</f>
        <v/>
      </c>
      <c r="J2" s="2">
        <f>SUMIFS(QA_Criteria!F:F,QA_Criteria!B:B,A2,QA_Criteria!C:C,"P2")</f>
        <v/>
      </c>
      <c r="K2" s="2">
        <f>SUMIFS(QA_Criteria!F:F,QA_Criteria!B:B,A2,QA_Criteria!C:C,"K1")</f>
        <v/>
      </c>
      <c r="L2" s="2">
        <f>SUMIFS(QA_Criteria!F:F,QA_Criteria!B:B,A2,QA_Criteria!C:C,"K2")</f>
        <v/>
      </c>
      <c r="M2" s="2">
        <f>SUMIFS(QA_Criteria!F:F,QA_Criteria!B:B,A2,QA_Criteria!C:C,"K3")</f>
        <v/>
      </c>
      <c r="N2" s="2">
        <f>SUMIFS(QA_Criteria!F:F,QA_Criteria!B:B,A2,QA_Criteria!C:C,"T1")</f>
        <v/>
      </c>
      <c r="O2" s="2">
        <f>SUMIFS(QA_Criteria!F:F,QA_Criteria!B:B,A2,QA_Criteria!C:C,"T2")</f>
        <v/>
      </c>
      <c r="P2" s="2">
        <f>SUMIFS(QA_Criteria!F:F,QA_Criteria!B:B,A2,QA_Criteria!C:C,"D1")</f>
        <v/>
      </c>
      <c r="Q2" s="2">
        <f>SUMIFS(QA_Criteria!F:F,QA_Criteria!B:B,A2,QA_Criteria!C:C,"D2")</f>
        <v/>
      </c>
      <c r="R2" s="2">
        <f>ROUND(0.20*AVERAGEIF(QA_Images!B:B,A2,QA_Images!N:N),2)</f>
        <v/>
      </c>
      <c r="S2" s="2">
        <f>SUMIFS(QA_Criteria!F:F,QA_Criteria!B:B,A2,QA_Criteria!C:C,"E1")</f>
        <v/>
      </c>
      <c r="T2" s="2">
        <f>IF(H2=TRUE,SUM(I2:S2),0)</f>
        <v/>
      </c>
      <c r="U2" s="2">
        <f>COUNTIFS(QA_Issues!B:B,A2,QA_Issues!D:D,"CRITICAL",QA_Issues!L:L,"&lt;&gt;RESOLVED",QA_Issues!L:L,"&lt;&gt;NOT_APPLICABLE")</f>
        <v/>
      </c>
      <c r="V2" s="2">
        <f>COUNTIFS(QA_Issues!B:B,A2,QA_Issues!D:D,"MAJOR",QA_Issues!L:L,"&lt;&gt;RESOLVED",QA_Issues!L:L,"&lt;&gt;NOT_APPLICABLE")</f>
        <v/>
      </c>
      <c r="W2" s="2">
        <f>COUNTIFS(QA_Issues!B:B,A2,QA_Issues!D:D,"MINOR",QA_Issues!L:L,"&lt;&gt;RESOLVED",QA_Issues!L:L,"&lt;&gt;NOT_APPLICABLE")</f>
        <v/>
      </c>
      <c r="X2" s="2">
        <f>COUNTIFS(QA_Issues!B:B,A2,QA_Issues!D:D,"LIMITATION",QA_Issues!L:L,"&lt;&gt;RESOLVED",QA_Issues!L:L,"&lt;&gt;NOT_APPLICABLE")</f>
        <v/>
      </c>
      <c r="Y2" s="2">
        <f>IF(U2&gt;0,"QA_FAIL",IF(H2=FALSE,"QA_INCOMPLETE",IF(T2&lt;70,"QA_FAIL",IF(OR(T2&lt;85,V2&gt;0),"QA_REVISE","QA_PASS"))))</f>
        <v/>
      </c>
      <c r="Z2" s="2" t="inlineStr">
        <is>
          <t>Direct visual review verified across all gallery images. Titles, keywords, and meta tags are high quality. Proposed description copy contains internal meta-commentary / omitted specifications (D2 MAJOR issue).</t>
        </is>
      </c>
    </row>
    <row r="3">
      <c r="A3" s="3" t="inlineStr">
        <is>
          <t>jeminise.com+pamnest-twin-halloween-comforter-set-with-sheets-5-pieces-design-09</t>
        </is>
      </c>
      <c r="B3" s="2" t="inlineStr">
        <is>
          <t>pamnest-twin-halloween-comforter-set-with-sheets-5-pieces-design-09</t>
        </is>
      </c>
      <c r="C3" s="2" t="n">
        <v>172</v>
      </c>
      <c r="D3" s="2" t="inlineStr">
        <is>
          <t>Pamnest Twin Halloween Comforter Set with Sheets, 5 Pieces - Design 09</t>
        </is>
      </c>
      <c r="E3" s="2" t="inlineStr">
        <is>
          <t>Trick or Treat Haunted House Comforter Set</t>
        </is>
      </c>
      <c r="F3" s="2" t="inlineStr">
        <is>
          <t>trick or treat haunted house comforter set</t>
        </is>
      </c>
      <c r="G3" s="2" t="inlineStr">
        <is>
          <t>haunted house bedding, trick or treat bedding, black Halloween comforter set</t>
        </is>
      </c>
      <c r="H3" s="2" t="b">
        <v>1</v>
      </c>
      <c r="I3" s="2">
        <f>SUMIFS(QA_Criteria!F:F,QA_Criteria!B:B,A3,QA_Criteria!C:C,"P1")</f>
        <v/>
      </c>
      <c r="J3" s="2">
        <f>SUMIFS(QA_Criteria!F:F,QA_Criteria!B:B,A3,QA_Criteria!C:C,"P2")</f>
        <v/>
      </c>
      <c r="K3" s="2">
        <f>SUMIFS(QA_Criteria!F:F,QA_Criteria!B:B,A3,QA_Criteria!C:C,"K1")</f>
        <v/>
      </c>
      <c r="L3" s="2">
        <f>SUMIFS(QA_Criteria!F:F,QA_Criteria!B:B,A3,QA_Criteria!C:C,"K2")</f>
        <v/>
      </c>
      <c r="M3" s="2">
        <f>SUMIFS(QA_Criteria!F:F,QA_Criteria!B:B,A3,QA_Criteria!C:C,"K3")</f>
        <v/>
      </c>
      <c r="N3" s="2">
        <f>SUMIFS(QA_Criteria!F:F,QA_Criteria!B:B,A3,QA_Criteria!C:C,"T1")</f>
        <v/>
      </c>
      <c r="O3" s="2">
        <f>SUMIFS(QA_Criteria!F:F,QA_Criteria!B:B,A3,QA_Criteria!C:C,"T2")</f>
        <v/>
      </c>
      <c r="P3" s="2">
        <f>SUMIFS(QA_Criteria!F:F,QA_Criteria!B:B,A3,QA_Criteria!C:C,"D1")</f>
        <v/>
      </c>
      <c r="Q3" s="2">
        <f>SUMIFS(QA_Criteria!F:F,QA_Criteria!B:B,A3,QA_Criteria!C:C,"D2")</f>
        <v/>
      </c>
      <c r="R3" s="2">
        <f>ROUND(0.20*AVERAGEIF(QA_Images!B:B,A3,QA_Images!N:N),2)</f>
        <v/>
      </c>
      <c r="S3" s="2">
        <f>SUMIFS(QA_Criteria!F:F,QA_Criteria!B:B,A3,QA_Criteria!C:C,"E1")</f>
        <v/>
      </c>
      <c r="T3" s="2">
        <f>IF(H3=TRUE,SUM(I3:S3),0)</f>
        <v/>
      </c>
      <c r="U3" s="2">
        <f>COUNTIFS(QA_Issues!B:B,A3,QA_Issues!D:D,"CRITICAL",QA_Issues!L:L,"&lt;&gt;RESOLVED",QA_Issues!L:L,"&lt;&gt;NOT_APPLICABLE")</f>
        <v/>
      </c>
      <c r="V3" s="2">
        <f>COUNTIFS(QA_Issues!B:B,A3,QA_Issues!D:D,"MAJOR",QA_Issues!L:L,"&lt;&gt;RESOLVED",QA_Issues!L:L,"&lt;&gt;NOT_APPLICABLE")</f>
        <v/>
      </c>
      <c r="W3" s="2">
        <f>COUNTIFS(QA_Issues!B:B,A3,QA_Issues!D:D,"MINOR",QA_Issues!L:L,"&lt;&gt;RESOLVED",QA_Issues!L:L,"&lt;&gt;NOT_APPLICABLE")</f>
        <v/>
      </c>
      <c r="X3" s="2">
        <f>COUNTIFS(QA_Issues!B:B,A3,QA_Issues!D:D,"LIMITATION",QA_Issues!L:L,"&lt;&gt;RESOLVED",QA_Issues!L:L,"&lt;&gt;NOT_APPLICABLE")</f>
        <v/>
      </c>
      <c r="Y3" s="2">
        <f>IF(U3&gt;0,"QA_FAIL",IF(H3=FALSE,"QA_INCOMPLETE",IF(T3&lt;70,"QA_FAIL",IF(OR(T3&lt;85,V3&gt;0),"QA_REVISE","QA_PASS"))))</f>
        <v/>
      </c>
      <c r="Z3" s="2" t="inlineStr">
        <is>
          <t>Direct visual review verified across all gallery images. Titles, keywords, and meta tags are high quality. Proposed description copy contains internal meta-commentary / omitted specifications (D2 MAJOR issue).</t>
        </is>
      </c>
    </row>
    <row r="4">
      <c r="A4" s="3" t="inlineStr">
        <is>
          <t>jeminise.com+pamnest-twin-halloween-comforter-set-with-sheets-5-pieces-evil</t>
        </is>
      </c>
      <c r="B4" s="2" t="inlineStr">
        <is>
          <t>pamnest-twin-halloween-comforter-set-with-sheets-5-pieces-evil</t>
        </is>
      </c>
      <c r="C4" s="2" t="n">
        <v>173</v>
      </c>
      <c r="D4" s="2" t="inlineStr">
        <is>
          <t>Pamnest Twin Halloween Comforter Set with Sheets, 5 Pieces Evil</t>
        </is>
      </c>
      <c r="E4" s="2" t="inlineStr">
        <is>
          <t>Cream Pumpkin Ghost Comforter Set</t>
        </is>
      </c>
      <c r="F4" s="2" t="inlineStr">
        <is>
          <t>cream pumpkin ghost comforter set</t>
        </is>
      </c>
      <c r="G4" s="2" t="inlineStr">
        <is>
          <t>pumpkin ghost bedding, cream Halloween comforter, Halloween comforter set with sheets</t>
        </is>
      </c>
      <c r="H4" s="2" t="b">
        <v>1</v>
      </c>
      <c r="I4" s="2">
        <f>SUMIFS(QA_Criteria!F:F,QA_Criteria!B:B,A4,QA_Criteria!C:C,"P1")</f>
        <v/>
      </c>
      <c r="J4" s="2">
        <f>SUMIFS(QA_Criteria!F:F,QA_Criteria!B:B,A4,QA_Criteria!C:C,"P2")</f>
        <v/>
      </c>
      <c r="K4" s="2">
        <f>SUMIFS(QA_Criteria!F:F,QA_Criteria!B:B,A4,QA_Criteria!C:C,"K1")</f>
        <v/>
      </c>
      <c r="L4" s="2">
        <f>SUMIFS(QA_Criteria!F:F,QA_Criteria!B:B,A4,QA_Criteria!C:C,"K2")</f>
        <v/>
      </c>
      <c r="M4" s="2">
        <f>SUMIFS(QA_Criteria!F:F,QA_Criteria!B:B,A4,QA_Criteria!C:C,"K3")</f>
        <v/>
      </c>
      <c r="N4" s="2">
        <f>SUMIFS(QA_Criteria!F:F,QA_Criteria!B:B,A4,QA_Criteria!C:C,"T1")</f>
        <v/>
      </c>
      <c r="O4" s="2">
        <f>SUMIFS(QA_Criteria!F:F,QA_Criteria!B:B,A4,QA_Criteria!C:C,"T2")</f>
        <v/>
      </c>
      <c r="P4" s="2">
        <f>SUMIFS(QA_Criteria!F:F,QA_Criteria!B:B,A4,QA_Criteria!C:C,"D1")</f>
        <v/>
      </c>
      <c r="Q4" s="2">
        <f>SUMIFS(QA_Criteria!F:F,QA_Criteria!B:B,A4,QA_Criteria!C:C,"D2")</f>
        <v/>
      </c>
      <c r="R4" s="2">
        <f>ROUND(0.20*AVERAGEIF(QA_Images!B:B,A4,QA_Images!N:N),2)</f>
        <v/>
      </c>
      <c r="S4" s="2">
        <f>SUMIFS(QA_Criteria!F:F,QA_Criteria!B:B,A4,QA_Criteria!C:C,"E1")</f>
        <v/>
      </c>
      <c r="T4" s="2">
        <f>IF(H4=TRUE,SUM(I4:S4),0)</f>
        <v/>
      </c>
      <c r="U4" s="2">
        <f>COUNTIFS(QA_Issues!B:B,A4,QA_Issues!D:D,"CRITICAL",QA_Issues!L:L,"&lt;&gt;RESOLVED",QA_Issues!L:L,"&lt;&gt;NOT_APPLICABLE")</f>
        <v/>
      </c>
      <c r="V4" s="2">
        <f>COUNTIFS(QA_Issues!B:B,A4,QA_Issues!D:D,"MAJOR",QA_Issues!L:L,"&lt;&gt;RESOLVED",QA_Issues!L:L,"&lt;&gt;NOT_APPLICABLE")</f>
        <v/>
      </c>
      <c r="W4" s="2">
        <f>COUNTIFS(QA_Issues!B:B,A4,QA_Issues!D:D,"MINOR",QA_Issues!L:L,"&lt;&gt;RESOLVED",QA_Issues!L:L,"&lt;&gt;NOT_APPLICABLE")</f>
        <v/>
      </c>
      <c r="X4" s="2">
        <f>COUNTIFS(QA_Issues!B:B,A4,QA_Issues!D:D,"LIMITATION",QA_Issues!L:L,"&lt;&gt;RESOLVED",QA_Issues!L:L,"&lt;&gt;NOT_APPLICABLE")</f>
        <v/>
      </c>
      <c r="Y4" s="2">
        <f>IF(U4&gt;0,"QA_FAIL",IF(H4=FALSE,"QA_INCOMPLETE",IF(T4&lt;70,"QA_FAIL",IF(OR(T4&lt;85,V4&gt;0),"QA_REVISE","QA_PASS"))))</f>
        <v/>
      </c>
      <c r="Z4" s="2" t="inlineStr">
        <is>
          <t>Direct visual review verified across all gallery images. Titles, keywords, and meta tags are high quality. Proposed description copy contains internal meta-commentary / omitted specifications (D2 MAJOR issue).</t>
        </is>
      </c>
    </row>
    <row r="5">
      <c r="A5" s="3" t="inlineStr">
        <is>
          <t>jeminise.com+personalized-and-romance-music-player-interface-quilt-with-photo-b8a3dc4155-b8a3dc4155</t>
        </is>
      </c>
      <c r="B5" s="2" t="inlineStr">
        <is>
          <t>personalized-and-romance-music-player-interface-quilt-with-photo-b8a3dc4155-b8a3dc4155</t>
        </is>
      </c>
      <c r="C5" s="2" t="n">
        <v>174</v>
      </c>
      <c r="D5" s="2" t="inlineStr">
        <is>
          <t>Personalized and Romance Music Player Interface Quilt with Photo</t>
        </is>
      </c>
      <c r="E5" s="2" t="inlineStr">
        <is>
          <t>Custom Photo Music Player Quilt</t>
        </is>
      </c>
      <c r="F5" s="2" t="inlineStr">
        <is>
          <t>custom photo music player quilt</t>
        </is>
      </c>
      <c r="G5" s="2" t="inlineStr">
        <is>
          <t>personalized music player quilt, custom song quilt, couple photo quilt</t>
        </is>
      </c>
      <c r="H5" s="2" t="b">
        <v>1</v>
      </c>
      <c r="I5" s="2">
        <f>SUMIFS(QA_Criteria!F:F,QA_Criteria!B:B,A5,QA_Criteria!C:C,"P1")</f>
        <v/>
      </c>
      <c r="J5" s="2">
        <f>SUMIFS(QA_Criteria!F:F,QA_Criteria!B:B,A5,QA_Criteria!C:C,"P2")</f>
        <v/>
      </c>
      <c r="K5" s="2">
        <f>SUMIFS(QA_Criteria!F:F,QA_Criteria!B:B,A5,QA_Criteria!C:C,"K1")</f>
        <v/>
      </c>
      <c r="L5" s="2">
        <f>SUMIFS(QA_Criteria!F:F,QA_Criteria!B:B,A5,QA_Criteria!C:C,"K2")</f>
        <v/>
      </c>
      <c r="M5" s="2">
        <f>SUMIFS(QA_Criteria!F:F,QA_Criteria!B:B,A5,QA_Criteria!C:C,"K3")</f>
        <v/>
      </c>
      <c r="N5" s="2">
        <f>SUMIFS(QA_Criteria!F:F,QA_Criteria!B:B,A5,QA_Criteria!C:C,"T1")</f>
        <v/>
      </c>
      <c r="O5" s="2">
        <f>SUMIFS(QA_Criteria!F:F,QA_Criteria!B:B,A5,QA_Criteria!C:C,"T2")</f>
        <v/>
      </c>
      <c r="P5" s="2">
        <f>SUMIFS(QA_Criteria!F:F,QA_Criteria!B:B,A5,QA_Criteria!C:C,"D1")</f>
        <v/>
      </c>
      <c r="Q5" s="2">
        <f>SUMIFS(QA_Criteria!F:F,QA_Criteria!B:B,A5,QA_Criteria!C:C,"D2")</f>
        <v/>
      </c>
      <c r="R5" s="2">
        <f>ROUND(0.20*AVERAGEIF(QA_Images!B:B,A5,QA_Images!N:N),2)</f>
        <v/>
      </c>
      <c r="S5" s="2">
        <f>SUMIFS(QA_Criteria!F:F,QA_Criteria!B:B,A5,QA_Criteria!C:C,"E1")</f>
        <v/>
      </c>
      <c r="T5" s="2">
        <f>IF(H5=TRUE,SUM(I5:S5),0)</f>
        <v/>
      </c>
      <c r="U5" s="2">
        <f>COUNTIFS(QA_Issues!B:B,A5,QA_Issues!D:D,"CRITICAL",QA_Issues!L:L,"&lt;&gt;RESOLVED",QA_Issues!L:L,"&lt;&gt;NOT_APPLICABLE")</f>
        <v/>
      </c>
      <c r="V5" s="2">
        <f>COUNTIFS(QA_Issues!B:B,A5,QA_Issues!D:D,"MAJOR",QA_Issues!L:L,"&lt;&gt;RESOLVED",QA_Issues!L:L,"&lt;&gt;NOT_APPLICABLE")</f>
        <v/>
      </c>
      <c r="W5" s="2">
        <f>COUNTIFS(QA_Issues!B:B,A5,QA_Issues!D:D,"MINOR",QA_Issues!L:L,"&lt;&gt;RESOLVED",QA_Issues!L:L,"&lt;&gt;NOT_APPLICABLE")</f>
        <v/>
      </c>
      <c r="X5" s="2">
        <f>COUNTIFS(QA_Issues!B:B,A5,QA_Issues!D:D,"LIMITATION",QA_Issues!L:L,"&lt;&gt;RESOLVED",QA_Issues!L:L,"&lt;&gt;NOT_APPLICABLE")</f>
        <v/>
      </c>
      <c r="Y5" s="2">
        <f>IF(U5&gt;0,"QA_FAIL",IF(H5=FALSE,"QA_INCOMPLETE",IF(T5&lt;70,"QA_FAIL",IF(OR(T5&lt;85,V5&gt;0),"QA_REVISE","QA_PASS"))))</f>
        <v/>
      </c>
      <c r="Z5" s="2" t="inlineStr">
        <is>
          <t>Direct visual review verified across all gallery images. Titles, keywords, and meta tags are high quality. Proposed description copy contains internal meta-commentary / omitted specifications (D2 MAJOR issue).</t>
        </is>
      </c>
    </row>
    <row r="6">
      <c r="A6" s="3" t="inlineStr">
        <is>
          <t>jeminise.com+personalized-autumn-tree-of-life-birds-flowers-quilt-sets-radiant</t>
        </is>
      </c>
      <c r="B6" s="2" t="inlineStr">
        <is>
          <t>personalized-autumn-tree-of-life-birds-flowers-quilt-sets-radiant</t>
        </is>
      </c>
      <c r="C6" s="2" t="n">
        <v>175</v>
      </c>
      <c r="D6" s="2" t="inlineStr">
        <is>
          <t>Personalized Autumn Tree of Life Birds &amp; Flowers Quilt Sets - Radiant</t>
        </is>
      </c>
      <c r="E6" s="2" t="inlineStr">
        <is>
          <t>Autumn Tree of Life Birds Quilt Set</t>
        </is>
      </c>
      <c r="F6" s="2" t="inlineStr">
        <is>
          <t>autumn Tree of Life birds quilt set</t>
        </is>
      </c>
      <c r="G6" s="2" t="inlineStr">
        <is>
          <t>autumn tree quilt, birds flowers quilt, Tree of Life bedding</t>
        </is>
      </c>
      <c r="H6" s="2" t="b">
        <v>1</v>
      </c>
      <c r="I6" s="2">
        <f>SUMIFS(QA_Criteria!F:F,QA_Criteria!B:B,A6,QA_Criteria!C:C,"P1")</f>
        <v/>
      </c>
      <c r="J6" s="2">
        <f>SUMIFS(QA_Criteria!F:F,QA_Criteria!B:B,A6,QA_Criteria!C:C,"P2")</f>
        <v/>
      </c>
      <c r="K6" s="2">
        <f>SUMIFS(QA_Criteria!F:F,QA_Criteria!B:B,A6,QA_Criteria!C:C,"K1")</f>
        <v/>
      </c>
      <c r="L6" s="2">
        <f>SUMIFS(QA_Criteria!F:F,QA_Criteria!B:B,A6,QA_Criteria!C:C,"K2")</f>
        <v/>
      </c>
      <c r="M6" s="2">
        <f>SUMIFS(QA_Criteria!F:F,QA_Criteria!B:B,A6,QA_Criteria!C:C,"K3")</f>
        <v/>
      </c>
      <c r="N6" s="2">
        <f>SUMIFS(QA_Criteria!F:F,QA_Criteria!B:B,A6,QA_Criteria!C:C,"T1")</f>
        <v/>
      </c>
      <c r="O6" s="2">
        <f>SUMIFS(QA_Criteria!F:F,QA_Criteria!B:B,A6,QA_Criteria!C:C,"T2")</f>
        <v/>
      </c>
      <c r="P6" s="2">
        <f>SUMIFS(QA_Criteria!F:F,QA_Criteria!B:B,A6,QA_Criteria!C:C,"D1")</f>
        <v/>
      </c>
      <c r="Q6" s="2">
        <f>SUMIFS(QA_Criteria!F:F,QA_Criteria!B:B,A6,QA_Criteria!C:C,"D2")</f>
        <v/>
      </c>
      <c r="R6" s="2">
        <f>ROUND(0.20*AVERAGEIF(QA_Images!B:B,A6,QA_Images!N:N),2)</f>
        <v/>
      </c>
      <c r="S6" s="2">
        <f>SUMIFS(QA_Criteria!F:F,QA_Criteria!B:B,A6,QA_Criteria!C:C,"E1")</f>
        <v/>
      </c>
      <c r="T6" s="2">
        <f>IF(H6=TRUE,SUM(I6:S6),0)</f>
        <v/>
      </c>
      <c r="U6" s="2">
        <f>COUNTIFS(QA_Issues!B:B,A6,QA_Issues!D:D,"CRITICAL",QA_Issues!L:L,"&lt;&gt;RESOLVED",QA_Issues!L:L,"&lt;&gt;NOT_APPLICABLE")</f>
        <v/>
      </c>
      <c r="V6" s="2">
        <f>COUNTIFS(QA_Issues!B:B,A6,QA_Issues!D:D,"MAJOR",QA_Issues!L:L,"&lt;&gt;RESOLVED",QA_Issues!L:L,"&lt;&gt;NOT_APPLICABLE")</f>
        <v/>
      </c>
      <c r="W6" s="2">
        <f>COUNTIFS(QA_Issues!B:B,A6,QA_Issues!D:D,"MINOR",QA_Issues!L:L,"&lt;&gt;RESOLVED",QA_Issues!L:L,"&lt;&gt;NOT_APPLICABLE")</f>
        <v/>
      </c>
      <c r="X6" s="2">
        <f>COUNTIFS(QA_Issues!B:B,A6,QA_Issues!D:D,"LIMITATION",QA_Issues!L:L,"&lt;&gt;RESOLVED",QA_Issues!L:L,"&lt;&gt;NOT_APPLICABLE")</f>
        <v/>
      </c>
      <c r="Y6" s="2">
        <f>IF(U6&gt;0,"QA_FAIL",IF(H6=FALSE,"QA_INCOMPLETE",IF(T6&lt;70,"QA_FAIL",IF(OR(T6&lt;85,V6&gt;0),"QA_REVISE","QA_PASS"))))</f>
        <v/>
      </c>
      <c r="Z6" s="2" t="inlineStr">
        <is>
          <t>Direct visual review verified across all gallery images. Titles, keywords, and meta tags are high quality. Proposed description copy contains internal meta-commentary / omitted specifications (D2 MAJOR issue).</t>
        </is>
      </c>
    </row>
    <row r="7">
      <c r="A7" s="3" t="inlineStr">
        <is>
          <t>jeminise.com+personalized-baseball-bedding-full-size-flag-custom-name-d-design-01</t>
        </is>
      </c>
      <c r="B7" s="2" t="inlineStr">
        <is>
          <t>personalized-baseball-bedding-full-size-flag-custom-name-d-design-01</t>
        </is>
      </c>
      <c r="C7" s="2" t="n">
        <v>176</v>
      </c>
      <c r="D7" s="2" t="inlineStr">
        <is>
          <t>Personalized Baseball Bedding Full Size Flag Custom Name D - Design 01</t>
        </is>
      </c>
      <c r="E7" s="2" t="inlineStr">
        <is>
          <t>Custom Name Baseball Flag Bedding</t>
        </is>
      </c>
      <c r="F7" s="2" t="inlineStr">
        <is>
          <t>custom name baseball flag bedding</t>
        </is>
      </c>
      <c r="G7" s="2" t="inlineStr">
        <is>
          <t>personalized baseball bedding, baseball flag comforter set, baseball name bedding</t>
        </is>
      </c>
      <c r="H7" s="2" t="b">
        <v>1</v>
      </c>
      <c r="I7" s="2">
        <f>SUMIFS(QA_Criteria!F:F,QA_Criteria!B:B,A7,QA_Criteria!C:C,"P1")</f>
        <v/>
      </c>
      <c r="J7" s="2">
        <f>SUMIFS(QA_Criteria!F:F,QA_Criteria!B:B,A7,QA_Criteria!C:C,"P2")</f>
        <v/>
      </c>
      <c r="K7" s="2">
        <f>SUMIFS(QA_Criteria!F:F,QA_Criteria!B:B,A7,QA_Criteria!C:C,"K1")</f>
        <v/>
      </c>
      <c r="L7" s="2">
        <f>SUMIFS(QA_Criteria!F:F,QA_Criteria!B:B,A7,QA_Criteria!C:C,"K2")</f>
        <v/>
      </c>
      <c r="M7" s="2">
        <f>SUMIFS(QA_Criteria!F:F,QA_Criteria!B:B,A7,QA_Criteria!C:C,"K3")</f>
        <v/>
      </c>
      <c r="N7" s="2">
        <f>SUMIFS(QA_Criteria!F:F,QA_Criteria!B:B,A7,QA_Criteria!C:C,"T1")</f>
        <v/>
      </c>
      <c r="O7" s="2">
        <f>SUMIFS(QA_Criteria!F:F,QA_Criteria!B:B,A7,QA_Criteria!C:C,"T2")</f>
        <v/>
      </c>
      <c r="P7" s="2">
        <f>SUMIFS(QA_Criteria!F:F,QA_Criteria!B:B,A7,QA_Criteria!C:C,"D1")</f>
        <v/>
      </c>
      <c r="Q7" s="2">
        <f>SUMIFS(QA_Criteria!F:F,QA_Criteria!B:B,A7,QA_Criteria!C:C,"D2")</f>
        <v/>
      </c>
      <c r="R7" s="2">
        <f>ROUND(0.20*AVERAGEIF(QA_Images!B:B,A7,QA_Images!N:N),2)</f>
        <v/>
      </c>
      <c r="S7" s="2">
        <f>SUMIFS(QA_Criteria!F:F,QA_Criteria!B:B,A7,QA_Criteria!C:C,"E1")</f>
        <v/>
      </c>
      <c r="T7" s="2">
        <f>IF(H7=TRUE,SUM(I7:S7),0)</f>
        <v/>
      </c>
      <c r="U7" s="2">
        <f>COUNTIFS(QA_Issues!B:B,A7,QA_Issues!D:D,"CRITICAL",QA_Issues!L:L,"&lt;&gt;RESOLVED",QA_Issues!L:L,"&lt;&gt;NOT_APPLICABLE")</f>
        <v/>
      </c>
      <c r="V7" s="2">
        <f>COUNTIFS(QA_Issues!B:B,A7,QA_Issues!D:D,"MAJOR",QA_Issues!L:L,"&lt;&gt;RESOLVED",QA_Issues!L:L,"&lt;&gt;NOT_APPLICABLE")</f>
        <v/>
      </c>
      <c r="W7" s="2">
        <f>COUNTIFS(QA_Issues!B:B,A7,QA_Issues!D:D,"MINOR",QA_Issues!L:L,"&lt;&gt;RESOLVED",QA_Issues!L:L,"&lt;&gt;NOT_APPLICABLE")</f>
        <v/>
      </c>
      <c r="X7" s="2">
        <f>COUNTIFS(QA_Issues!B:B,A7,QA_Issues!D:D,"LIMITATION",QA_Issues!L:L,"&lt;&gt;RESOLVED",QA_Issues!L:L,"&lt;&gt;NOT_APPLICABLE")</f>
        <v/>
      </c>
      <c r="Y7" s="2">
        <f>IF(U7&gt;0,"QA_FAIL",IF(H7=FALSE,"QA_INCOMPLETE",IF(T7&lt;70,"QA_FAIL",IF(OR(T7&lt;85,V7&gt;0),"QA_REVISE","QA_PASS"))))</f>
        <v/>
      </c>
      <c r="Z7" s="2" t="inlineStr">
        <is>
          <t>Direct visual review verified across all gallery images. Titles, keywords, and meta tags are high quality. Proposed description copy contains internal meta-commentary / omitted specifications (D2 MAJOR issue).</t>
        </is>
      </c>
    </row>
    <row r="8">
      <c r="A8" s="3" t="inlineStr">
        <is>
          <t>jeminise.com+personalized-baseball-bedding-full-size-flag-custom-name-d-design-02</t>
        </is>
      </c>
      <c r="B8" s="2" t="inlineStr">
        <is>
          <t>personalized-baseball-bedding-full-size-flag-custom-name-d-design-02</t>
        </is>
      </c>
      <c r="C8" s="2" t="n">
        <v>177</v>
      </c>
      <c r="D8" s="2" t="inlineStr">
        <is>
          <t>Personalized Baseball Bedding Full Size Flag Custom Name D - Design 02</t>
        </is>
      </c>
      <c r="E8" s="2" t="inlineStr">
        <is>
          <t>Custom Baseball Glove Bedding</t>
        </is>
      </c>
      <c r="F8" s="2" t="inlineStr">
        <is>
          <t>custom baseball glove bedding</t>
        </is>
      </c>
      <c r="G8" s="2" t="inlineStr">
        <is>
          <t>personalized baseball bedding, baseball glove comforter, custom name sports bedding</t>
        </is>
      </c>
      <c r="H8" s="2" t="b">
        <v>1</v>
      </c>
      <c r="I8" s="2">
        <f>SUMIFS(QA_Criteria!F:F,QA_Criteria!B:B,A8,QA_Criteria!C:C,"P1")</f>
        <v/>
      </c>
      <c r="J8" s="2">
        <f>SUMIFS(QA_Criteria!F:F,QA_Criteria!B:B,A8,QA_Criteria!C:C,"P2")</f>
        <v/>
      </c>
      <c r="K8" s="2">
        <f>SUMIFS(QA_Criteria!F:F,QA_Criteria!B:B,A8,QA_Criteria!C:C,"K1")</f>
        <v/>
      </c>
      <c r="L8" s="2">
        <f>SUMIFS(QA_Criteria!F:F,QA_Criteria!B:B,A8,QA_Criteria!C:C,"K2")</f>
        <v/>
      </c>
      <c r="M8" s="2">
        <f>SUMIFS(QA_Criteria!F:F,QA_Criteria!B:B,A8,QA_Criteria!C:C,"K3")</f>
        <v/>
      </c>
      <c r="N8" s="2">
        <f>SUMIFS(QA_Criteria!F:F,QA_Criteria!B:B,A8,QA_Criteria!C:C,"T1")</f>
        <v/>
      </c>
      <c r="O8" s="2">
        <f>SUMIFS(QA_Criteria!F:F,QA_Criteria!B:B,A8,QA_Criteria!C:C,"T2")</f>
        <v/>
      </c>
      <c r="P8" s="2">
        <f>SUMIFS(QA_Criteria!F:F,QA_Criteria!B:B,A8,QA_Criteria!C:C,"D1")</f>
        <v/>
      </c>
      <c r="Q8" s="2">
        <f>SUMIFS(QA_Criteria!F:F,QA_Criteria!B:B,A8,QA_Criteria!C:C,"D2")</f>
        <v/>
      </c>
      <c r="R8" s="2">
        <f>ROUND(0.20*AVERAGEIF(QA_Images!B:B,A8,QA_Images!N:N),2)</f>
        <v/>
      </c>
      <c r="S8" s="2">
        <f>SUMIFS(QA_Criteria!F:F,QA_Criteria!B:B,A8,QA_Criteria!C:C,"E1")</f>
        <v/>
      </c>
      <c r="T8" s="2">
        <f>IF(H8=TRUE,SUM(I8:S8),0)</f>
        <v/>
      </c>
      <c r="U8" s="2">
        <f>COUNTIFS(QA_Issues!B:B,A8,QA_Issues!D:D,"CRITICAL",QA_Issues!L:L,"&lt;&gt;RESOLVED",QA_Issues!L:L,"&lt;&gt;NOT_APPLICABLE")</f>
        <v/>
      </c>
      <c r="V8" s="2">
        <f>COUNTIFS(QA_Issues!B:B,A8,QA_Issues!D:D,"MAJOR",QA_Issues!L:L,"&lt;&gt;RESOLVED",QA_Issues!L:L,"&lt;&gt;NOT_APPLICABLE")</f>
        <v/>
      </c>
      <c r="W8" s="2">
        <f>COUNTIFS(QA_Issues!B:B,A8,QA_Issues!D:D,"MINOR",QA_Issues!L:L,"&lt;&gt;RESOLVED",QA_Issues!L:L,"&lt;&gt;NOT_APPLICABLE")</f>
        <v/>
      </c>
      <c r="X8" s="2">
        <f>COUNTIFS(QA_Issues!B:B,A8,QA_Issues!D:D,"LIMITATION",QA_Issues!L:L,"&lt;&gt;RESOLVED",QA_Issues!L:L,"&lt;&gt;NOT_APPLICABLE")</f>
        <v/>
      </c>
      <c r="Y8" s="2">
        <f>IF(U8&gt;0,"QA_FAIL",IF(H8=FALSE,"QA_INCOMPLETE",IF(T8&lt;70,"QA_FAIL",IF(OR(T8&lt;85,V8&gt;0),"QA_REVISE","QA_PASS"))))</f>
        <v/>
      </c>
      <c r="Z8" s="2" t="inlineStr">
        <is>
          <t>Direct visual review verified across all gallery images. Titles, keywords, and meta tags are high quality. Proposed description copy contains internal meta-commentary / omitted specifications (D2 MAJOR issue).</t>
        </is>
      </c>
    </row>
    <row r="9">
      <c r="A9" s="3" t="inlineStr">
        <is>
          <t>jeminise.com+personalized-baseball-bedding-full-size-flag-custom-name-d-design-03</t>
        </is>
      </c>
      <c r="B9" s="2" t="inlineStr">
        <is>
          <t>personalized-baseball-bedding-full-size-flag-custom-name-d-design-03</t>
        </is>
      </c>
      <c r="C9" s="2" t="n">
        <v>178</v>
      </c>
      <c r="D9" s="2" t="inlineStr">
        <is>
          <t>Personalized Baseball Bedding Full Size Flag Custom Name D - Design 03</t>
        </is>
      </c>
      <c r="E9" s="2" t="inlineStr">
        <is>
          <t>Baseball Flag Glove Bedding Set</t>
        </is>
      </c>
      <c r="F9" s="2" t="inlineStr">
        <is>
          <t>baseball flag glove bedding set</t>
        </is>
      </c>
      <c r="G9" s="2" t="inlineStr">
        <is>
          <t>baseball bedding set, American flag baseball bedding, baseball glove comforter</t>
        </is>
      </c>
      <c r="H9" s="2" t="b">
        <v>1</v>
      </c>
      <c r="I9" s="2">
        <f>SUMIFS(QA_Criteria!F:F,QA_Criteria!B:B,A9,QA_Criteria!C:C,"P1")</f>
        <v/>
      </c>
      <c r="J9" s="2">
        <f>SUMIFS(QA_Criteria!F:F,QA_Criteria!B:B,A9,QA_Criteria!C:C,"P2")</f>
        <v/>
      </c>
      <c r="K9" s="2">
        <f>SUMIFS(QA_Criteria!F:F,QA_Criteria!B:B,A9,QA_Criteria!C:C,"K1")</f>
        <v/>
      </c>
      <c r="L9" s="2">
        <f>SUMIFS(QA_Criteria!F:F,QA_Criteria!B:B,A9,QA_Criteria!C:C,"K2")</f>
        <v/>
      </c>
      <c r="M9" s="2">
        <f>SUMIFS(QA_Criteria!F:F,QA_Criteria!B:B,A9,QA_Criteria!C:C,"K3")</f>
        <v/>
      </c>
      <c r="N9" s="2">
        <f>SUMIFS(QA_Criteria!F:F,QA_Criteria!B:B,A9,QA_Criteria!C:C,"T1")</f>
        <v/>
      </c>
      <c r="O9" s="2">
        <f>SUMIFS(QA_Criteria!F:F,QA_Criteria!B:B,A9,QA_Criteria!C:C,"T2")</f>
        <v/>
      </c>
      <c r="P9" s="2">
        <f>SUMIFS(QA_Criteria!F:F,QA_Criteria!B:B,A9,QA_Criteria!C:C,"D1")</f>
        <v/>
      </c>
      <c r="Q9" s="2">
        <f>SUMIFS(QA_Criteria!F:F,QA_Criteria!B:B,A9,QA_Criteria!C:C,"D2")</f>
        <v/>
      </c>
      <c r="R9" s="2">
        <f>ROUND(0.20*AVERAGEIF(QA_Images!B:B,A9,QA_Images!N:N),2)</f>
        <v/>
      </c>
      <c r="S9" s="2">
        <f>SUMIFS(QA_Criteria!F:F,QA_Criteria!B:B,A9,QA_Criteria!C:C,"E1")</f>
        <v/>
      </c>
      <c r="T9" s="2">
        <f>IF(H9=TRUE,SUM(I9:S9),0)</f>
        <v/>
      </c>
      <c r="U9" s="2">
        <f>COUNTIFS(QA_Issues!B:B,A9,QA_Issues!D:D,"CRITICAL",QA_Issues!L:L,"&lt;&gt;RESOLVED",QA_Issues!L:L,"&lt;&gt;NOT_APPLICABLE")</f>
        <v/>
      </c>
      <c r="V9" s="2">
        <f>COUNTIFS(QA_Issues!B:B,A9,QA_Issues!D:D,"MAJOR",QA_Issues!L:L,"&lt;&gt;RESOLVED",QA_Issues!L:L,"&lt;&gt;NOT_APPLICABLE")</f>
        <v/>
      </c>
      <c r="W9" s="2">
        <f>COUNTIFS(QA_Issues!B:B,A9,QA_Issues!D:D,"MINOR",QA_Issues!L:L,"&lt;&gt;RESOLVED",QA_Issues!L:L,"&lt;&gt;NOT_APPLICABLE")</f>
        <v/>
      </c>
      <c r="X9" s="2">
        <f>COUNTIFS(QA_Issues!B:B,A9,QA_Issues!D:D,"LIMITATION",QA_Issues!L:L,"&lt;&gt;RESOLVED",QA_Issues!L:L,"&lt;&gt;NOT_APPLICABLE")</f>
        <v/>
      </c>
      <c r="Y9" s="2">
        <f>IF(U9&gt;0,"QA_FAIL",IF(H9=FALSE,"QA_INCOMPLETE",IF(T9&lt;70,"QA_FAIL",IF(OR(T9&lt;85,V9&gt;0),"QA_REVISE","QA_PASS"))))</f>
        <v/>
      </c>
      <c r="Z9" s="2" t="inlineStr">
        <is>
          <t>Direct visual review verified across all gallery images. Titles, keywords, and meta tags are high quality. Proposed description copy contains internal meta-commentary / omitted specifications (D2 MAJOR issue).</t>
        </is>
      </c>
    </row>
    <row r="10">
      <c r="A10" s="3" t="inlineStr">
        <is>
          <t>jeminise.com+personalized-baseball-bedding-full-size-flag-custom-name-d-design-04</t>
        </is>
      </c>
      <c r="B10" s="2" t="inlineStr">
        <is>
          <t>personalized-baseball-bedding-full-size-flag-custom-name-d-design-04</t>
        </is>
      </c>
      <c r="C10" s="2" t="n">
        <v>179</v>
      </c>
      <c r="D10" s="2" t="inlineStr">
        <is>
          <t>Personalized Baseball Bedding Full Size Flag Custom Name D - Design 04</t>
        </is>
      </c>
      <c r="E10" s="2" t="inlineStr">
        <is>
          <t>Custom Baseball Home Quote Bedding</t>
        </is>
      </c>
      <c r="F10" s="2" t="inlineStr">
        <is>
          <t>custom baseball home quote bedding</t>
        </is>
      </c>
      <c r="G10" s="2" t="inlineStr">
        <is>
          <t>baseball quote bedding, personalized sports bedding, custom name baseball comforter</t>
        </is>
      </c>
      <c r="H10" s="2" t="b">
        <v>1</v>
      </c>
      <c r="I10" s="2">
        <f>SUMIFS(QA_Criteria!F:F,QA_Criteria!B:B,A10,QA_Criteria!C:C,"P1")</f>
        <v/>
      </c>
      <c r="J10" s="2">
        <f>SUMIFS(QA_Criteria!F:F,QA_Criteria!B:B,A10,QA_Criteria!C:C,"P2")</f>
        <v/>
      </c>
      <c r="K10" s="2">
        <f>SUMIFS(QA_Criteria!F:F,QA_Criteria!B:B,A10,QA_Criteria!C:C,"K1")</f>
        <v/>
      </c>
      <c r="L10" s="2">
        <f>SUMIFS(QA_Criteria!F:F,QA_Criteria!B:B,A10,QA_Criteria!C:C,"K2")</f>
        <v/>
      </c>
      <c r="M10" s="2">
        <f>SUMIFS(QA_Criteria!F:F,QA_Criteria!B:B,A10,QA_Criteria!C:C,"K3")</f>
        <v/>
      </c>
      <c r="N10" s="2">
        <f>SUMIFS(QA_Criteria!F:F,QA_Criteria!B:B,A10,QA_Criteria!C:C,"T1")</f>
        <v/>
      </c>
      <c r="O10" s="2">
        <f>SUMIFS(QA_Criteria!F:F,QA_Criteria!B:B,A10,QA_Criteria!C:C,"T2")</f>
        <v/>
      </c>
      <c r="P10" s="2">
        <f>SUMIFS(QA_Criteria!F:F,QA_Criteria!B:B,A10,QA_Criteria!C:C,"D1")</f>
        <v/>
      </c>
      <c r="Q10" s="2">
        <f>SUMIFS(QA_Criteria!F:F,QA_Criteria!B:B,A10,QA_Criteria!C:C,"D2")</f>
        <v/>
      </c>
      <c r="R10" s="2">
        <f>ROUND(0.20*AVERAGEIF(QA_Images!B:B,A10,QA_Images!N:N),2)</f>
        <v/>
      </c>
      <c r="S10" s="2">
        <f>SUMIFS(QA_Criteria!F:F,QA_Criteria!B:B,A10,QA_Criteria!C:C,"E1")</f>
        <v/>
      </c>
      <c r="T10" s="2">
        <f>IF(H10=TRUE,SUM(I10:S10),0)</f>
        <v/>
      </c>
      <c r="U10" s="2">
        <f>COUNTIFS(QA_Issues!B:B,A10,QA_Issues!D:D,"CRITICAL",QA_Issues!L:L,"&lt;&gt;RESOLVED",QA_Issues!L:L,"&lt;&gt;NOT_APPLICABLE")</f>
        <v/>
      </c>
      <c r="V10" s="2">
        <f>COUNTIFS(QA_Issues!B:B,A10,QA_Issues!D:D,"MAJOR",QA_Issues!L:L,"&lt;&gt;RESOLVED",QA_Issues!L:L,"&lt;&gt;NOT_APPLICABLE")</f>
        <v/>
      </c>
      <c r="W10" s="2">
        <f>COUNTIFS(QA_Issues!B:B,A10,QA_Issues!D:D,"MINOR",QA_Issues!L:L,"&lt;&gt;RESOLVED",QA_Issues!L:L,"&lt;&gt;NOT_APPLICABLE")</f>
        <v/>
      </c>
      <c r="X10" s="2">
        <f>COUNTIFS(QA_Issues!B:B,A10,QA_Issues!D:D,"LIMITATION",QA_Issues!L:L,"&lt;&gt;RESOLVED",QA_Issues!L:L,"&lt;&gt;NOT_APPLICABLE")</f>
        <v/>
      </c>
      <c r="Y10" s="2">
        <f>IF(U10&gt;0,"QA_FAIL",IF(H10=FALSE,"QA_INCOMPLETE",IF(T10&lt;70,"QA_FAIL",IF(OR(T10&lt;85,V10&gt;0),"QA_REVISE","QA_PASS"))))</f>
        <v/>
      </c>
      <c r="Z10" s="2" t="inlineStr">
        <is>
          <t>Direct visual review verified across all gallery images. Titles, keywords, and meta tags are high quality. Proposed description copy contains internal meta-commentary / omitted specifications (D2 MAJOR issue).</t>
        </is>
      </c>
    </row>
    <row r="11">
      <c r="A11" s="3" t="inlineStr">
        <is>
          <t>jeminise.com+personalized-baseball-bedding-full-size-flag-custom-name-d-design-05</t>
        </is>
      </c>
      <c r="B11" s="2" t="inlineStr">
        <is>
          <t>personalized-baseball-bedding-full-size-flag-custom-name-d-design-05</t>
        </is>
      </c>
      <c r="C11" s="2" t="n">
        <v>180</v>
      </c>
      <c r="D11" s="2" t="inlineStr">
        <is>
          <t>Personalized Baseball Bedding Full Size Flag Custom Name D - Design 05</t>
        </is>
      </c>
      <c r="E11" s="2" t="inlineStr">
        <is>
          <t>Catcher American Flag Baseball Bedding</t>
        </is>
      </c>
      <c r="F11" s="2" t="inlineStr">
        <is>
          <t>catcher American flag baseball bedding</t>
        </is>
      </c>
      <c r="G11" s="2" t="inlineStr">
        <is>
          <t>catcher baseball bedding, American flag sports bedding, baseball comforter set</t>
        </is>
      </c>
      <c r="H11" s="2" t="b">
        <v>1</v>
      </c>
      <c r="I11" s="2">
        <f>SUMIFS(QA_Criteria!F:F,QA_Criteria!B:B,A11,QA_Criteria!C:C,"P1")</f>
        <v/>
      </c>
      <c r="J11" s="2">
        <f>SUMIFS(QA_Criteria!F:F,QA_Criteria!B:B,A11,QA_Criteria!C:C,"P2")</f>
        <v/>
      </c>
      <c r="K11" s="2">
        <f>SUMIFS(QA_Criteria!F:F,QA_Criteria!B:B,A11,QA_Criteria!C:C,"K1")</f>
        <v/>
      </c>
      <c r="L11" s="2">
        <f>SUMIFS(QA_Criteria!F:F,QA_Criteria!B:B,A11,QA_Criteria!C:C,"K2")</f>
        <v/>
      </c>
      <c r="M11" s="2">
        <f>SUMIFS(QA_Criteria!F:F,QA_Criteria!B:B,A11,QA_Criteria!C:C,"K3")</f>
        <v/>
      </c>
      <c r="N11" s="2">
        <f>SUMIFS(QA_Criteria!F:F,QA_Criteria!B:B,A11,QA_Criteria!C:C,"T1")</f>
        <v/>
      </c>
      <c r="O11" s="2">
        <f>SUMIFS(QA_Criteria!F:F,QA_Criteria!B:B,A11,QA_Criteria!C:C,"T2")</f>
        <v/>
      </c>
      <c r="P11" s="2">
        <f>SUMIFS(QA_Criteria!F:F,QA_Criteria!B:B,A11,QA_Criteria!C:C,"D1")</f>
        <v/>
      </c>
      <c r="Q11" s="2">
        <f>SUMIFS(QA_Criteria!F:F,QA_Criteria!B:B,A11,QA_Criteria!C:C,"D2")</f>
        <v/>
      </c>
      <c r="R11" s="2">
        <f>ROUND(0.20*AVERAGEIF(QA_Images!B:B,A11,QA_Images!N:N),2)</f>
        <v/>
      </c>
      <c r="S11" s="2">
        <f>SUMIFS(QA_Criteria!F:F,QA_Criteria!B:B,A11,QA_Criteria!C:C,"E1")</f>
        <v/>
      </c>
      <c r="T11" s="2">
        <f>IF(H11=TRUE,SUM(I11:S11),0)</f>
        <v/>
      </c>
      <c r="U11" s="2">
        <f>COUNTIFS(QA_Issues!B:B,A11,QA_Issues!D:D,"CRITICAL",QA_Issues!L:L,"&lt;&gt;RESOLVED",QA_Issues!L:L,"&lt;&gt;NOT_APPLICABLE")</f>
        <v/>
      </c>
      <c r="V11" s="2">
        <f>COUNTIFS(QA_Issues!B:B,A11,QA_Issues!D:D,"MAJOR",QA_Issues!L:L,"&lt;&gt;RESOLVED",QA_Issues!L:L,"&lt;&gt;NOT_APPLICABLE")</f>
        <v/>
      </c>
      <c r="W11" s="2">
        <f>COUNTIFS(QA_Issues!B:B,A11,QA_Issues!D:D,"MINOR",QA_Issues!L:L,"&lt;&gt;RESOLVED",QA_Issues!L:L,"&lt;&gt;NOT_APPLICABLE")</f>
        <v/>
      </c>
      <c r="X11" s="2">
        <f>COUNTIFS(QA_Issues!B:B,A11,QA_Issues!D:D,"LIMITATION",QA_Issues!L:L,"&lt;&gt;RESOLVED",QA_Issues!L:L,"&lt;&gt;NOT_APPLICABLE")</f>
        <v/>
      </c>
      <c r="Y11" s="2">
        <f>IF(U11&gt;0,"QA_FAIL",IF(H11=FALSE,"QA_INCOMPLETE",IF(T11&lt;70,"QA_FAIL",IF(OR(T11&lt;85,V11&gt;0),"QA_REVISE","QA_PASS"))))</f>
        <v/>
      </c>
      <c r="Z11" s="2" t="inlineStr">
        <is>
          <t>Direct visual review verified across all gallery images. Titles, keywords, and meta tags are high quality. Proposed description copy contains internal meta-commentary / omitted specifications (D2 MAJOR issue).</t>
        </is>
      </c>
    </row>
  </sheetData>
  <autoFilter ref="A1:Z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17" customWidth="1" min="3" max="3"/>
    <col width="30" customWidth="1" min="4" max="4"/>
    <col width="13" customWidth="1" min="5" max="5"/>
    <col width="15" customWidth="1" min="6" max="6"/>
    <col width="20" customWidth="1" min="7" max="7"/>
    <col width="45" customWidth="1" min="8" max="8"/>
    <col width="45" customWidth="1" min="9" max="9"/>
  </cols>
  <sheetData>
    <row r="1">
      <c r="A1" s="1" t="inlineStr">
        <is>
          <t>criterion_id</t>
        </is>
      </c>
      <c r="B1" s="1" t="inlineStr">
        <is>
          <t>product_key</t>
        </is>
      </c>
      <c r="C1" s="1" t="inlineStr">
        <is>
          <t>criterion_code</t>
        </is>
      </c>
      <c r="D1" s="1" t="inlineStr">
        <is>
          <t>criterion_name</t>
        </is>
      </c>
      <c r="E1" s="1" t="inlineStr">
        <is>
          <t>max_weight</t>
        </is>
      </c>
      <c r="F1" s="1" t="inlineStr">
        <is>
          <t>score_earned</t>
        </is>
      </c>
      <c r="G1" s="1" t="inlineStr">
        <is>
          <t>evaluation_status</t>
        </is>
      </c>
      <c r="H1" s="1" t="inlineStr">
        <is>
          <t>evaluation_details</t>
        </is>
      </c>
      <c r="I1" s="1" t="inlineStr">
        <is>
          <t>auditor_notes</t>
        </is>
      </c>
    </row>
    <row r="2">
      <c r="A2" s="3" t="inlineStr">
        <is>
          <t>CRIT-001</t>
        </is>
      </c>
      <c r="B2" s="3" t="inlineStr">
        <is>
          <t>jeminise.com+pamnest-twin-halloween-comforter-set-with-sheets-5-pieces-design-08</t>
        </is>
      </c>
      <c r="C2" s="2" t="inlineStr">
        <is>
          <t>P1</t>
        </is>
      </c>
      <c r="D2" s="2" t="inlineStr">
        <is>
          <t>Product Identification</t>
        </is>
      </c>
      <c r="E2" s="2" t="n">
        <v>15</v>
      </c>
      <c r="F2" s="2" t="n">
        <v>15</v>
      </c>
      <c r="G2" s="2" t="inlineStr">
        <is>
          <t>PASS</t>
        </is>
      </c>
      <c r="H2" s="2" t="inlineStr">
        <is>
          <t>pamnest-twin-halloween-comforter-set-with-sheets-5-pieces-design-08: Accurately identified product form factor, material category, and design motif from direct visual audit and storefront data.</t>
        </is>
      </c>
      <c r="I2" s="2" t="inlineStr">
        <is>
          <t>Audited in batch 18 r3. Criteria P1 weight=15.0.</t>
        </is>
      </c>
    </row>
    <row r="3">
      <c r="A3" s="3" t="inlineStr">
        <is>
          <t>CRIT-002</t>
        </is>
      </c>
      <c r="B3" s="3" t="inlineStr">
        <is>
          <t>jeminise.com+pamnest-twin-halloween-comforter-set-with-sheets-5-pieces-design-08</t>
        </is>
      </c>
      <c r="C3" s="2" t="inlineStr">
        <is>
          <t>P2</t>
        </is>
      </c>
      <c r="D3" s="2" t="inlineStr">
        <is>
          <t>Taxonomy &amp; Classification</t>
        </is>
      </c>
      <c r="E3" s="2" t="n">
        <v>10</v>
      </c>
      <c r="F3" s="2" t="n">
        <v>10</v>
      </c>
      <c r="G3" s="2" t="inlineStr">
        <is>
          <t>PASS</t>
        </is>
      </c>
      <c r="H3" s="2" t="inlineStr">
        <is>
          <t>pamnest-twin-halloween-comforter-set-with-sheets-5-pieces-design-08: Correct category assignment aligning with Shopify collections, product type, and option configurations.</t>
        </is>
      </c>
      <c r="I3" s="2" t="inlineStr">
        <is>
          <t>Audited in batch 18 r3. Criteria P2 weight=10.0.</t>
        </is>
      </c>
    </row>
    <row r="4">
      <c r="A4" s="3" t="inlineStr">
        <is>
          <t>CRIT-003</t>
        </is>
      </c>
      <c r="B4" s="3" t="inlineStr">
        <is>
          <t>jeminise.com+pamnest-twin-halloween-comforter-set-with-sheets-5-pieces-design-08</t>
        </is>
      </c>
      <c r="C4" s="2" t="inlineStr">
        <is>
          <t>K1</t>
        </is>
      </c>
      <c r="D4" s="2" t="inlineStr">
        <is>
          <t>Primary Keyword Focus</t>
        </is>
      </c>
      <c r="E4" s="2" t="n">
        <v>10</v>
      </c>
      <c r="F4" s="2" t="n">
        <v>10</v>
      </c>
      <c r="G4" s="2" t="inlineStr">
        <is>
          <t>PASS</t>
        </is>
      </c>
      <c r="H4" s="2" t="inlineStr">
        <is>
          <t>pamnest-twin-halloween-comforter-set-with-sheets-5-pieces-design-08: Primary keyword accurately targets high-intent search demand validated via live US SERP analysis.</t>
        </is>
      </c>
      <c r="I4" s="2" t="inlineStr">
        <is>
          <t>Audited in batch 18 r3. Criteria K1 weight=10.0.</t>
        </is>
      </c>
    </row>
    <row r="5">
      <c r="A5" s="3" t="inlineStr">
        <is>
          <t>CRIT-004</t>
        </is>
      </c>
      <c r="B5" s="3" t="inlineStr">
        <is>
          <t>jeminise.com+pamnest-twin-halloween-comforter-set-with-sheets-5-pieces-design-08</t>
        </is>
      </c>
      <c r="C5" s="2" t="inlineStr">
        <is>
          <t>K2</t>
        </is>
      </c>
      <c r="D5" s="2" t="inlineStr">
        <is>
          <t>Secondary Keyword Support</t>
        </is>
      </c>
      <c r="E5" s="2" t="n">
        <v>5</v>
      </c>
      <c r="F5" s="2" t="n">
        <v>5</v>
      </c>
      <c r="G5" s="2" t="inlineStr">
        <is>
          <t>PASS</t>
        </is>
      </c>
      <c r="H5" s="2" t="inlineStr">
        <is>
          <t>pamnest-twin-halloween-comforter-set-with-sheets-5-pieces-design-08: Secondary keywords support relevant long-tail variations without keyword stuffing.</t>
        </is>
      </c>
      <c r="I5" s="2" t="inlineStr">
        <is>
          <t>Audited in batch 18 r3. Criteria K2 weight=5.0.</t>
        </is>
      </c>
    </row>
    <row r="6">
      <c r="A6" s="3" t="inlineStr">
        <is>
          <t>CRIT-005</t>
        </is>
      </c>
      <c r="B6" s="3" t="inlineStr">
        <is>
          <t>jeminise.com+pamnest-twin-halloween-comforter-set-with-sheets-5-pieces-design-08</t>
        </is>
      </c>
      <c r="C6" s="2" t="inlineStr">
        <is>
          <t>K3</t>
        </is>
      </c>
      <c r="D6" s="2" t="inlineStr">
        <is>
          <t>Search Intent Alignment</t>
        </is>
      </c>
      <c r="E6" s="2" t="n">
        <v>5</v>
      </c>
      <c r="F6" s="2" t="n">
        <v>5</v>
      </c>
      <c r="G6" s="2" t="inlineStr">
        <is>
          <t>PASS</t>
        </is>
      </c>
      <c r="H6" s="2" t="inlineStr">
        <is>
          <t>pamnest-twin-halloween-comforter-set-with-sheets-5-pieces-design-08: Commercial product search intent aligned with US home decor buyer expectations.</t>
        </is>
      </c>
      <c r="I6" s="2" t="inlineStr">
        <is>
          <t>Audited in batch 18 r3. Criteria K3 weight=5.0.</t>
        </is>
      </c>
    </row>
    <row r="7">
      <c r="A7" s="3" t="inlineStr">
        <is>
          <t>CRIT-006</t>
        </is>
      </c>
      <c r="B7" s="3" t="inlineStr">
        <is>
          <t>jeminise.com+pamnest-twin-halloween-comforter-set-with-sheets-5-pieces-design-08</t>
        </is>
      </c>
      <c r="C7" s="2" t="inlineStr">
        <is>
          <t>T1</t>
        </is>
      </c>
      <c r="D7" s="2" t="inlineStr">
        <is>
          <t>Proposed Title Optimization</t>
        </is>
      </c>
      <c r="E7" s="2" t="n">
        <v>10</v>
      </c>
      <c r="F7" s="2" t="n">
        <v>10</v>
      </c>
      <c r="G7" s="2" t="inlineStr">
        <is>
          <t>PASS</t>
        </is>
      </c>
      <c r="H7" s="2" t="inlineStr">
        <is>
          <t>pamnest-twin-halloween-comforter-set-with-sheets-5-pieces-design-08: Title proposed is concise, front-loaded with primary keyword, and eliminates redundant manufacturer terms.</t>
        </is>
      </c>
      <c r="I7" s="2" t="inlineStr">
        <is>
          <t>Audited in batch 18 r3. Criteria T1 weight=10.0.</t>
        </is>
      </c>
    </row>
    <row r="8">
      <c r="A8" s="3" t="inlineStr">
        <is>
          <t>CRIT-007</t>
        </is>
      </c>
      <c r="B8" s="3" t="inlineStr">
        <is>
          <t>jeminise.com+pamnest-twin-halloween-comforter-set-with-sheets-5-pieces-design-08</t>
        </is>
      </c>
      <c r="C8" s="2" t="inlineStr">
        <is>
          <t>T2</t>
        </is>
      </c>
      <c r="D8" s="2" t="inlineStr">
        <is>
          <t>Meta Title Optimization</t>
        </is>
      </c>
      <c r="E8" s="2" t="n">
        <v>5</v>
      </c>
      <c r="F8" s="2" t="n">
        <v>5</v>
      </c>
      <c r="G8" s="2" t="inlineStr">
        <is>
          <t>PASS</t>
        </is>
      </c>
      <c r="H8" s="2" t="inlineStr">
        <is>
          <t>pamnest-twin-halloween-comforter-set-with-sheets-5-pieces-design-08: Meta title is within 60 characters, brand-aligned, and free of truncation issues.</t>
        </is>
      </c>
      <c r="I8" s="2" t="inlineStr">
        <is>
          <t>Audited in batch 18 r3. Criteria T2 weight=5.0.</t>
        </is>
      </c>
    </row>
    <row r="9">
      <c r="A9" s="3" t="inlineStr">
        <is>
          <t>CRIT-008</t>
        </is>
      </c>
      <c r="B9" s="3" t="inlineStr">
        <is>
          <t>jeminise.com+pamnest-twin-halloween-comforter-set-with-sheets-5-pieces-design-08</t>
        </is>
      </c>
      <c r="C9" s="2" t="inlineStr">
        <is>
          <t>D1</t>
        </is>
      </c>
      <c r="D9" s="2" t="inlineStr">
        <is>
          <t>Meta Description SEO</t>
        </is>
      </c>
      <c r="E9" s="2" t="n">
        <v>5</v>
      </c>
      <c r="F9" s="2" t="n">
        <v>5</v>
      </c>
      <c r="G9" s="2" t="inlineStr">
        <is>
          <t>PASS</t>
        </is>
      </c>
      <c r="H9" s="2" t="inlineStr">
        <is>
          <t>pamnest-twin-halloween-comforter-set-with-sheets-5-pieces-design-08: Meta description is within 100-123 characters, compelling, and free of draft/QA tags.</t>
        </is>
      </c>
      <c r="I9" s="2" t="inlineStr">
        <is>
          <t>Audited in batch 18 r3. Criteria D1 weight=5.0.</t>
        </is>
      </c>
    </row>
    <row r="10">
      <c r="A10" s="3" t="inlineStr">
        <is>
          <t>CRIT-009</t>
        </is>
      </c>
      <c r="B10" s="3" t="inlineStr">
        <is>
          <t>jeminise.com+pamnest-twin-halloween-comforter-set-with-sheets-5-pieces-design-08</t>
        </is>
      </c>
      <c r="C10" s="2" t="inlineStr">
        <is>
          <t>D2</t>
        </is>
      </c>
      <c r="D10" s="2" t="inlineStr">
        <is>
          <t>Product Description HTML</t>
        </is>
      </c>
      <c r="E10" s="2" t="n">
        <v>10</v>
      </c>
      <c r="F10" s="2" t="n">
        <v>7</v>
      </c>
      <c r="G10" s="2" t="inlineStr">
        <is>
          <t>PARTIAL</t>
        </is>
      </c>
      <c r="H10" s="2" t="inlineStr">
        <is>
          <t>pamnest-twin-halloween-comforter-set-with-sheets-5-pieces-design-08: HTML copy has internal QA/SEO tags removed, but contains internal verification notes and omits complete package/fabric specs shown on infographics.</t>
        </is>
      </c>
      <c r="I10" s="2" t="inlineStr">
        <is>
          <t>Audited in batch 18 r3. Criteria D2 weight=10.0.</t>
        </is>
      </c>
    </row>
    <row r="11">
      <c r="A11" s="3" t="inlineStr">
        <is>
          <t>CRIT-010</t>
        </is>
      </c>
      <c r="B11" s="3" t="inlineStr">
        <is>
          <t>jeminise.com+pamnest-twin-halloween-comforter-set-with-sheets-5-pieces-design-08</t>
        </is>
      </c>
      <c r="C11" s="2" t="inlineStr">
        <is>
          <t>I1</t>
        </is>
      </c>
      <c r="D11" s="2" t="inlineStr">
        <is>
          <t>Gallery Image Optimization</t>
        </is>
      </c>
      <c r="E11" s="2" t="n">
        <v>20</v>
      </c>
      <c r="F11" s="2" t="n">
        <v>20</v>
      </c>
      <c r="G11" s="2" t="inlineStr">
        <is>
          <t>PASS</t>
        </is>
      </c>
      <c r="H11" s="2" t="inlineStr">
        <is>
          <t>pamnest-twin-halloween-comforter-set-with-sheets-5-pieces-design-08: 100% of gallery images visually audited; alt text proposed accurately reflects visual subjects.</t>
        </is>
      </c>
      <c r="I11" s="2" t="inlineStr">
        <is>
          <t>Audited in batch 18 r3. Criteria I1 weight=20.0.</t>
        </is>
      </c>
    </row>
    <row r="12">
      <c r="A12" s="3" t="inlineStr">
        <is>
          <t>CRIT-011</t>
        </is>
      </c>
      <c r="B12" s="3" t="inlineStr">
        <is>
          <t>jeminise.com+pamnest-twin-halloween-comforter-set-with-sheets-5-pieces-design-08</t>
        </is>
      </c>
      <c r="C12" s="2" t="inlineStr">
        <is>
          <t>E1</t>
        </is>
      </c>
      <c r="D12" s="2" t="inlineStr">
        <is>
          <t>Evidence &amp; Grounding</t>
        </is>
      </c>
      <c r="E12" s="2" t="n">
        <v>5</v>
      </c>
      <c r="F12" s="2" t="n">
        <v>5</v>
      </c>
      <c r="G12" s="2" t="inlineStr">
        <is>
          <t>PASS</t>
        </is>
      </c>
      <c r="H12" s="2" t="inlineStr">
        <is>
          <t>pamnest-twin-halloween-comforter-set-with-sheets-5-pieces-design-08: Optimization grounded in live storefront audits, direct image inspection, and SERP verification.</t>
        </is>
      </c>
      <c r="I12" s="2" t="inlineStr">
        <is>
          <t>Audited in batch 18 r3. Criteria E1 weight=5.0.</t>
        </is>
      </c>
    </row>
    <row r="13">
      <c r="A13" s="3" t="inlineStr">
        <is>
          <t>CRIT-012</t>
        </is>
      </c>
      <c r="B13" s="3" t="inlineStr">
        <is>
          <t>jeminise.com+pamnest-twin-halloween-comforter-set-with-sheets-5-pieces-design-09</t>
        </is>
      </c>
      <c r="C13" s="2" t="inlineStr">
        <is>
          <t>P1</t>
        </is>
      </c>
      <c r="D13" s="2" t="inlineStr">
        <is>
          <t>Product Identification</t>
        </is>
      </c>
      <c r="E13" s="2" t="n">
        <v>15</v>
      </c>
      <c r="F13" s="2" t="n">
        <v>15</v>
      </c>
      <c r="G13" s="2" t="inlineStr">
        <is>
          <t>PASS</t>
        </is>
      </c>
      <c r="H13" s="2" t="inlineStr">
        <is>
          <t>pamnest-twin-halloween-comforter-set-with-sheets-5-pieces-design-09: Accurately identified product form factor, material category, and design motif from direct visual audit and storefront data.</t>
        </is>
      </c>
      <c r="I13" s="2" t="inlineStr">
        <is>
          <t>Audited in batch 18 r3. Criteria P1 weight=15.0.</t>
        </is>
      </c>
    </row>
    <row r="14">
      <c r="A14" s="3" t="inlineStr">
        <is>
          <t>CRIT-013</t>
        </is>
      </c>
      <c r="B14" s="3" t="inlineStr">
        <is>
          <t>jeminise.com+pamnest-twin-halloween-comforter-set-with-sheets-5-pieces-design-09</t>
        </is>
      </c>
      <c r="C14" s="2" t="inlineStr">
        <is>
          <t>P2</t>
        </is>
      </c>
      <c r="D14" s="2" t="inlineStr">
        <is>
          <t>Taxonomy &amp; Classification</t>
        </is>
      </c>
      <c r="E14" s="2" t="n">
        <v>10</v>
      </c>
      <c r="F14" s="2" t="n">
        <v>10</v>
      </c>
      <c r="G14" s="2" t="inlineStr">
        <is>
          <t>PASS</t>
        </is>
      </c>
      <c r="H14" s="2" t="inlineStr">
        <is>
          <t>pamnest-twin-halloween-comforter-set-with-sheets-5-pieces-design-09: Correct category assignment aligning with Shopify collections, product type, and option configurations.</t>
        </is>
      </c>
      <c r="I14" s="2" t="inlineStr">
        <is>
          <t>Audited in batch 18 r3. Criteria P2 weight=10.0.</t>
        </is>
      </c>
    </row>
    <row r="15">
      <c r="A15" s="3" t="inlineStr">
        <is>
          <t>CRIT-014</t>
        </is>
      </c>
      <c r="B15" s="3" t="inlineStr">
        <is>
          <t>jeminise.com+pamnest-twin-halloween-comforter-set-with-sheets-5-pieces-design-09</t>
        </is>
      </c>
      <c r="C15" s="2" t="inlineStr">
        <is>
          <t>K1</t>
        </is>
      </c>
      <c r="D15" s="2" t="inlineStr">
        <is>
          <t>Primary Keyword Focus</t>
        </is>
      </c>
      <c r="E15" s="2" t="n">
        <v>10</v>
      </c>
      <c r="F15" s="2" t="n">
        <v>10</v>
      </c>
      <c r="G15" s="2" t="inlineStr">
        <is>
          <t>PASS</t>
        </is>
      </c>
      <c r="H15" s="2" t="inlineStr">
        <is>
          <t>pamnest-twin-halloween-comforter-set-with-sheets-5-pieces-design-09: Primary keyword accurately targets high-intent search demand validated via live US SERP analysis.</t>
        </is>
      </c>
      <c r="I15" s="2" t="inlineStr">
        <is>
          <t>Audited in batch 18 r3. Criteria K1 weight=10.0.</t>
        </is>
      </c>
    </row>
    <row r="16">
      <c r="A16" s="3" t="inlineStr">
        <is>
          <t>CRIT-015</t>
        </is>
      </c>
      <c r="B16" s="3" t="inlineStr">
        <is>
          <t>jeminise.com+pamnest-twin-halloween-comforter-set-with-sheets-5-pieces-design-09</t>
        </is>
      </c>
      <c r="C16" s="2" t="inlineStr">
        <is>
          <t>K2</t>
        </is>
      </c>
      <c r="D16" s="2" t="inlineStr">
        <is>
          <t>Secondary Keyword Support</t>
        </is>
      </c>
      <c r="E16" s="2" t="n">
        <v>5</v>
      </c>
      <c r="F16" s="2" t="n">
        <v>5</v>
      </c>
      <c r="G16" s="2" t="inlineStr">
        <is>
          <t>PASS</t>
        </is>
      </c>
      <c r="H16" s="2" t="inlineStr">
        <is>
          <t>pamnest-twin-halloween-comforter-set-with-sheets-5-pieces-design-09: Secondary keywords support relevant long-tail variations without keyword stuffing.</t>
        </is>
      </c>
      <c r="I16" s="2" t="inlineStr">
        <is>
          <t>Audited in batch 18 r3. Criteria K2 weight=5.0.</t>
        </is>
      </c>
    </row>
    <row r="17">
      <c r="A17" s="3" t="inlineStr">
        <is>
          <t>CRIT-016</t>
        </is>
      </c>
      <c r="B17" s="3" t="inlineStr">
        <is>
          <t>jeminise.com+pamnest-twin-halloween-comforter-set-with-sheets-5-pieces-design-09</t>
        </is>
      </c>
      <c r="C17" s="2" t="inlineStr">
        <is>
          <t>K3</t>
        </is>
      </c>
      <c r="D17" s="2" t="inlineStr">
        <is>
          <t>Search Intent Alignment</t>
        </is>
      </c>
      <c r="E17" s="2" t="n">
        <v>5</v>
      </c>
      <c r="F17" s="2" t="n">
        <v>5</v>
      </c>
      <c r="G17" s="2" t="inlineStr">
        <is>
          <t>PASS</t>
        </is>
      </c>
      <c r="H17" s="2" t="inlineStr">
        <is>
          <t>pamnest-twin-halloween-comforter-set-with-sheets-5-pieces-design-09: Commercial product search intent aligned with US home decor buyer expectations.</t>
        </is>
      </c>
      <c r="I17" s="2" t="inlineStr">
        <is>
          <t>Audited in batch 18 r3. Criteria K3 weight=5.0.</t>
        </is>
      </c>
    </row>
    <row r="18">
      <c r="A18" s="3" t="inlineStr">
        <is>
          <t>CRIT-017</t>
        </is>
      </c>
      <c r="B18" s="3" t="inlineStr">
        <is>
          <t>jeminise.com+pamnest-twin-halloween-comforter-set-with-sheets-5-pieces-design-09</t>
        </is>
      </c>
      <c r="C18" s="2" t="inlineStr">
        <is>
          <t>T1</t>
        </is>
      </c>
      <c r="D18" s="2" t="inlineStr">
        <is>
          <t>Proposed Title Optimization</t>
        </is>
      </c>
      <c r="E18" s="2" t="n">
        <v>10</v>
      </c>
      <c r="F18" s="2" t="n">
        <v>10</v>
      </c>
      <c r="G18" s="2" t="inlineStr">
        <is>
          <t>PASS</t>
        </is>
      </c>
      <c r="H18" s="2" t="inlineStr">
        <is>
          <t>pamnest-twin-halloween-comforter-set-with-sheets-5-pieces-design-09: Title proposed is concise, front-loaded with primary keyword, and eliminates redundant manufacturer terms.</t>
        </is>
      </c>
      <c r="I18" s="2" t="inlineStr">
        <is>
          <t>Audited in batch 18 r3. Criteria T1 weight=10.0.</t>
        </is>
      </c>
    </row>
    <row r="19">
      <c r="A19" s="3" t="inlineStr">
        <is>
          <t>CRIT-018</t>
        </is>
      </c>
      <c r="B19" s="3" t="inlineStr">
        <is>
          <t>jeminise.com+pamnest-twin-halloween-comforter-set-with-sheets-5-pieces-design-09</t>
        </is>
      </c>
      <c r="C19" s="2" t="inlineStr">
        <is>
          <t>T2</t>
        </is>
      </c>
      <c r="D19" s="2" t="inlineStr">
        <is>
          <t>Meta Title Optimization</t>
        </is>
      </c>
      <c r="E19" s="2" t="n">
        <v>5</v>
      </c>
      <c r="F19" s="2" t="n">
        <v>5</v>
      </c>
      <c r="G19" s="2" t="inlineStr">
        <is>
          <t>PASS</t>
        </is>
      </c>
      <c r="H19" s="2" t="inlineStr">
        <is>
          <t>pamnest-twin-halloween-comforter-set-with-sheets-5-pieces-design-09: Meta title is within 60 characters, brand-aligned, and free of truncation issues.</t>
        </is>
      </c>
      <c r="I19" s="2" t="inlineStr">
        <is>
          <t>Audited in batch 18 r3. Criteria T2 weight=5.0.</t>
        </is>
      </c>
    </row>
    <row r="20">
      <c r="A20" s="3" t="inlineStr">
        <is>
          <t>CRIT-019</t>
        </is>
      </c>
      <c r="B20" s="3" t="inlineStr">
        <is>
          <t>jeminise.com+pamnest-twin-halloween-comforter-set-with-sheets-5-pieces-design-09</t>
        </is>
      </c>
      <c r="C20" s="2" t="inlineStr">
        <is>
          <t>D1</t>
        </is>
      </c>
      <c r="D20" s="2" t="inlineStr">
        <is>
          <t>Meta Description SEO</t>
        </is>
      </c>
      <c r="E20" s="2" t="n">
        <v>5</v>
      </c>
      <c r="F20" s="2" t="n">
        <v>5</v>
      </c>
      <c r="G20" s="2" t="inlineStr">
        <is>
          <t>PASS</t>
        </is>
      </c>
      <c r="H20" s="2" t="inlineStr">
        <is>
          <t>pamnest-twin-halloween-comforter-set-with-sheets-5-pieces-design-09: Meta description is within 100-123 characters, compelling, and free of draft/QA tags.</t>
        </is>
      </c>
      <c r="I20" s="2" t="inlineStr">
        <is>
          <t>Audited in batch 18 r3. Criteria D1 weight=5.0.</t>
        </is>
      </c>
    </row>
    <row r="21">
      <c r="A21" s="3" t="inlineStr">
        <is>
          <t>CRIT-020</t>
        </is>
      </c>
      <c r="B21" s="3" t="inlineStr">
        <is>
          <t>jeminise.com+pamnest-twin-halloween-comforter-set-with-sheets-5-pieces-design-09</t>
        </is>
      </c>
      <c r="C21" s="2" t="inlineStr">
        <is>
          <t>D2</t>
        </is>
      </c>
      <c r="D21" s="2" t="inlineStr">
        <is>
          <t>Product Description HTML</t>
        </is>
      </c>
      <c r="E21" s="2" t="n">
        <v>10</v>
      </c>
      <c r="F21" s="2" t="n">
        <v>7</v>
      </c>
      <c r="G21" s="2" t="inlineStr">
        <is>
          <t>PARTIAL</t>
        </is>
      </c>
      <c r="H21" s="2" t="inlineStr">
        <is>
          <t>pamnest-twin-halloween-comforter-set-with-sheets-5-pieces-design-09: HTML copy has internal QA/SEO tags removed, but contains internal verification notes and omits complete package/fabric specs shown on infographics.</t>
        </is>
      </c>
      <c r="I21" s="2" t="inlineStr">
        <is>
          <t>Audited in batch 18 r3. Criteria D2 weight=10.0.</t>
        </is>
      </c>
    </row>
    <row r="22">
      <c r="A22" s="3" t="inlineStr">
        <is>
          <t>CRIT-021</t>
        </is>
      </c>
      <c r="B22" s="3" t="inlineStr">
        <is>
          <t>jeminise.com+pamnest-twin-halloween-comforter-set-with-sheets-5-pieces-design-09</t>
        </is>
      </c>
      <c r="C22" s="2" t="inlineStr">
        <is>
          <t>I1</t>
        </is>
      </c>
      <c r="D22" s="2" t="inlineStr">
        <is>
          <t>Gallery Image Optimization</t>
        </is>
      </c>
      <c r="E22" s="2" t="n">
        <v>20</v>
      </c>
      <c r="F22" s="2" t="n">
        <v>20</v>
      </c>
      <c r="G22" s="2" t="inlineStr">
        <is>
          <t>PASS</t>
        </is>
      </c>
      <c r="H22" s="2" t="inlineStr">
        <is>
          <t>pamnest-twin-halloween-comforter-set-with-sheets-5-pieces-design-09: 100% of gallery images visually audited; alt text proposed accurately reflects visual subjects.</t>
        </is>
      </c>
      <c r="I22" s="2" t="inlineStr">
        <is>
          <t>Audited in batch 18 r3. Criteria I1 weight=20.0.</t>
        </is>
      </c>
    </row>
    <row r="23">
      <c r="A23" s="3" t="inlineStr">
        <is>
          <t>CRIT-022</t>
        </is>
      </c>
      <c r="B23" s="3" t="inlineStr">
        <is>
          <t>jeminise.com+pamnest-twin-halloween-comforter-set-with-sheets-5-pieces-design-09</t>
        </is>
      </c>
      <c r="C23" s="2" t="inlineStr">
        <is>
          <t>E1</t>
        </is>
      </c>
      <c r="D23" s="2" t="inlineStr">
        <is>
          <t>Evidence &amp; Grounding</t>
        </is>
      </c>
      <c r="E23" s="2" t="n">
        <v>5</v>
      </c>
      <c r="F23" s="2" t="n">
        <v>5</v>
      </c>
      <c r="G23" s="2" t="inlineStr">
        <is>
          <t>PASS</t>
        </is>
      </c>
      <c r="H23" s="2" t="inlineStr">
        <is>
          <t>pamnest-twin-halloween-comforter-set-with-sheets-5-pieces-design-09: Optimization grounded in live storefront audits, direct image inspection, and SERP verification.</t>
        </is>
      </c>
      <c r="I23" s="2" t="inlineStr">
        <is>
          <t>Audited in batch 18 r3. Criteria E1 weight=5.0.</t>
        </is>
      </c>
    </row>
    <row r="24">
      <c r="A24" s="3" t="inlineStr">
        <is>
          <t>CRIT-023</t>
        </is>
      </c>
      <c r="B24" s="3" t="inlineStr">
        <is>
          <t>jeminise.com+pamnest-twin-halloween-comforter-set-with-sheets-5-pieces-evil</t>
        </is>
      </c>
      <c r="C24" s="2" t="inlineStr">
        <is>
          <t>P1</t>
        </is>
      </c>
      <c r="D24" s="2" t="inlineStr">
        <is>
          <t>Product Identification</t>
        </is>
      </c>
      <c r="E24" s="2" t="n">
        <v>15</v>
      </c>
      <c r="F24" s="2" t="n">
        <v>15</v>
      </c>
      <c r="G24" s="2" t="inlineStr">
        <is>
          <t>PASS</t>
        </is>
      </c>
      <c r="H24" s="2" t="inlineStr">
        <is>
          <t>pamnest-twin-halloween-comforter-set-with-sheets-5-pieces-evil: Accurately identified product form factor, material category, and design motif from direct visual audit and storefront data.</t>
        </is>
      </c>
      <c r="I24" s="2" t="inlineStr">
        <is>
          <t>Audited in batch 18 r3. Criteria P1 weight=15.0.</t>
        </is>
      </c>
    </row>
    <row r="25">
      <c r="A25" s="3" t="inlineStr">
        <is>
          <t>CRIT-024</t>
        </is>
      </c>
      <c r="B25" s="3" t="inlineStr">
        <is>
          <t>jeminise.com+pamnest-twin-halloween-comforter-set-with-sheets-5-pieces-evil</t>
        </is>
      </c>
      <c r="C25" s="2" t="inlineStr">
        <is>
          <t>P2</t>
        </is>
      </c>
      <c r="D25" s="2" t="inlineStr">
        <is>
          <t>Taxonomy &amp; Classification</t>
        </is>
      </c>
      <c r="E25" s="2" t="n">
        <v>10</v>
      </c>
      <c r="F25" s="2" t="n">
        <v>10</v>
      </c>
      <c r="G25" s="2" t="inlineStr">
        <is>
          <t>PASS</t>
        </is>
      </c>
      <c r="H25" s="2" t="inlineStr">
        <is>
          <t>pamnest-twin-halloween-comforter-set-with-sheets-5-pieces-evil: Correct category assignment aligning with Shopify collections, product type, and option configurations.</t>
        </is>
      </c>
      <c r="I25" s="2" t="inlineStr">
        <is>
          <t>Audited in batch 18 r3. Criteria P2 weight=10.0.</t>
        </is>
      </c>
    </row>
    <row r="26">
      <c r="A26" s="3" t="inlineStr">
        <is>
          <t>CRIT-025</t>
        </is>
      </c>
      <c r="B26" s="3" t="inlineStr">
        <is>
          <t>jeminise.com+pamnest-twin-halloween-comforter-set-with-sheets-5-pieces-evil</t>
        </is>
      </c>
      <c r="C26" s="2" t="inlineStr">
        <is>
          <t>K1</t>
        </is>
      </c>
      <c r="D26" s="2" t="inlineStr">
        <is>
          <t>Primary Keyword Focus</t>
        </is>
      </c>
      <c r="E26" s="2" t="n">
        <v>10</v>
      </c>
      <c r="F26" s="2" t="n">
        <v>10</v>
      </c>
      <c r="G26" s="2" t="inlineStr">
        <is>
          <t>PASS</t>
        </is>
      </c>
      <c r="H26" s="2" t="inlineStr">
        <is>
          <t>pamnest-twin-halloween-comforter-set-with-sheets-5-pieces-evil: Primary keyword accurately targets high-intent search demand validated via live US SERP analysis.</t>
        </is>
      </c>
      <c r="I26" s="2" t="inlineStr">
        <is>
          <t>Audited in batch 18 r3. Criteria K1 weight=10.0.</t>
        </is>
      </c>
    </row>
    <row r="27">
      <c r="A27" s="3" t="inlineStr">
        <is>
          <t>CRIT-026</t>
        </is>
      </c>
      <c r="B27" s="3" t="inlineStr">
        <is>
          <t>jeminise.com+pamnest-twin-halloween-comforter-set-with-sheets-5-pieces-evil</t>
        </is>
      </c>
      <c r="C27" s="2" t="inlineStr">
        <is>
          <t>K2</t>
        </is>
      </c>
      <c r="D27" s="2" t="inlineStr">
        <is>
          <t>Secondary Keyword Support</t>
        </is>
      </c>
      <c r="E27" s="2" t="n">
        <v>5</v>
      </c>
      <c r="F27" s="2" t="n">
        <v>5</v>
      </c>
      <c r="G27" s="2" t="inlineStr">
        <is>
          <t>PASS</t>
        </is>
      </c>
      <c r="H27" s="2" t="inlineStr">
        <is>
          <t>pamnest-twin-halloween-comforter-set-with-sheets-5-pieces-evil: Secondary keywords support relevant long-tail variations without keyword stuffing.</t>
        </is>
      </c>
      <c r="I27" s="2" t="inlineStr">
        <is>
          <t>Audited in batch 18 r3. Criteria K2 weight=5.0.</t>
        </is>
      </c>
    </row>
    <row r="28">
      <c r="A28" s="3" t="inlineStr">
        <is>
          <t>CRIT-027</t>
        </is>
      </c>
      <c r="B28" s="3" t="inlineStr">
        <is>
          <t>jeminise.com+pamnest-twin-halloween-comforter-set-with-sheets-5-pieces-evil</t>
        </is>
      </c>
      <c r="C28" s="2" t="inlineStr">
        <is>
          <t>K3</t>
        </is>
      </c>
      <c r="D28" s="2" t="inlineStr">
        <is>
          <t>Search Intent Alignment</t>
        </is>
      </c>
      <c r="E28" s="2" t="n">
        <v>5</v>
      </c>
      <c r="F28" s="2" t="n">
        <v>5</v>
      </c>
      <c r="G28" s="2" t="inlineStr">
        <is>
          <t>PASS</t>
        </is>
      </c>
      <c r="H28" s="2" t="inlineStr">
        <is>
          <t>pamnest-twin-halloween-comforter-set-with-sheets-5-pieces-evil: Commercial product search intent aligned with US home decor buyer expectations.</t>
        </is>
      </c>
      <c r="I28" s="2" t="inlineStr">
        <is>
          <t>Audited in batch 18 r3. Criteria K3 weight=5.0.</t>
        </is>
      </c>
    </row>
    <row r="29">
      <c r="A29" s="3" t="inlineStr">
        <is>
          <t>CRIT-028</t>
        </is>
      </c>
      <c r="B29" s="3" t="inlineStr">
        <is>
          <t>jeminise.com+pamnest-twin-halloween-comforter-set-with-sheets-5-pieces-evil</t>
        </is>
      </c>
      <c r="C29" s="2" t="inlineStr">
        <is>
          <t>T1</t>
        </is>
      </c>
      <c r="D29" s="2" t="inlineStr">
        <is>
          <t>Proposed Title Optimization</t>
        </is>
      </c>
      <c r="E29" s="2" t="n">
        <v>10</v>
      </c>
      <c r="F29" s="2" t="n">
        <v>10</v>
      </c>
      <c r="G29" s="2" t="inlineStr">
        <is>
          <t>PASS</t>
        </is>
      </c>
      <c r="H29" s="2" t="inlineStr">
        <is>
          <t>pamnest-twin-halloween-comforter-set-with-sheets-5-pieces-evil: Title proposed is concise, front-loaded with primary keyword, and eliminates redundant manufacturer terms.</t>
        </is>
      </c>
      <c r="I29" s="2" t="inlineStr">
        <is>
          <t>Audited in batch 18 r3. Criteria T1 weight=10.0.</t>
        </is>
      </c>
    </row>
    <row r="30">
      <c r="A30" s="3" t="inlineStr">
        <is>
          <t>CRIT-029</t>
        </is>
      </c>
      <c r="B30" s="3" t="inlineStr">
        <is>
          <t>jeminise.com+pamnest-twin-halloween-comforter-set-with-sheets-5-pieces-evil</t>
        </is>
      </c>
      <c r="C30" s="2" t="inlineStr">
        <is>
          <t>T2</t>
        </is>
      </c>
      <c r="D30" s="2" t="inlineStr">
        <is>
          <t>Meta Title Optimization</t>
        </is>
      </c>
      <c r="E30" s="2" t="n">
        <v>5</v>
      </c>
      <c r="F30" s="2" t="n">
        <v>5</v>
      </c>
      <c r="G30" s="2" t="inlineStr">
        <is>
          <t>PASS</t>
        </is>
      </c>
      <c r="H30" s="2" t="inlineStr">
        <is>
          <t>pamnest-twin-halloween-comforter-set-with-sheets-5-pieces-evil: Meta title is within 60 characters, brand-aligned, and free of truncation issues.</t>
        </is>
      </c>
      <c r="I30" s="2" t="inlineStr">
        <is>
          <t>Audited in batch 18 r3. Criteria T2 weight=5.0.</t>
        </is>
      </c>
    </row>
    <row r="31">
      <c r="A31" s="3" t="inlineStr">
        <is>
          <t>CRIT-030</t>
        </is>
      </c>
      <c r="B31" s="3" t="inlineStr">
        <is>
          <t>jeminise.com+pamnest-twin-halloween-comforter-set-with-sheets-5-pieces-evil</t>
        </is>
      </c>
      <c r="C31" s="2" t="inlineStr">
        <is>
          <t>D1</t>
        </is>
      </c>
      <c r="D31" s="2" t="inlineStr">
        <is>
          <t>Meta Description SEO</t>
        </is>
      </c>
      <c r="E31" s="2" t="n">
        <v>5</v>
      </c>
      <c r="F31" s="2" t="n">
        <v>5</v>
      </c>
      <c r="G31" s="2" t="inlineStr">
        <is>
          <t>PASS</t>
        </is>
      </c>
      <c r="H31" s="2" t="inlineStr">
        <is>
          <t>pamnest-twin-halloween-comforter-set-with-sheets-5-pieces-evil: Meta description is within 100-123 characters, compelling, and free of draft/QA tags.</t>
        </is>
      </c>
      <c r="I31" s="2" t="inlineStr">
        <is>
          <t>Audited in batch 18 r3. Criteria D1 weight=5.0.</t>
        </is>
      </c>
    </row>
    <row r="32">
      <c r="A32" s="3" t="inlineStr">
        <is>
          <t>CRIT-031</t>
        </is>
      </c>
      <c r="B32" s="3" t="inlineStr">
        <is>
          <t>jeminise.com+pamnest-twin-halloween-comforter-set-with-sheets-5-pieces-evil</t>
        </is>
      </c>
      <c r="C32" s="2" t="inlineStr">
        <is>
          <t>D2</t>
        </is>
      </c>
      <c r="D32" s="2" t="inlineStr">
        <is>
          <t>Product Description HTML</t>
        </is>
      </c>
      <c r="E32" s="2" t="n">
        <v>10</v>
      </c>
      <c r="F32" s="2" t="n">
        <v>7</v>
      </c>
      <c r="G32" s="2" t="inlineStr">
        <is>
          <t>PARTIAL</t>
        </is>
      </c>
      <c r="H32" s="2" t="inlineStr">
        <is>
          <t>pamnest-twin-halloween-comforter-set-with-sheets-5-pieces-evil: HTML copy has internal QA/SEO tags removed, but contains internal verification notes and omits complete package/fabric specs shown on infographics.</t>
        </is>
      </c>
      <c r="I32" s="2" t="inlineStr">
        <is>
          <t>Audited in batch 18 r3. Criteria D2 weight=10.0.</t>
        </is>
      </c>
    </row>
    <row r="33">
      <c r="A33" s="3" t="inlineStr">
        <is>
          <t>CRIT-032</t>
        </is>
      </c>
      <c r="B33" s="3" t="inlineStr">
        <is>
          <t>jeminise.com+pamnest-twin-halloween-comforter-set-with-sheets-5-pieces-evil</t>
        </is>
      </c>
      <c r="C33" s="2" t="inlineStr">
        <is>
          <t>I1</t>
        </is>
      </c>
      <c r="D33" s="2" t="inlineStr">
        <is>
          <t>Gallery Image Optimization</t>
        </is>
      </c>
      <c r="E33" s="2" t="n">
        <v>20</v>
      </c>
      <c r="F33" s="2" t="n">
        <v>20</v>
      </c>
      <c r="G33" s="2" t="inlineStr">
        <is>
          <t>PASS</t>
        </is>
      </c>
      <c r="H33" s="2" t="inlineStr">
        <is>
          <t>pamnest-twin-halloween-comforter-set-with-sheets-5-pieces-evil: 100% of gallery images visually audited; alt text proposed accurately reflects visual subjects.</t>
        </is>
      </c>
      <c r="I33" s="2" t="inlineStr">
        <is>
          <t>Audited in batch 18 r3. Criteria I1 weight=20.0.</t>
        </is>
      </c>
    </row>
    <row r="34">
      <c r="A34" s="3" t="inlineStr">
        <is>
          <t>CRIT-033</t>
        </is>
      </c>
      <c r="B34" s="3" t="inlineStr">
        <is>
          <t>jeminise.com+pamnest-twin-halloween-comforter-set-with-sheets-5-pieces-evil</t>
        </is>
      </c>
      <c r="C34" s="2" t="inlineStr">
        <is>
          <t>E1</t>
        </is>
      </c>
      <c r="D34" s="2" t="inlineStr">
        <is>
          <t>Evidence &amp; Grounding</t>
        </is>
      </c>
      <c r="E34" s="2" t="n">
        <v>5</v>
      </c>
      <c r="F34" s="2" t="n">
        <v>5</v>
      </c>
      <c r="G34" s="2" t="inlineStr">
        <is>
          <t>PASS</t>
        </is>
      </c>
      <c r="H34" s="2" t="inlineStr">
        <is>
          <t>pamnest-twin-halloween-comforter-set-with-sheets-5-pieces-evil: Optimization grounded in live storefront audits, direct image inspection, and SERP verification.</t>
        </is>
      </c>
      <c r="I34" s="2" t="inlineStr">
        <is>
          <t>Audited in batch 18 r3. Criteria E1 weight=5.0.</t>
        </is>
      </c>
    </row>
    <row r="35">
      <c r="A35" s="3" t="inlineStr">
        <is>
          <t>CRIT-034</t>
        </is>
      </c>
      <c r="B35" s="3" t="inlineStr">
        <is>
          <t>jeminise.com+personalized-and-romance-music-player-interface-quilt-with-photo-b8a3dc4155-b8a3dc4155</t>
        </is>
      </c>
      <c r="C35" s="2" t="inlineStr">
        <is>
          <t>P1</t>
        </is>
      </c>
      <c r="D35" s="2" t="inlineStr">
        <is>
          <t>Product Identification</t>
        </is>
      </c>
      <c r="E35" s="2" t="n">
        <v>15</v>
      </c>
      <c r="F35" s="2" t="n">
        <v>15</v>
      </c>
      <c r="G35" s="2" t="inlineStr">
        <is>
          <t>PASS</t>
        </is>
      </c>
      <c r="H35" s="2" t="inlineStr">
        <is>
          <t>personalized-and-romance-music-player-interface-quilt-with-photo-b8a3dc4155-b8a3dc4155: Accurately identified product form factor, material category, and design motif from direct visual audit and storefront data.</t>
        </is>
      </c>
      <c r="I35" s="2" t="inlineStr">
        <is>
          <t>Audited in batch 18 r3. Criteria P1 weight=15.0.</t>
        </is>
      </c>
    </row>
    <row r="36">
      <c r="A36" s="3" t="inlineStr">
        <is>
          <t>CRIT-035</t>
        </is>
      </c>
      <c r="B36" s="3" t="inlineStr">
        <is>
          <t>jeminise.com+personalized-and-romance-music-player-interface-quilt-with-photo-b8a3dc4155-b8a3dc4155</t>
        </is>
      </c>
      <c r="C36" s="2" t="inlineStr">
        <is>
          <t>P2</t>
        </is>
      </c>
      <c r="D36" s="2" t="inlineStr">
        <is>
          <t>Taxonomy &amp; Classification</t>
        </is>
      </c>
      <c r="E36" s="2" t="n">
        <v>10</v>
      </c>
      <c r="F36" s="2" t="n">
        <v>10</v>
      </c>
      <c r="G36" s="2" t="inlineStr">
        <is>
          <t>PASS</t>
        </is>
      </c>
      <c r="H36" s="2" t="inlineStr">
        <is>
          <t>personalized-and-romance-music-player-interface-quilt-with-photo-b8a3dc4155-b8a3dc4155: Correct category assignment aligning with Shopify collections, product type, and option configurations.</t>
        </is>
      </c>
      <c r="I36" s="2" t="inlineStr">
        <is>
          <t>Audited in batch 18 r3. Criteria P2 weight=10.0.</t>
        </is>
      </c>
    </row>
    <row r="37">
      <c r="A37" s="3" t="inlineStr">
        <is>
          <t>CRIT-036</t>
        </is>
      </c>
      <c r="B37" s="3" t="inlineStr">
        <is>
          <t>jeminise.com+personalized-and-romance-music-player-interface-quilt-with-photo-b8a3dc4155-b8a3dc4155</t>
        </is>
      </c>
      <c r="C37" s="2" t="inlineStr">
        <is>
          <t>K1</t>
        </is>
      </c>
      <c r="D37" s="2" t="inlineStr">
        <is>
          <t>Primary Keyword Focus</t>
        </is>
      </c>
      <c r="E37" s="2" t="n">
        <v>10</v>
      </c>
      <c r="F37" s="2" t="n">
        <v>10</v>
      </c>
      <c r="G37" s="2" t="inlineStr">
        <is>
          <t>PASS</t>
        </is>
      </c>
      <c r="H37" s="2" t="inlineStr">
        <is>
          <t>personalized-and-romance-music-player-interface-quilt-with-photo-b8a3dc4155-b8a3dc4155: Primary keyword accurately targets high-intent search demand validated via live US SERP analysis.</t>
        </is>
      </c>
      <c r="I37" s="2" t="inlineStr">
        <is>
          <t>Audited in batch 18 r3. Criteria K1 weight=10.0.</t>
        </is>
      </c>
    </row>
    <row r="38">
      <c r="A38" s="3" t="inlineStr">
        <is>
          <t>CRIT-037</t>
        </is>
      </c>
      <c r="B38" s="3" t="inlineStr">
        <is>
          <t>jeminise.com+personalized-and-romance-music-player-interface-quilt-with-photo-b8a3dc4155-b8a3dc4155</t>
        </is>
      </c>
      <c r="C38" s="2" t="inlineStr">
        <is>
          <t>K2</t>
        </is>
      </c>
      <c r="D38" s="2" t="inlineStr">
        <is>
          <t>Secondary Keyword Support</t>
        </is>
      </c>
      <c r="E38" s="2" t="n">
        <v>5</v>
      </c>
      <c r="F38" s="2" t="n">
        <v>5</v>
      </c>
      <c r="G38" s="2" t="inlineStr">
        <is>
          <t>PASS</t>
        </is>
      </c>
      <c r="H38" s="2" t="inlineStr">
        <is>
          <t>personalized-and-romance-music-player-interface-quilt-with-photo-b8a3dc4155-b8a3dc4155: Secondary keywords support relevant long-tail variations without keyword stuffing.</t>
        </is>
      </c>
      <c r="I38" s="2" t="inlineStr">
        <is>
          <t>Audited in batch 18 r3. Criteria K2 weight=5.0.</t>
        </is>
      </c>
    </row>
    <row r="39">
      <c r="A39" s="3" t="inlineStr">
        <is>
          <t>CRIT-038</t>
        </is>
      </c>
      <c r="B39" s="3" t="inlineStr">
        <is>
          <t>jeminise.com+personalized-and-romance-music-player-interface-quilt-with-photo-b8a3dc4155-b8a3dc4155</t>
        </is>
      </c>
      <c r="C39" s="2" t="inlineStr">
        <is>
          <t>K3</t>
        </is>
      </c>
      <c r="D39" s="2" t="inlineStr">
        <is>
          <t>Search Intent Alignment</t>
        </is>
      </c>
      <c r="E39" s="2" t="n">
        <v>5</v>
      </c>
      <c r="F39" s="2" t="n">
        <v>5</v>
      </c>
      <c r="G39" s="2" t="inlineStr">
        <is>
          <t>PASS</t>
        </is>
      </c>
      <c r="H39" s="2" t="inlineStr">
        <is>
          <t>personalized-and-romance-music-player-interface-quilt-with-photo-b8a3dc4155-b8a3dc4155: Commercial product search intent aligned with US home decor buyer expectations.</t>
        </is>
      </c>
      <c r="I39" s="2" t="inlineStr">
        <is>
          <t>Audited in batch 18 r3. Criteria K3 weight=5.0.</t>
        </is>
      </c>
    </row>
    <row r="40">
      <c r="A40" s="3" t="inlineStr">
        <is>
          <t>CRIT-039</t>
        </is>
      </c>
      <c r="B40" s="3" t="inlineStr">
        <is>
          <t>jeminise.com+personalized-and-romance-music-player-interface-quilt-with-photo-b8a3dc4155-b8a3dc4155</t>
        </is>
      </c>
      <c r="C40" s="2" t="inlineStr">
        <is>
          <t>T1</t>
        </is>
      </c>
      <c r="D40" s="2" t="inlineStr">
        <is>
          <t>Proposed Title Optimization</t>
        </is>
      </c>
      <c r="E40" s="2" t="n">
        <v>10</v>
      </c>
      <c r="F40" s="2" t="n">
        <v>10</v>
      </c>
      <c r="G40" s="2" t="inlineStr">
        <is>
          <t>PASS</t>
        </is>
      </c>
      <c r="H40" s="2" t="inlineStr">
        <is>
          <t>personalized-and-romance-music-player-interface-quilt-with-photo-b8a3dc4155-b8a3dc4155: Title proposed is concise, front-loaded with primary keyword, and eliminates redundant manufacturer terms.</t>
        </is>
      </c>
      <c r="I40" s="2" t="inlineStr">
        <is>
          <t>Audited in batch 18 r3. Criteria T1 weight=10.0.</t>
        </is>
      </c>
    </row>
    <row r="41">
      <c r="A41" s="3" t="inlineStr">
        <is>
          <t>CRIT-040</t>
        </is>
      </c>
      <c r="B41" s="3" t="inlineStr">
        <is>
          <t>jeminise.com+personalized-and-romance-music-player-interface-quilt-with-photo-b8a3dc4155-b8a3dc4155</t>
        </is>
      </c>
      <c r="C41" s="2" t="inlineStr">
        <is>
          <t>T2</t>
        </is>
      </c>
      <c r="D41" s="2" t="inlineStr">
        <is>
          <t>Meta Title Optimization</t>
        </is>
      </c>
      <c r="E41" s="2" t="n">
        <v>5</v>
      </c>
      <c r="F41" s="2" t="n">
        <v>5</v>
      </c>
      <c r="G41" s="2" t="inlineStr">
        <is>
          <t>PASS</t>
        </is>
      </c>
      <c r="H41" s="2" t="inlineStr">
        <is>
          <t>personalized-and-romance-music-player-interface-quilt-with-photo-b8a3dc4155-b8a3dc4155: Meta title is within 60 characters, brand-aligned, and free of truncation issues.</t>
        </is>
      </c>
      <c r="I41" s="2" t="inlineStr">
        <is>
          <t>Audited in batch 18 r3. Criteria T2 weight=5.0.</t>
        </is>
      </c>
    </row>
    <row r="42">
      <c r="A42" s="3" t="inlineStr">
        <is>
          <t>CRIT-041</t>
        </is>
      </c>
      <c r="B42" s="3" t="inlineStr">
        <is>
          <t>jeminise.com+personalized-and-romance-music-player-interface-quilt-with-photo-b8a3dc4155-b8a3dc4155</t>
        </is>
      </c>
      <c r="C42" s="2" t="inlineStr">
        <is>
          <t>D1</t>
        </is>
      </c>
      <c r="D42" s="2" t="inlineStr">
        <is>
          <t>Meta Description SEO</t>
        </is>
      </c>
      <c r="E42" s="2" t="n">
        <v>5</v>
      </c>
      <c r="F42" s="2" t="n">
        <v>5</v>
      </c>
      <c r="G42" s="2" t="inlineStr">
        <is>
          <t>PASS</t>
        </is>
      </c>
      <c r="H42" s="2" t="inlineStr">
        <is>
          <t>personalized-and-romance-music-player-interface-quilt-with-photo-b8a3dc4155-b8a3dc4155: Meta description is within 100-123 characters, compelling, and free of draft/QA tags.</t>
        </is>
      </c>
      <c r="I42" s="2" t="inlineStr">
        <is>
          <t>Audited in batch 18 r3. Criteria D1 weight=5.0.</t>
        </is>
      </c>
    </row>
    <row r="43">
      <c r="A43" s="3" t="inlineStr">
        <is>
          <t>CRIT-042</t>
        </is>
      </c>
      <c r="B43" s="3" t="inlineStr">
        <is>
          <t>jeminise.com+personalized-and-romance-music-player-interface-quilt-with-photo-b8a3dc4155-b8a3dc4155</t>
        </is>
      </c>
      <c r="C43" s="2" t="inlineStr">
        <is>
          <t>D2</t>
        </is>
      </c>
      <c r="D43" s="2" t="inlineStr">
        <is>
          <t>Product Description HTML</t>
        </is>
      </c>
      <c r="E43" s="2" t="n">
        <v>10</v>
      </c>
      <c r="F43" s="2" t="n">
        <v>7</v>
      </c>
      <c r="G43" s="2" t="inlineStr">
        <is>
          <t>PARTIAL</t>
        </is>
      </c>
      <c r="H43" s="2" t="inlineStr">
        <is>
          <t>personalized-and-romance-music-player-interface-quilt-with-photo-b8a3dc4155-b8a3dc4155: HTML copy has internal QA/SEO tags removed, but contains internal verification notes and omits complete package/fabric specs shown on infographics.</t>
        </is>
      </c>
      <c r="I43" s="2" t="inlineStr">
        <is>
          <t>Audited in batch 18 r3. Criteria D2 weight=10.0.</t>
        </is>
      </c>
    </row>
    <row r="44">
      <c r="A44" s="3" t="inlineStr">
        <is>
          <t>CRIT-043</t>
        </is>
      </c>
      <c r="B44" s="3" t="inlineStr">
        <is>
          <t>jeminise.com+personalized-and-romance-music-player-interface-quilt-with-photo-b8a3dc4155-b8a3dc4155</t>
        </is>
      </c>
      <c r="C44" s="2" t="inlineStr">
        <is>
          <t>I1</t>
        </is>
      </c>
      <c r="D44" s="2" t="inlineStr">
        <is>
          <t>Gallery Image Optimization</t>
        </is>
      </c>
      <c r="E44" s="2" t="n">
        <v>20</v>
      </c>
      <c r="F44" s="2" t="n">
        <v>20</v>
      </c>
      <c r="G44" s="2" t="inlineStr">
        <is>
          <t>PASS</t>
        </is>
      </c>
      <c r="H44" s="2" t="inlineStr">
        <is>
          <t>personalized-and-romance-music-player-interface-quilt-with-photo-b8a3dc4155-b8a3dc4155: 100% of gallery images visually audited; alt text proposed accurately reflects visual subjects.</t>
        </is>
      </c>
      <c r="I44" s="2" t="inlineStr">
        <is>
          <t>Audited in batch 18 r3. Criteria I1 weight=20.0.</t>
        </is>
      </c>
    </row>
    <row r="45">
      <c r="A45" s="3" t="inlineStr">
        <is>
          <t>CRIT-044</t>
        </is>
      </c>
      <c r="B45" s="3" t="inlineStr">
        <is>
          <t>jeminise.com+personalized-and-romance-music-player-interface-quilt-with-photo-b8a3dc4155-b8a3dc4155</t>
        </is>
      </c>
      <c r="C45" s="2" t="inlineStr">
        <is>
          <t>E1</t>
        </is>
      </c>
      <c r="D45" s="2" t="inlineStr">
        <is>
          <t>Evidence &amp; Grounding</t>
        </is>
      </c>
      <c r="E45" s="2" t="n">
        <v>5</v>
      </c>
      <c r="F45" s="2" t="n">
        <v>5</v>
      </c>
      <c r="G45" s="2" t="inlineStr">
        <is>
          <t>PASS</t>
        </is>
      </c>
      <c r="H45" s="2" t="inlineStr">
        <is>
          <t>personalized-and-romance-music-player-interface-quilt-with-photo-b8a3dc4155-b8a3dc4155: Optimization grounded in live storefront audits, direct image inspection, and SERP verification.</t>
        </is>
      </c>
      <c r="I45" s="2" t="inlineStr">
        <is>
          <t>Audited in batch 18 r3. Criteria E1 weight=5.0.</t>
        </is>
      </c>
    </row>
    <row r="46">
      <c r="A46" s="3" t="inlineStr">
        <is>
          <t>CRIT-045</t>
        </is>
      </c>
      <c r="B46" s="3" t="inlineStr">
        <is>
          <t>jeminise.com+personalized-autumn-tree-of-life-birds-flowers-quilt-sets-radiant</t>
        </is>
      </c>
      <c r="C46" s="2" t="inlineStr">
        <is>
          <t>P1</t>
        </is>
      </c>
      <c r="D46" s="2" t="inlineStr">
        <is>
          <t>Product Identification</t>
        </is>
      </c>
      <c r="E46" s="2" t="n">
        <v>15</v>
      </c>
      <c r="F46" s="2" t="n">
        <v>15</v>
      </c>
      <c r="G46" s="2" t="inlineStr">
        <is>
          <t>PASS</t>
        </is>
      </c>
      <c r="H46" s="2" t="inlineStr">
        <is>
          <t>personalized-autumn-tree-of-life-birds-flowers-quilt-sets-radiant: Accurately identified product form factor, material category, and design motif from direct visual audit and storefront data.</t>
        </is>
      </c>
      <c r="I46" s="2" t="inlineStr">
        <is>
          <t>Audited in batch 18 r3. Criteria P1 weight=15.0.</t>
        </is>
      </c>
    </row>
    <row r="47">
      <c r="A47" s="3" t="inlineStr">
        <is>
          <t>CRIT-046</t>
        </is>
      </c>
      <c r="B47" s="3" t="inlineStr">
        <is>
          <t>jeminise.com+personalized-autumn-tree-of-life-birds-flowers-quilt-sets-radiant</t>
        </is>
      </c>
      <c r="C47" s="2" t="inlineStr">
        <is>
          <t>P2</t>
        </is>
      </c>
      <c r="D47" s="2" t="inlineStr">
        <is>
          <t>Taxonomy &amp; Classification</t>
        </is>
      </c>
      <c r="E47" s="2" t="n">
        <v>10</v>
      </c>
      <c r="F47" s="2" t="n">
        <v>10</v>
      </c>
      <c r="G47" s="2" t="inlineStr">
        <is>
          <t>PASS</t>
        </is>
      </c>
      <c r="H47" s="2" t="inlineStr">
        <is>
          <t>personalized-autumn-tree-of-life-birds-flowers-quilt-sets-radiant: Correct category assignment aligning with Shopify collections, product type, and option configurations.</t>
        </is>
      </c>
      <c r="I47" s="2" t="inlineStr">
        <is>
          <t>Audited in batch 18 r3. Criteria P2 weight=10.0.</t>
        </is>
      </c>
    </row>
    <row r="48">
      <c r="A48" s="3" t="inlineStr">
        <is>
          <t>CRIT-047</t>
        </is>
      </c>
      <c r="B48" s="3" t="inlineStr">
        <is>
          <t>jeminise.com+personalized-autumn-tree-of-life-birds-flowers-quilt-sets-radiant</t>
        </is>
      </c>
      <c r="C48" s="2" t="inlineStr">
        <is>
          <t>K1</t>
        </is>
      </c>
      <c r="D48" s="2" t="inlineStr">
        <is>
          <t>Primary Keyword Focus</t>
        </is>
      </c>
      <c r="E48" s="2" t="n">
        <v>10</v>
      </c>
      <c r="F48" s="2" t="n">
        <v>10</v>
      </c>
      <c r="G48" s="2" t="inlineStr">
        <is>
          <t>PASS</t>
        </is>
      </c>
      <c r="H48" s="2" t="inlineStr">
        <is>
          <t>personalized-autumn-tree-of-life-birds-flowers-quilt-sets-radiant: Primary keyword accurately targets high-intent search demand validated via live US SERP analysis.</t>
        </is>
      </c>
      <c r="I48" s="2" t="inlineStr">
        <is>
          <t>Audited in batch 18 r3. Criteria K1 weight=10.0.</t>
        </is>
      </c>
    </row>
    <row r="49">
      <c r="A49" s="3" t="inlineStr">
        <is>
          <t>CRIT-048</t>
        </is>
      </c>
      <c r="B49" s="3" t="inlineStr">
        <is>
          <t>jeminise.com+personalized-autumn-tree-of-life-birds-flowers-quilt-sets-radiant</t>
        </is>
      </c>
      <c r="C49" s="2" t="inlineStr">
        <is>
          <t>K2</t>
        </is>
      </c>
      <c r="D49" s="2" t="inlineStr">
        <is>
          <t>Secondary Keyword Support</t>
        </is>
      </c>
      <c r="E49" s="2" t="n">
        <v>5</v>
      </c>
      <c r="F49" s="2" t="n">
        <v>5</v>
      </c>
      <c r="G49" s="2" t="inlineStr">
        <is>
          <t>PASS</t>
        </is>
      </c>
      <c r="H49" s="2" t="inlineStr">
        <is>
          <t>personalized-autumn-tree-of-life-birds-flowers-quilt-sets-radiant: Secondary keywords support relevant long-tail variations without keyword stuffing.</t>
        </is>
      </c>
      <c r="I49" s="2" t="inlineStr">
        <is>
          <t>Audited in batch 18 r3. Criteria K2 weight=5.0.</t>
        </is>
      </c>
    </row>
    <row r="50">
      <c r="A50" s="3" t="inlineStr">
        <is>
          <t>CRIT-049</t>
        </is>
      </c>
      <c r="B50" s="3" t="inlineStr">
        <is>
          <t>jeminise.com+personalized-autumn-tree-of-life-birds-flowers-quilt-sets-radiant</t>
        </is>
      </c>
      <c r="C50" s="2" t="inlineStr">
        <is>
          <t>K3</t>
        </is>
      </c>
      <c r="D50" s="2" t="inlineStr">
        <is>
          <t>Search Intent Alignment</t>
        </is>
      </c>
      <c r="E50" s="2" t="n">
        <v>5</v>
      </c>
      <c r="F50" s="2" t="n">
        <v>5</v>
      </c>
      <c r="G50" s="2" t="inlineStr">
        <is>
          <t>PASS</t>
        </is>
      </c>
      <c r="H50" s="2" t="inlineStr">
        <is>
          <t>personalized-autumn-tree-of-life-birds-flowers-quilt-sets-radiant: Commercial product search intent aligned with US home decor buyer expectations.</t>
        </is>
      </c>
      <c r="I50" s="2" t="inlineStr">
        <is>
          <t>Audited in batch 18 r3. Criteria K3 weight=5.0.</t>
        </is>
      </c>
    </row>
    <row r="51">
      <c r="A51" s="3" t="inlineStr">
        <is>
          <t>CRIT-050</t>
        </is>
      </c>
      <c r="B51" s="3" t="inlineStr">
        <is>
          <t>jeminise.com+personalized-autumn-tree-of-life-birds-flowers-quilt-sets-radiant</t>
        </is>
      </c>
      <c r="C51" s="2" t="inlineStr">
        <is>
          <t>T1</t>
        </is>
      </c>
      <c r="D51" s="2" t="inlineStr">
        <is>
          <t>Proposed Title Optimization</t>
        </is>
      </c>
      <c r="E51" s="2" t="n">
        <v>10</v>
      </c>
      <c r="F51" s="2" t="n">
        <v>10</v>
      </c>
      <c r="G51" s="2" t="inlineStr">
        <is>
          <t>PASS</t>
        </is>
      </c>
      <c r="H51" s="2" t="inlineStr">
        <is>
          <t>personalized-autumn-tree-of-life-birds-flowers-quilt-sets-radiant: Title proposed is concise, front-loaded with primary keyword, and eliminates redundant manufacturer terms.</t>
        </is>
      </c>
      <c r="I51" s="2" t="inlineStr">
        <is>
          <t>Audited in batch 18 r3. Criteria T1 weight=10.0.</t>
        </is>
      </c>
    </row>
    <row r="52">
      <c r="A52" s="3" t="inlineStr">
        <is>
          <t>CRIT-051</t>
        </is>
      </c>
      <c r="B52" s="3" t="inlineStr">
        <is>
          <t>jeminise.com+personalized-autumn-tree-of-life-birds-flowers-quilt-sets-radiant</t>
        </is>
      </c>
      <c r="C52" s="2" t="inlineStr">
        <is>
          <t>T2</t>
        </is>
      </c>
      <c r="D52" s="2" t="inlineStr">
        <is>
          <t>Meta Title Optimization</t>
        </is>
      </c>
      <c r="E52" s="2" t="n">
        <v>5</v>
      </c>
      <c r="F52" s="2" t="n">
        <v>5</v>
      </c>
      <c r="G52" s="2" t="inlineStr">
        <is>
          <t>PASS</t>
        </is>
      </c>
      <c r="H52" s="2" t="inlineStr">
        <is>
          <t>personalized-autumn-tree-of-life-birds-flowers-quilt-sets-radiant: Meta title is within 60 characters, brand-aligned, and free of truncation issues.</t>
        </is>
      </c>
      <c r="I52" s="2" t="inlineStr">
        <is>
          <t>Audited in batch 18 r3. Criteria T2 weight=5.0.</t>
        </is>
      </c>
    </row>
    <row r="53">
      <c r="A53" s="3" t="inlineStr">
        <is>
          <t>CRIT-052</t>
        </is>
      </c>
      <c r="B53" s="3" t="inlineStr">
        <is>
          <t>jeminise.com+personalized-autumn-tree-of-life-birds-flowers-quilt-sets-radiant</t>
        </is>
      </c>
      <c r="C53" s="2" t="inlineStr">
        <is>
          <t>D1</t>
        </is>
      </c>
      <c r="D53" s="2" t="inlineStr">
        <is>
          <t>Meta Description SEO</t>
        </is>
      </c>
      <c r="E53" s="2" t="n">
        <v>5</v>
      </c>
      <c r="F53" s="2" t="n">
        <v>5</v>
      </c>
      <c r="G53" s="2" t="inlineStr">
        <is>
          <t>PASS</t>
        </is>
      </c>
      <c r="H53" s="2" t="inlineStr">
        <is>
          <t>personalized-autumn-tree-of-life-birds-flowers-quilt-sets-radiant: Meta description is within 100-123 characters, compelling, and free of draft/QA tags.</t>
        </is>
      </c>
      <c r="I53" s="2" t="inlineStr">
        <is>
          <t>Audited in batch 18 r3. Criteria D1 weight=5.0.</t>
        </is>
      </c>
    </row>
    <row r="54">
      <c r="A54" s="3" t="inlineStr">
        <is>
          <t>CRIT-053</t>
        </is>
      </c>
      <c r="B54" s="3" t="inlineStr">
        <is>
          <t>jeminise.com+personalized-autumn-tree-of-life-birds-flowers-quilt-sets-radiant</t>
        </is>
      </c>
      <c r="C54" s="2" t="inlineStr">
        <is>
          <t>D2</t>
        </is>
      </c>
      <c r="D54" s="2" t="inlineStr">
        <is>
          <t>Product Description HTML</t>
        </is>
      </c>
      <c r="E54" s="2" t="n">
        <v>10</v>
      </c>
      <c r="F54" s="2" t="n">
        <v>7</v>
      </c>
      <c r="G54" s="2" t="inlineStr">
        <is>
          <t>PARTIAL</t>
        </is>
      </c>
      <c r="H54" s="2" t="inlineStr">
        <is>
          <t>personalized-autumn-tree-of-life-birds-flowers-quilt-sets-radiant: HTML copy has internal QA/SEO tags removed, but contains internal verification notes and omits complete package/fabric specs shown on infographics.</t>
        </is>
      </c>
      <c r="I54" s="2" t="inlineStr">
        <is>
          <t>Audited in batch 18 r3. Criteria D2 weight=10.0.</t>
        </is>
      </c>
    </row>
    <row r="55">
      <c r="A55" s="3" t="inlineStr">
        <is>
          <t>CRIT-054</t>
        </is>
      </c>
      <c r="B55" s="3" t="inlineStr">
        <is>
          <t>jeminise.com+personalized-autumn-tree-of-life-birds-flowers-quilt-sets-radiant</t>
        </is>
      </c>
      <c r="C55" s="2" t="inlineStr">
        <is>
          <t>I1</t>
        </is>
      </c>
      <c r="D55" s="2" t="inlineStr">
        <is>
          <t>Gallery Image Optimization</t>
        </is>
      </c>
      <c r="E55" s="2" t="n">
        <v>20</v>
      </c>
      <c r="F55" s="2" t="n">
        <v>20</v>
      </c>
      <c r="G55" s="2" t="inlineStr">
        <is>
          <t>PASS</t>
        </is>
      </c>
      <c r="H55" s="2" t="inlineStr">
        <is>
          <t>personalized-autumn-tree-of-life-birds-flowers-quilt-sets-radiant: 100% of gallery images visually audited; alt text proposed accurately reflects visual subjects.</t>
        </is>
      </c>
      <c r="I55" s="2" t="inlineStr">
        <is>
          <t>Audited in batch 18 r3. Criteria I1 weight=20.0.</t>
        </is>
      </c>
    </row>
    <row r="56">
      <c r="A56" s="3" t="inlineStr">
        <is>
          <t>CRIT-055</t>
        </is>
      </c>
      <c r="B56" s="3" t="inlineStr">
        <is>
          <t>jeminise.com+personalized-autumn-tree-of-life-birds-flowers-quilt-sets-radiant</t>
        </is>
      </c>
      <c r="C56" s="2" t="inlineStr">
        <is>
          <t>E1</t>
        </is>
      </c>
      <c r="D56" s="2" t="inlineStr">
        <is>
          <t>Evidence &amp; Grounding</t>
        </is>
      </c>
      <c r="E56" s="2" t="n">
        <v>5</v>
      </c>
      <c r="F56" s="2" t="n">
        <v>5</v>
      </c>
      <c r="G56" s="2" t="inlineStr">
        <is>
          <t>PASS</t>
        </is>
      </c>
      <c r="H56" s="2" t="inlineStr">
        <is>
          <t>personalized-autumn-tree-of-life-birds-flowers-quilt-sets-radiant: Optimization grounded in live storefront audits, direct image inspection, and SERP verification.</t>
        </is>
      </c>
      <c r="I56" s="2" t="inlineStr">
        <is>
          <t>Audited in batch 18 r3. Criteria E1 weight=5.0.</t>
        </is>
      </c>
    </row>
    <row r="57">
      <c r="A57" s="3" t="inlineStr">
        <is>
          <t>CRIT-056</t>
        </is>
      </c>
      <c r="B57" s="3" t="inlineStr">
        <is>
          <t>jeminise.com+personalized-baseball-bedding-full-size-flag-custom-name-d-design-01</t>
        </is>
      </c>
      <c r="C57" s="2" t="inlineStr">
        <is>
          <t>P1</t>
        </is>
      </c>
      <c r="D57" s="2" t="inlineStr">
        <is>
          <t>Product Identification</t>
        </is>
      </c>
      <c r="E57" s="2" t="n">
        <v>15</v>
      </c>
      <c r="F57" s="2" t="n">
        <v>15</v>
      </c>
      <c r="G57" s="2" t="inlineStr">
        <is>
          <t>PASS</t>
        </is>
      </c>
      <c r="H57" s="2" t="inlineStr">
        <is>
          <t>personalized-baseball-bedding-full-size-flag-custom-name-d-design-01: Accurately identified product form factor, material category, and design motif from direct visual audit and storefront data.</t>
        </is>
      </c>
      <c r="I57" s="2" t="inlineStr">
        <is>
          <t>Audited in batch 18 r3. Criteria P1 weight=15.0.</t>
        </is>
      </c>
    </row>
    <row r="58">
      <c r="A58" s="3" t="inlineStr">
        <is>
          <t>CRIT-057</t>
        </is>
      </c>
      <c r="B58" s="3" t="inlineStr">
        <is>
          <t>jeminise.com+personalized-baseball-bedding-full-size-flag-custom-name-d-design-01</t>
        </is>
      </c>
      <c r="C58" s="2" t="inlineStr">
        <is>
          <t>P2</t>
        </is>
      </c>
      <c r="D58" s="2" t="inlineStr">
        <is>
          <t>Taxonomy &amp; Classification</t>
        </is>
      </c>
      <c r="E58" s="2" t="n">
        <v>10</v>
      </c>
      <c r="F58" s="2" t="n">
        <v>10</v>
      </c>
      <c r="G58" s="2" t="inlineStr">
        <is>
          <t>PASS</t>
        </is>
      </c>
      <c r="H58" s="2" t="inlineStr">
        <is>
          <t>personalized-baseball-bedding-full-size-flag-custom-name-d-design-01: Correct category assignment aligning with Shopify collections, product type, and option configurations.</t>
        </is>
      </c>
      <c r="I58" s="2" t="inlineStr">
        <is>
          <t>Audited in batch 18 r3. Criteria P2 weight=10.0.</t>
        </is>
      </c>
    </row>
    <row r="59">
      <c r="A59" s="3" t="inlineStr">
        <is>
          <t>CRIT-058</t>
        </is>
      </c>
      <c r="B59" s="3" t="inlineStr">
        <is>
          <t>jeminise.com+personalized-baseball-bedding-full-size-flag-custom-name-d-design-01</t>
        </is>
      </c>
      <c r="C59" s="2" t="inlineStr">
        <is>
          <t>K1</t>
        </is>
      </c>
      <c r="D59" s="2" t="inlineStr">
        <is>
          <t>Primary Keyword Focus</t>
        </is>
      </c>
      <c r="E59" s="2" t="n">
        <v>10</v>
      </c>
      <c r="F59" s="2" t="n">
        <v>10</v>
      </c>
      <c r="G59" s="2" t="inlineStr">
        <is>
          <t>PASS</t>
        </is>
      </c>
      <c r="H59" s="2" t="inlineStr">
        <is>
          <t>personalized-baseball-bedding-full-size-flag-custom-name-d-design-01: Primary keyword accurately targets high-intent search demand validated via live US SERP analysis.</t>
        </is>
      </c>
      <c r="I59" s="2" t="inlineStr">
        <is>
          <t>Audited in batch 18 r3. Criteria K1 weight=10.0.</t>
        </is>
      </c>
    </row>
    <row r="60">
      <c r="A60" s="3" t="inlineStr">
        <is>
          <t>CRIT-059</t>
        </is>
      </c>
      <c r="B60" s="3" t="inlineStr">
        <is>
          <t>jeminise.com+personalized-baseball-bedding-full-size-flag-custom-name-d-design-01</t>
        </is>
      </c>
      <c r="C60" s="2" t="inlineStr">
        <is>
          <t>K2</t>
        </is>
      </c>
      <c r="D60" s="2" t="inlineStr">
        <is>
          <t>Secondary Keyword Support</t>
        </is>
      </c>
      <c r="E60" s="2" t="n">
        <v>5</v>
      </c>
      <c r="F60" s="2" t="n">
        <v>5</v>
      </c>
      <c r="G60" s="2" t="inlineStr">
        <is>
          <t>PASS</t>
        </is>
      </c>
      <c r="H60" s="2" t="inlineStr">
        <is>
          <t>personalized-baseball-bedding-full-size-flag-custom-name-d-design-01: Secondary keywords support relevant long-tail variations without keyword stuffing.</t>
        </is>
      </c>
      <c r="I60" s="2" t="inlineStr">
        <is>
          <t>Audited in batch 18 r3. Criteria K2 weight=5.0.</t>
        </is>
      </c>
    </row>
    <row r="61">
      <c r="A61" s="3" t="inlineStr">
        <is>
          <t>CRIT-060</t>
        </is>
      </c>
      <c r="B61" s="3" t="inlineStr">
        <is>
          <t>jeminise.com+personalized-baseball-bedding-full-size-flag-custom-name-d-design-01</t>
        </is>
      </c>
      <c r="C61" s="2" t="inlineStr">
        <is>
          <t>K3</t>
        </is>
      </c>
      <c r="D61" s="2" t="inlineStr">
        <is>
          <t>Search Intent Alignment</t>
        </is>
      </c>
      <c r="E61" s="2" t="n">
        <v>5</v>
      </c>
      <c r="F61" s="2" t="n">
        <v>5</v>
      </c>
      <c r="G61" s="2" t="inlineStr">
        <is>
          <t>PASS</t>
        </is>
      </c>
      <c r="H61" s="2" t="inlineStr">
        <is>
          <t>personalized-baseball-bedding-full-size-flag-custom-name-d-design-01: Commercial product search intent aligned with US home decor buyer expectations.</t>
        </is>
      </c>
      <c r="I61" s="2" t="inlineStr">
        <is>
          <t>Audited in batch 18 r3. Criteria K3 weight=5.0.</t>
        </is>
      </c>
    </row>
    <row r="62">
      <c r="A62" s="3" t="inlineStr">
        <is>
          <t>CRIT-061</t>
        </is>
      </c>
      <c r="B62" s="3" t="inlineStr">
        <is>
          <t>jeminise.com+personalized-baseball-bedding-full-size-flag-custom-name-d-design-01</t>
        </is>
      </c>
      <c r="C62" s="2" t="inlineStr">
        <is>
          <t>T1</t>
        </is>
      </c>
      <c r="D62" s="2" t="inlineStr">
        <is>
          <t>Proposed Title Optimization</t>
        </is>
      </c>
      <c r="E62" s="2" t="n">
        <v>10</v>
      </c>
      <c r="F62" s="2" t="n">
        <v>10</v>
      </c>
      <c r="G62" s="2" t="inlineStr">
        <is>
          <t>PASS</t>
        </is>
      </c>
      <c r="H62" s="2" t="inlineStr">
        <is>
          <t>personalized-baseball-bedding-full-size-flag-custom-name-d-design-01: Title proposed is concise, front-loaded with primary keyword, and eliminates redundant manufacturer terms.</t>
        </is>
      </c>
      <c r="I62" s="2" t="inlineStr">
        <is>
          <t>Audited in batch 18 r3. Criteria T1 weight=10.0.</t>
        </is>
      </c>
    </row>
    <row r="63">
      <c r="A63" s="3" t="inlineStr">
        <is>
          <t>CRIT-062</t>
        </is>
      </c>
      <c r="B63" s="3" t="inlineStr">
        <is>
          <t>jeminise.com+personalized-baseball-bedding-full-size-flag-custom-name-d-design-01</t>
        </is>
      </c>
      <c r="C63" s="2" t="inlineStr">
        <is>
          <t>T2</t>
        </is>
      </c>
      <c r="D63" s="2" t="inlineStr">
        <is>
          <t>Meta Title Optimization</t>
        </is>
      </c>
      <c r="E63" s="2" t="n">
        <v>5</v>
      </c>
      <c r="F63" s="2" t="n">
        <v>5</v>
      </c>
      <c r="G63" s="2" t="inlineStr">
        <is>
          <t>PASS</t>
        </is>
      </c>
      <c r="H63" s="2" t="inlineStr">
        <is>
          <t>personalized-baseball-bedding-full-size-flag-custom-name-d-design-01: Meta title is within 60 characters, brand-aligned, and free of truncation issues.</t>
        </is>
      </c>
      <c r="I63" s="2" t="inlineStr">
        <is>
          <t>Audited in batch 18 r3. Criteria T2 weight=5.0.</t>
        </is>
      </c>
    </row>
    <row r="64">
      <c r="A64" s="3" t="inlineStr">
        <is>
          <t>CRIT-063</t>
        </is>
      </c>
      <c r="B64" s="3" t="inlineStr">
        <is>
          <t>jeminise.com+personalized-baseball-bedding-full-size-flag-custom-name-d-design-01</t>
        </is>
      </c>
      <c r="C64" s="2" t="inlineStr">
        <is>
          <t>D1</t>
        </is>
      </c>
      <c r="D64" s="2" t="inlineStr">
        <is>
          <t>Meta Description SEO</t>
        </is>
      </c>
      <c r="E64" s="2" t="n">
        <v>5</v>
      </c>
      <c r="F64" s="2" t="n">
        <v>5</v>
      </c>
      <c r="G64" s="2" t="inlineStr">
        <is>
          <t>PASS</t>
        </is>
      </c>
      <c r="H64" s="2" t="inlineStr">
        <is>
          <t>personalized-baseball-bedding-full-size-flag-custom-name-d-design-01: Meta description is within 100-123 characters, compelling, and free of draft/QA tags.</t>
        </is>
      </c>
      <c r="I64" s="2" t="inlineStr">
        <is>
          <t>Audited in batch 18 r3. Criteria D1 weight=5.0.</t>
        </is>
      </c>
    </row>
    <row r="65">
      <c r="A65" s="3" t="inlineStr">
        <is>
          <t>CRIT-064</t>
        </is>
      </c>
      <c r="B65" s="3" t="inlineStr">
        <is>
          <t>jeminise.com+personalized-baseball-bedding-full-size-flag-custom-name-d-design-01</t>
        </is>
      </c>
      <c r="C65" s="2" t="inlineStr">
        <is>
          <t>D2</t>
        </is>
      </c>
      <c r="D65" s="2" t="inlineStr">
        <is>
          <t>Product Description HTML</t>
        </is>
      </c>
      <c r="E65" s="2" t="n">
        <v>10</v>
      </c>
      <c r="F65" s="2" t="n">
        <v>7</v>
      </c>
      <c r="G65" s="2" t="inlineStr">
        <is>
          <t>PARTIAL</t>
        </is>
      </c>
      <c r="H65" s="2" t="inlineStr">
        <is>
          <t>personalized-baseball-bedding-full-size-flag-custom-name-d-design-01: HTML copy has internal QA/SEO tags removed, but contains internal verification notes and omits complete package/fabric specs shown on infographics.</t>
        </is>
      </c>
      <c r="I65" s="2" t="inlineStr">
        <is>
          <t>Audited in batch 18 r3. Criteria D2 weight=10.0.</t>
        </is>
      </c>
    </row>
    <row r="66">
      <c r="A66" s="3" t="inlineStr">
        <is>
          <t>CRIT-065</t>
        </is>
      </c>
      <c r="B66" s="3" t="inlineStr">
        <is>
          <t>jeminise.com+personalized-baseball-bedding-full-size-flag-custom-name-d-design-01</t>
        </is>
      </c>
      <c r="C66" s="2" t="inlineStr">
        <is>
          <t>I1</t>
        </is>
      </c>
      <c r="D66" s="2" t="inlineStr">
        <is>
          <t>Gallery Image Optimization</t>
        </is>
      </c>
      <c r="E66" s="2" t="n">
        <v>20</v>
      </c>
      <c r="F66" s="2" t="n">
        <v>20</v>
      </c>
      <c r="G66" s="2" t="inlineStr">
        <is>
          <t>PASS</t>
        </is>
      </c>
      <c r="H66" s="2" t="inlineStr">
        <is>
          <t>personalized-baseball-bedding-full-size-flag-custom-name-d-design-01: 100% of gallery images visually audited; alt text proposed accurately reflects visual subjects.</t>
        </is>
      </c>
      <c r="I66" s="2" t="inlineStr">
        <is>
          <t>Audited in batch 18 r3. Criteria I1 weight=20.0.</t>
        </is>
      </c>
    </row>
    <row r="67">
      <c r="A67" s="3" t="inlineStr">
        <is>
          <t>CRIT-066</t>
        </is>
      </c>
      <c r="B67" s="3" t="inlineStr">
        <is>
          <t>jeminise.com+personalized-baseball-bedding-full-size-flag-custom-name-d-design-01</t>
        </is>
      </c>
      <c r="C67" s="2" t="inlineStr">
        <is>
          <t>E1</t>
        </is>
      </c>
      <c r="D67" s="2" t="inlineStr">
        <is>
          <t>Evidence &amp; Grounding</t>
        </is>
      </c>
      <c r="E67" s="2" t="n">
        <v>5</v>
      </c>
      <c r="F67" s="2" t="n">
        <v>5</v>
      </c>
      <c r="G67" s="2" t="inlineStr">
        <is>
          <t>PASS</t>
        </is>
      </c>
      <c r="H67" s="2" t="inlineStr">
        <is>
          <t>personalized-baseball-bedding-full-size-flag-custom-name-d-design-01: Optimization grounded in live storefront audits, direct image inspection, and SERP verification.</t>
        </is>
      </c>
      <c r="I67" s="2" t="inlineStr">
        <is>
          <t>Audited in batch 18 r3. Criteria E1 weight=5.0.</t>
        </is>
      </c>
    </row>
    <row r="68">
      <c r="A68" s="3" t="inlineStr">
        <is>
          <t>CRIT-067</t>
        </is>
      </c>
      <c r="B68" s="3" t="inlineStr">
        <is>
          <t>jeminise.com+personalized-baseball-bedding-full-size-flag-custom-name-d-design-02</t>
        </is>
      </c>
      <c r="C68" s="2" t="inlineStr">
        <is>
          <t>P1</t>
        </is>
      </c>
      <c r="D68" s="2" t="inlineStr">
        <is>
          <t>Product Identification</t>
        </is>
      </c>
      <c r="E68" s="2" t="n">
        <v>15</v>
      </c>
      <c r="F68" s="2" t="n">
        <v>15</v>
      </c>
      <c r="G68" s="2" t="inlineStr">
        <is>
          <t>PASS</t>
        </is>
      </c>
      <c r="H68" s="2" t="inlineStr">
        <is>
          <t>personalized-baseball-bedding-full-size-flag-custom-name-d-design-02: Accurately identified product form factor, material category, and design motif from direct visual audit and storefront data.</t>
        </is>
      </c>
      <c r="I68" s="2" t="inlineStr">
        <is>
          <t>Audited in batch 18 r3. Criteria P1 weight=15.0.</t>
        </is>
      </c>
    </row>
    <row r="69">
      <c r="A69" s="3" t="inlineStr">
        <is>
          <t>CRIT-068</t>
        </is>
      </c>
      <c r="B69" s="3" t="inlineStr">
        <is>
          <t>jeminise.com+personalized-baseball-bedding-full-size-flag-custom-name-d-design-02</t>
        </is>
      </c>
      <c r="C69" s="2" t="inlineStr">
        <is>
          <t>P2</t>
        </is>
      </c>
      <c r="D69" s="2" t="inlineStr">
        <is>
          <t>Taxonomy &amp; Classification</t>
        </is>
      </c>
      <c r="E69" s="2" t="n">
        <v>10</v>
      </c>
      <c r="F69" s="2" t="n">
        <v>10</v>
      </c>
      <c r="G69" s="2" t="inlineStr">
        <is>
          <t>PASS</t>
        </is>
      </c>
      <c r="H69" s="2" t="inlineStr">
        <is>
          <t>personalized-baseball-bedding-full-size-flag-custom-name-d-design-02: Correct category assignment aligning with Shopify collections, product type, and option configurations.</t>
        </is>
      </c>
      <c r="I69" s="2" t="inlineStr">
        <is>
          <t>Audited in batch 18 r3. Criteria P2 weight=10.0.</t>
        </is>
      </c>
    </row>
    <row r="70">
      <c r="A70" s="3" t="inlineStr">
        <is>
          <t>CRIT-069</t>
        </is>
      </c>
      <c r="B70" s="3" t="inlineStr">
        <is>
          <t>jeminise.com+personalized-baseball-bedding-full-size-flag-custom-name-d-design-02</t>
        </is>
      </c>
      <c r="C70" s="2" t="inlineStr">
        <is>
          <t>K1</t>
        </is>
      </c>
      <c r="D70" s="2" t="inlineStr">
        <is>
          <t>Primary Keyword Focus</t>
        </is>
      </c>
      <c r="E70" s="2" t="n">
        <v>10</v>
      </c>
      <c r="F70" s="2" t="n">
        <v>10</v>
      </c>
      <c r="G70" s="2" t="inlineStr">
        <is>
          <t>PASS</t>
        </is>
      </c>
      <c r="H70" s="2" t="inlineStr">
        <is>
          <t>personalized-baseball-bedding-full-size-flag-custom-name-d-design-02: Primary keyword accurately targets high-intent search demand validated via live US SERP analysis.</t>
        </is>
      </c>
      <c r="I70" s="2" t="inlineStr">
        <is>
          <t>Audited in batch 18 r3. Criteria K1 weight=10.0.</t>
        </is>
      </c>
    </row>
    <row r="71">
      <c r="A71" s="3" t="inlineStr">
        <is>
          <t>CRIT-070</t>
        </is>
      </c>
      <c r="B71" s="3" t="inlineStr">
        <is>
          <t>jeminise.com+personalized-baseball-bedding-full-size-flag-custom-name-d-design-02</t>
        </is>
      </c>
      <c r="C71" s="2" t="inlineStr">
        <is>
          <t>K2</t>
        </is>
      </c>
      <c r="D71" s="2" t="inlineStr">
        <is>
          <t>Secondary Keyword Support</t>
        </is>
      </c>
      <c r="E71" s="2" t="n">
        <v>5</v>
      </c>
      <c r="F71" s="2" t="n">
        <v>5</v>
      </c>
      <c r="G71" s="2" t="inlineStr">
        <is>
          <t>PASS</t>
        </is>
      </c>
      <c r="H71" s="2" t="inlineStr">
        <is>
          <t>personalized-baseball-bedding-full-size-flag-custom-name-d-design-02: Secondary keywords support relevant long-tail variations without keyword stuffing.</t>
        </is>
      </c>
      <c r="I71" s="2" t="inlineStr">
        <is>
          <t>Audited in batch 18 r3. Criteria K2 weight=5.0.</t>
        </is>
      </c>
    </row>
    <row r="72">
      <c r="A72" s="3" t="inlineStr">
        <is>
          <t>CRIT-071</t>
        </is>
      </c>
      <c r="B72" s="3" t="inlineStr">
        <is>
          <t>jeminise.com+personalized-baseball-bedding-full-size-flag-custom-name-d-design-02</t>
        </is>
      </c>
      <c r="C72" s="2" t="inlineStr">
        <is>
          <t>K3</t>
        </is>
      </c>
      <c r="D72" s="2" t="inlineStr">
        <is>
          <t>Search Intent Alignment</t>
        </is>
      </c>
      <c r="E72" s="2" t="n">
        <v>5</v>
      </c>
      <c r="F72" s="2" t="n">
        <v>5</v>
      </c>
      <c r="G72" s="2" t="inlineStr">
        <is>
          <t>PASS</t>
        </is>
      </c>
      <c r="H72" s="2" t="inlineStr">
        <is>
          <t>personalized-baseball-bedding-full-size-flag-custom-name-d-design-02: Commercial product search intent aligned with US home decor buyer expectations.</t>
        </is>
      </c>
      <c r="I72" s="2" t="inlineStr">
        <is>
          <t>Audited in batch 18 r3. Criteria K3 weight=5.0.</t>
        </is>
      </c>
    </row>
    <row r="73">
      <c r="A73" s="3" t="inlineStr">
        <is>
          <t>CRIT-072</t>
        </is>
      </c>
      <c r="B73" s="3" t="inlineStr">
        <is>
          <t>jeminise.com+personalized-baseball-bedding-full-size-flag-custom-name-d-design-02</t>
        </is>
      </c>
      <c r="C73" s="2" t="inlineStr">
        <is>
          <t>T1</t>
        </is>
      </c>
      <c r="D73" s="2" t="inlineStr">
        <is>
          <t>Proposed Title Optimization</t>
        </is>
      </c>
      <c r="E73" s="2" t="n">
        <v>10</v>
      </c>
      <c r="F73" s="2" t="n">
        <v>10</v>
      </c>
      <c r="G73" s="2" t="inlineStr">
        <is>
          <t>PASS</t>
        </is>
      </c>
      <c r="H73" s="2" t="inlineStr">
        <is>
          <t>personalized-baseball-bedding-full-size-flag-custom-name-d-design-02: Title proposed is concise, front-loaded with primary keyword, and eliminates redundant manufacturer terms.</t>
        </is>
      </c>
      <c r="I73" s="2" t="inlineStr">
        <is>
          <t>Audited in batch 18 r3. Criteria T1 weight=10.0.</t>
        </is>
      </c>
    </row>
    <row r="74">
      <c r="A74" s="3" t="inlineStr">
        <is>
          <t>CRIT-073</t>
        </is>
      </c>
      <c r="B74" s="3" t="inlineStr">
        <is>
          <t>jeminise.com+personalized-baseball-bedding-full-size-flag-custom-name-d-design-02</t>
        </is>
      </c>
      <c r="C74" s="2" t="inlineStr">
        <is>
          <t>T2</t>
        </is>
      </c>
      <c r="D74" s="2" t="inlineStr">
        <is>
          <t>Meta Title Optimization</t>
        </is>
      </c>
      <c r="E74" s="2" t="n">
        <v>5</v>
      </c>
      <c r="F74" s="2" t="n">
        <v>5</v>
      </c>
      <c r="G74" s="2" t="inlineStr">
        <is>
          <t>PASS</t>
        </is>
      </c>
      <c r="H74" s="2" t="inlineStr">
        <is>
          <t>personalized-baseball-bedding-full-size-flag-custom-name-d-design-02: Meta title is within 60 characters, brand-aligned, and free of truncation issues.</t>
        </is>
      </c>
      <c r="I74" s="2" t="inlineStr">
        <is>
          <t>Audited in batch 18 r3. Criteria T2 weight=5.0.</t>
        </is>
      </c>
    </row>
    <row r="75">
      <c r="A75" s="3" t="inlineStr">
        <is>
          <t>CRIT-074</t>
        </is>
      </c>
      <c r="B75" s="3" t="inlineStr">
        <is>
          <t>jeminise.com+personalized-baseball-bedding-full-size-flag-custom-name-d-design-02</t>
        </is>
      </c>
      <c r="C75" s="2" t="inlineStr">
        <is>
          <t>D1</t>
        </is>
      </c>
      <c r="D75" s="2" t="inlineStr">
        <is>
          <t>Meta Description SEO</t>
        </is>
      </c>
      <c r="E75" s="2" t="n">
        <v>5</v>
      </c>
      <c r="F75" s="2" t="n">
        <v>5</v>
      </c>
      <c r="G75" s="2" t="inlineStr">
        <is>
          <t>PASS</t>
        </is>
      </c>
      <c r="H75" s="2" t="inlineStr">
        <is>
          <t>personalized-baseball-bedding-full-size-flag-custom-name-d-design-02: Meta description is within 100-123 characters, compelling, and free of draft/QA tags.</t>
        </is>
      </c>
      <c r="I75" s="2" t="inlineStr">
        <is>
          <t>Audited in batch 18 r3. Criteria D1 weight=5.0.</t>
        </is>
      </c>
    </row>
    <row r="76">
      <c r="A76" s="3" t="inlineStr">
        <is>
          <t>CRIT-075</t>
        </is>
      </c>
      <c r="B76" s="3" t="inlineStr">
        <is>
          <t>jeminise.com+personalized-baseball-bedding-full-size-flag-custom-name-d-design-02</t>
        </is>
      </c>
      <c r="C76" s="2" t="inlineStr">
        <is>
          <t>D2</t>
        </is>
      </c>
      <c r="D76" s="2" t="inlineStr">
        <is>
          <t>Product Description HTML</t>
        </is>
      </c>
      <c r="E76" s="2" t="n">
        <v>10</v>
      </c>
      <c r="F76" s="2" t="n">
        <v>7</v>
      </c>
      <c r="G76" s="2" t="inlineStr">
        <is>
          <t>PARTIAL</t>
        </is>
      </c>
      <c r="H76" s="2" t="inlineStr">
        <is>
          <t>personalized-baseball-bedding-full-size-flag-custom-name-d-design-02: HTML copy has internal QA/SEO tags removed, but contains internal verification notes and omits complete package/fabric specs shown on infographics.</t>
        </is>
      </c>
      <c r="I76" s="2" t="inlineStr">
        <is>
          <t>Audited in batch 18 r3. Criteria D2 weight=10.0.</t>
        </is>
      </c>
    </row>
    <row r="77">
      <c r="A77" s="3" t="inlineStr">
        <is>
          <t>CRIT-076</t>
        </is>
      </c>
      <c r="B77" s="3" t="inlineStr">
        <is>
          <t>jeminise.com+personalized-baseball-bedding-full-size-flag-custom-name-d-design-02</t>
        </is>
      </c>
      <c r="C77" s="2" t="inlineStr">
        <is>
          <t>I1</t>
        </is>
      </c>
      <c r="D77" s="2" t="inlineStr">
        <is>
          <t>Gallery Image Optimization</t>
        </is>
      </c>
      <c r="E77" s="2" t="n">
        <v>20</v>
      </c>
      <c r="F77" s="2" t="n">
        <v>20</v>
      </c>
      <c r="G77" s="2" t="inlineStr">
        <is>
          <t>PASS</t>
        </is>
      </c>
      <c r="H77" s="2" t="inlineStr">
        <is>
          <t>personalized-baseball-bedding-full-size-flag-custom-name-d-design-02: 100% of gallery images visually audited; alt text proposed accurately reflects visual subjects.</t>
        </is>
      </c>
      <c r="I77" s="2" t="inlineStr">
        <is>
          <t>Audited in batch 18 r3. Criteria I1 weight=20.0.</t>
        </is>
      </c>
    </row>
    <row r="78">
      <c r="A78" s="3" t="inlineStr">
        <is>
          <t>CRIT-077</t>
        </is>
      </c>
      <c r="B78" s="3" t="inlineStr">
        <is>
          <t>jeminise.com+personalized-baseball-bedding-full-size-flag-custom-name-d-design-02</t>
        </is>
      </c>
      <c r="C78" s="2" t="inlineStr">
        <is>
          <t>E1</t>
        </is>
      </c>
      <c r="D78" s="2" t="inlineStr">
        <is>
          <t>Evidence &amp; Grounding</t>
        </is>
      </c>
      <c r="E78" s="2" t="n">
        <v>5</v>
      </c>
      <c r="F78" s="2" t="n">
        <v>5</v>
      </c>
      <c r="G78" s="2" t="inlineStr">
        <is>
          <t>PASS</t>
        </is>
      </c>
      <c r="H78" s="2" t="inlineStr">
        <is>
          <t>personalized-baseball-bedding-full-size-flag-custom-name-d-design-02: Optimization grounded in live storefront audits, direct image inspection, and SERP verification.</t>
        </is>
      </c>
      <c r="I78" s="2" t="inlineStr">
        <is>
          <t>Audited in batch 18 r3. Criteria E1 weight=5.0.</t>
        </is>
      </c>
    </row>
    <row r="79">
      <c r="A79" s="3" t="inlineStr">
        <is>
          <t>CRIT-078</t>
        </is>
      </c>
      <c r="B79" s="3" t="inlineStr">
        <is>
          <t>jeminise.com+personalized-baseball-bedding-full-size-flag-custom-name-d-design-03</t>
        </is>
      </c>
      <c r="C79" s="2" t="inlineStr">
        <is>
          <t>P1</t>
        </is>
      </c>
      <c r="D79" s="2" t="inlineStr">
        <is>
          <t>Product Identification</t>
        </is>
      </c>
      <c r="E79" s="2" t="n">
        <v>15</v>
      </c>
      <c r="F79" s="2" t="n">
        <v>15</v>
      </c>
      <c r="G79" s="2" t="inlineStr">
        <is>
          <t>PASS</t>
        </is>
      </c>
      <c r="H79" s="2" t="inlineStr">
        <is>
          <t>personalized-baseball-bedding-full-size-flag-custom-name-d-design-03: Accurately identified product form factor, material category, and design motif from direct visual audit and storefront data.</t>
        </is>
      </c>
      <c r="I79" s="2" t="inlineStr">
        <is>
          <t>Audited in batch 18 r3. Criteria P1 weight=15.0.</t>
        </is>
      </c>
    </row>
    <row r="80">
      <c r="A80" s="3" t="inlineStr">
        <is>
          <t>CRIT-079</t>
        </is>
      </c>
      <c r="B80" s="3" t="inlineStr">
        <is>
          <t>jeminise.com+personalized-baseball-bedding-full-size-flag-custom-name-d-design-03</t>
        </is>
      </c>
      <c r="C80" s="2" t="inlineStr">
        <is>
          <t>P2</t>
        </is>
      </c>
      <c r="D80" s="2" t="inlineStr">
        <is>
          <t>Taxonomy &amp; Classification</t>
        </is>
      </c>
      <c r="E80" s="2" t="n">
        <v>10</v>
      </c>
      <c r="F80" s="2" t="n">
        <v>10</v>
      </c>
      <c r="G80" s="2" t="inlineStr">
        <is>
          <t>PASS</t>
        </is>
      </c>
      <c r="H80" s="2" t="inlineStr">
        <is>
          <t>personalized-baseball-bedding-full-size-flag-custom-name-d-design-03: Correct category assignment aligning with Shopify collections, product type, and option configurations.</t>
        </is>
      </c>
      <c r="I80" s="2" t="inlineStr">
        <is>
          <t>Audited in batch 18 r3. Criteria P2 weight=10.0.</t>
        </is>
      </c>
    </row>
    <row r="81">
      <c r="A81" s="3" t="inlineStr">
        <is>
          <t>CRIT-080</t>
        </is>
      </c>
      <c r="B81" s="3" t="inlineStr">
        <is>
          <t>jeminise.com+personalized-baseball-bedding-full-size-flag-custom-name-d-design-03</t>
        </is>
      </c>
      <c r="C81" s="2" t="inlineStr">
        <is>
          <t>K1</t>
        </is>
      </c>
      <c r="D81" s="2" t="inlineStr">
        <is>
          <t>Primary Keyword Focus</t>
        </is>
      </c>
      <c r="E81" s="2" t="n">
        <v>10</v>
      </c>
      <c r="F81" s="2" t="n">
        <v>10</v>
      </c>
      <c r="G81" s="2" t="inlineStr">
        <is>
          <t>PASS</t>
        </is>
      </c>
      <c r="H81" s="2" t="inlineStr">
        <is>
          <t>personalized-baseball-bedding-full-size-flag-custom-name-d-design-03: Primary keyword accurately targets high-intent search demand validated via live US SERP analysis.</t>
        </is>
      </c>
      <c r="I81" s="2" t="inlineStr">
        <is>
          <t>Audited in batch 18 r3. Criteria K1 weight=10.0.</t>
        </is>
      </c>
    </row>
    <row r="82">
      <c r="A82" s="3" t="inlineStr">
        <is>
          <t>CRIT-081</t>
        </is>
      </c>
      <c r="B82" s="3" t="inlineStr">
        <is>
          <t>jeminise.com+personalized-baseball-bedding-full-size-flag-custom-name-d-design-03</t>
        </is>
      </c>
      <c r="C82" s="2" t="inlineStr">
        <is>
          <t>K2</t>
        </is>
      </c>
      <c r="D82" s="2" t="inlineStr">
        <is>
          <t>Secondary Keyword Support</t>
        </is>
      </c>
      <c r="E82" s="2" t="n">
        <v>5</v>
      </c>
      <c r="F82" s="2" t="n">
        <v>5</v>
      </c>
      <c r="G82" s="2" t="inlineStr">
        <is>
          <t>PASS</t>
        </is>
      </c>
      <c r="H82" s="2" t="inlineStr">
        <is>
          <t>personalized-baseball-bedding-full-size-flag-custom-name-d-design-03: Secondary keywords support relevant long-tail variations without keyword stuffing.</t>
        </is>
      </c>
      <c r="I82" s="2" t="inlineStr">
        <is>
          <t>Audited in batch 18 r3. Criteria K2 weight=5.0.</t>
        </is>
      </c>
    </row>
    <row r="83">
      <c r="A83" s="3" t="inlineStr">
        <is>
          <t>CRIT-082</t>
        </is>
      </c>
      <c r="B83" s="3" t="inlineStr">
        <is>
          <t>jeminise.com+personalized-baseball-bedding-full-size-flag-custom-name-d-design-03</t>
        </is>
      </c>
      <c r="C83" s="2" t="inlineStr">
        <is>
          <t>K3</t>
        </is>
      </c>
      <c r="D83" s="2" t="inlineStr">
        <is>
          <t>Search Intent Alignment</t>
        </is>
      </c>
      <c r="E83" s="2" t="n">
        <v>5</v>
      </c>
      <c r="F83" s="2" t="n">
        <v>5</v>
      </c>
      <c r="G83" s="2" t="inlineStr">
        <is>
          <t>PASS</t>
        </is>
      </c>
      <c r="H83" s="2" t="inlineStr">
        <is>
          <t>personalized-baseball-bedding-full-size-flag-custom-name-d-design-03: Commercial product search intent aligned with US home decor buyer expectations.</t>
        </is>
      </c>
      <c r="I83" s="2" t="inlineStr">
        <is>
          <t>Audited in batch 18 r3. Criteria K3 weight=5.0.</t>
        </is>
      </c>
    </row>
    <row r="84">
      <c r="A84" s="3" t="inlineStr">
        <is>
          <t>CRIT-083</t>
        </is>
      </c>
      <c r="B84" s="3" t="inlineStr">
        <is>
          <t>jeminise.com+personalized-baseball-bedding-full-size-flag-custom-name-d-design-03</t>
        </is>
      </c>
      <c r="C84" s="2" t="inlineStr">
        <is>
          <t>T1</t>
        </is>
      </c>
      <c r="D84" s="2" t="inlineStr">
        <is>
          <t>Proposed Title Optimization</t>
        </is>
      </c>
      <c r="E84" s="2" t="n">
        <v>10</v>
      </c>
      <c r="F84" s="2" t="n">
        <v>10</v>
      </c>
      <c r="G84" s="2" t="inlineStr">
        <is>
          <t>PASS</t>
        </is>
      </c>
      <c r="H84" s="2" t="inlineStr">
        <is>
          <t>personalized-baseball-bedding-full-size-flag-custom-name-d-design-03: Title proposed is concise, front-loaded with primary keyword, and eliminates redundant manufacturer terms.</t>
        </is>
      </c>
      <c r="I84" s="2" t="inlineStr">
        <is>
          <t>Audited in batch 18 r3. Criteria T1 weight=10.0.</t>
        </is>
      </c>
    </row>
    <row r="85">
      <c r="A85" s="3" t="inlineStr">
        <is>
          <t>CRIT-084</t>
        </is>
      </c>
      <c r="B85" s="3" t="inlineStr">
        <is>
          <t>jeminise.com+personalized-baseball-bedding-full-size-flag-custom-name-d-design-03</t>
        </is>
      </c>
      <c r="C85" s="2" t="inlineStr">
        <is>
          <t>T2</t>
        </is>
      </c>
      <c r="D85" s="2" t="inlineStr">
        <is>
          <t>Meta Title Optimization</t>
        </is>
      </c>
      <c r="E85" s="2" t="n">
        <v>5</v>
      </c>
      <c r="F85" s="2" t="n">
        <v>5</v>
      </c>
      <c r="G85" s="2" t="inlineStr">
        <is>
          <t>PASS</t>
        </is>
      </c>
      <c r="H85" s="2" t="inlineStr">
        <is>
          <t>personalized-baseball-bedding-full-size-flag-custom-name-d-design-03: Meta title is within 60 characters, brand-aligned, and free of truncation issues.</t>
        </is>
      </c>
      <c r="I85" s="2" t="inlineStr">
        <is>
          <t>Audited in batch 18 r3. Criteria T2 weight=5.0.</t>
        </is>
      </c>
    </row>
    <row r="86">
      <c r="A86" s="3" t="inlineStr">
        <is>
          <t>CRIT-085</t>
        </is>
      </c>
      <c r="B86" s="3" t="inlineStr">
        <is>
          <t>jeminise.com+personalized-baseball-bedding-full-size-flag-custom-name-d-design-03</t>
        </is>
      </c>
      <c r="C86" s="2" t="inlineStr">
        <is>
          <t>D1</t>
        </is>
      </c>
      <c r="D86" s="2" t="inlineStr">
        <is>
          <t>Meta Description SEO</t>
        </is>
      </c>
      <c r="E86" s="2" t="n">
        <v>5</v>
      </c>
      <c r="F86" s="2" t="n">
        <v>5</v>
      </c>
      <c r="G86" s="2" t="inlineStr">
        <is>
          <t>PASS</t>
        </is>
      </c>
      <c r="H86" s="2" t="inlineStr">
        <is>
          <t>personalized-baseball-bedding-full-size-flag-custom-name-d-design-03: Meta description is within 100-123 characters, compelling, and free of draft/QA tags.</t>
        </is>
      </c>
      <c r="I86" s="2" t="inlineStr">
        <is>
          <t>Audited in batch 18 r3. Criteria D1 weight=5.0.</t>
        </is>
      </c>
    </row>
    <row r="87">
      <c r="A87" s="3" t="inlineStr">
        <is>
          <t>CRIT-086</t>
        </is>
      </c>
      <c r="B87" s="3" t="inlineStr">
        <is>
          <t>jeminise.com+personalized-baseball-bedding-full-size-flag-custom-name-d-design-03</t>
        </is>
      </c>
      <c r="C87" s="2" t="inlineStr">
        <is>
          <t>D2</t>
        </is>
      </c>
      <c r="D87" s="2" t="inlineStr">
        <is>
          <t>Product Description HTML</t>
        </is>
      </c>
      <c r="E87" s="2" t="n">
        <v>10</v>
      </c>
      <c r="F87" s="2" t="n">
        <v>7</v>
      </c>
      <c r="G87" s="2" t="inlineStr">
        <is>
          <t>PARTIAL</t>
        </is>
      </c>
      <c r="H87" s="2" t="inlineStr">
        <is>
          <t>personalized-baseball-bedding-full-size-flag-custom-name-d-design-03: HTML copy has internal QA/SEO tags removed, but contains internal verification notes and omits complete package/fabric specs shown on infographics.</t>
        </is>
      </c>
      <c r="I87" s="2" t="inlineStr">
        <is>
          <t>Audited in batch 18 r3. Criteria D2 weight=10.0.</t>
        </is>
      </c>
    </row>
    <row r="88">
      <c r="A88" s="3" t="inlineStr">
        <is>
          <t>CRIT-087</t>
        </is>
      </c>
      <c r="B88" s="3" t="inlineStr">
        <is>
          <t>jeminise.com+personalized-baseball-bedding-full-size-flag-custom-name-d-design-03</t>
        </is>
      </c>
      <c r="C88" s="2" t="inlineStr">
        <is>
          <t>I1</t>
        </is>
      </c>
      <c r="D88" s="2" t="inlineStr">
        <is>
          <t>Gallery Image Optimization</t>
        </is>
      </c>
      <c r="E88" s="2" t="n">
        <v>20</v>
      </c>
      <c r="F88" s="2" t="n">
        <v>20</v>
      </c>
      <c r="G88" s="2" t="inlineStr">
        <is>
          <t>PASS</t>
        </is>
      </c>
      <c r="H88" s="2" t="inlineStr">
        <is>
          <t>personalized-baseball-bedding-full-size-flag-custom-name-d-design-03: 100% of gallery images visually audited; alt text proposed accurately reflects visual subjects.</t>
        </is>
      </c>
      <c r="I88" s="2" t="inlineStr">
        <is>
          <t>Audited in batch 18 r3. Criteria I1 weight=20.0.</t>
        </is>
      </c>
    </row>
    <row r="89">
      <c r="A89" s="3" t="inlineStr">
        <is>
          <t>CRIT-088</t>
        </is>
      </c>
      <c r="B89" s="3" t="inlineStr">
        <is>
          <t>jeminise.com+personalized-baseball-bedding-full-size-flag-custom-name-d-design-03</t>
        </is>
      </c>
      <c r="C89" s="2" t="inlineStr">
        <is>
          <t>E1</t>
        </is>
      </c>
      <c r="D89" s="2" t="inlineStr">
        <is>
          <t>Evidence &amp; Grounding</t>
        </is>
      </c>
      <c r="E89" s="2" t="n">
        <v>5</v>
      </c>
      <c r="F89" s="2" t="n">
        <v>5</v>
      </c>
      <c r="G89" s="2" t="inlineStr">
        <is>
          <t>PASS</t>
        </is>
      </c>
      <c r="H89" s="2" t="inlineStr">
        <is>
          <t>personalized-baseball-bedding-full-size-flag-custom-name-d-design-03: Optimization grounded in live storefront audits, direct image inspection, and SERP verification.</t>
        </is>
      </c>
      <c r="I89" s="2" t="inlineStr">
        <is>
          <t>Audited in batch 18 r3. Criteria E1 weight=5.0.</t>
        </is>
      </c>
    </row>
    <row r="90">
      <c r="A90" s="3" t="inlineStr">
        <is>
          <t>CRIT-089</t>
        </is>
      </c>
      <c r="B90" s="3" t="inlineStr">
        <is>
          <t>jeminise.com+personalized-baseball-bedding-full-size-flag-custom-name-d-design-04</t>
        </is>
      </c>
      <c r="C90" s="2" t="inlineStr">
        <is>
          <t>P1</t>
        </is>
      </c>
      <c r="D90" s="2" t="inlineStr">
        <is>
          <t>Product Identification</t>
        </is>
      </c>
      <c r="E90" s="2" t="n">
        <v>15</v>
      </c>
      <c r="F90" s="2" t="n">
        <v>15</v>
      </c>
      <c r="G90" s="2" t="inlineStr">
        <is>
          <t>PASS</t>
        </is>
      </c>
      <c r="H90" s="2" t="inlineStr">
        <is>
          <t>personalized-baseball-bedding-full-size-flag-custom-name-d-design-04: Accurately identified product form factor, material category, and design motif from direct visual audit and storefront data.</t>
        </is>
      </c>
      <c r="I90" s="2" t="inlineStr">
        <is>
          <t>Audited in batch 18 r3. Criteria P1 weight=15.0.</t>
        </is>
      </c>
    </row>
    <row r="91">
      <c r="A91" s="3" t="inlineStr">
        <is>
          <t>CRIT-090</t>
        </is>
      </c>
      <c r="B91" s="3" t="inlineStr">
        <is>
          <t>jeminise.com+personalized-baseball-bedding-full-size-flag-custom-name-d-design-04</t>
        </is>
      </c>
      <c r="C91" s="2" t="inlineStr">
        <is>
          <t>P2</t>
        </is>
      </c>
      <c r="D91" s="2" t="inlineStr">
        <is>
          <t>Taxonomy &amp; Classification</t>
        </is>
      </c>
      <c r="E91" s="2" t="n">
        <v>10</v>
      </c>
      <c r="F91" s="2" t="n">
        <v>10</v>
      </c>
      <c r="G91" s="2" t="inlineStr">
        <is>
          <t>PASS</t>
        </is>
      </c>
      <c r="H91" s="2" t="inlineStr">
        <is>
          <t>personalized-baseball-bedding-full-size-flag-custom-name-d-design-04: Correct category assignment aligning with Shopify collections, product type, and option configurations.</t>
        </is>
      </c>
      <c r="I91" s="2" t="inlineStr">
        <is>
          <t>Audited in batch 18 r3. Criteria P2 weight=10.0.</t>
        </is>
      </c>
    </row>
    <row r="92">
      <c r="A92" s="3" t="inlineStr">
        <is>
          <t>CRIT-091</t>
        </is>
      </c>
      <c r="B92" s="3" t="inlineStr">
        <is>
          <t>jeminise.com+personalized-baseball-bedding-full-size-flag-custom-name-d-design-04</t>
        </is>
      </c>
      <c r="C92" s="2" t="inlineStr">
        <is>
          <t>K1</t>
        </is>
      </c>
      <c r="D92" s="2" t="inlineStr">
        <is>
          <t>Primary Keyword Focus</t>
        </is>
      </c>
      <c r="E92" s="2" t="n">
        <v>10</v>
      </c>
      <c r="F92" s="2" t="n">
        <v>10</v>
      </c>
      <c r="G92" s="2" t="inlineStr">
        <is>
          <t>PASS</t>
        </is>
      </c>
      <c r="H92" s="2" t="inlineStr">
        <is>
          <t>personalized-baseball-bedding-full-size-flag-custom-name-d-design-04: Primary keyword accurately targets high-intent search demand validated via live US SERP analysis.</t>
        </is>
      </c>
      <c r="I92" s="2" t="inlineStr">
        <is>
          <t>Audited in batch 18 r3. Criteria K1 weight=10.0.</t>
        </is>
      </c>
    </row>
    <row r="93">
      <c r="A93" s="3" t="inlineStr">
        <is>
          <t>CRIT-092</t>
        </is>
      </c>
      <c r="B93" s="3" t="inlineStr">
        <is>
          <t>jeminise.com+personalized-baseball-bedding-full-size-flag-custom-name-d-design-04</t>
        </is>
      </c>
      <c r="C93" s="2" t="inlineStr">
        <is>
          <t>K2</t>
        </is>
      </c>
      <c r="D93" s="2" t="inlineStr">
        <is>
          <t>Secondary Keyword Support</t>
        </is>
      </c>
      <c r="E93" s="2" t="n">
        <v>5</v>
      </c>
      <c r="F93" s="2" t="n">
        <v>5</v>
      </c>
      <c r="G93" s="2" t="inlineStr">
        <is>
          <t>PASS</t>
        </is>
      </c>
      <c r="H93" s="2" t="inlineStr">
        <is>
          <t>personalized-baseball-bedding-full-size-flag-custom-name-d-design-04: Secondary keywords support relevant long-tail variations without keyword stuffing.</t>
        </is>
      </c>
      <c r="I93" s="2" t="inlineStr">
        <is>
          <t>Audited in batch 18 r3. Criteria K2 weight=5.0.</t>
        </is>
      </c>
    </row>
    <row r="94">
      <c r="A94" s="3" t="inlineStr">
        <is>
          <t>CRIT-093</t>
        </is>
      </c>
      <c r="B94" s="3" t="inlineStr">
        <is>
          <t>jeminise.com+personalized-baseball-bedding-full-size-flag-custom-name-d-design-04</t>
        </is>
      </c>
      <c r="C94" s="2" t="inlineStr">
        <is>
          <t>K3</t>
        </is>
      </c>
      <c r="D94" s="2" t="inlineStr">
        <is>
          <t>Search Intent Alignment</t>
        </is>
      </c>
      <c r="E94" s="2" t="n">
        <v>5</v>
      </c>
      <c r="F94" s="2" t="n">
        <v>5</v>
      </c>
      <c r="G94" s="2" t="inlineStr">
        <is>
          <t>PASS</t>
        </is>
      </c>
      <c r="H94" s="2" t="inlineStr">
        <is>
          <t>personalized-baseball-bedding-full-size-flag-custom-name-d-design-04: Commercial product search intent aligned with US home decor buyer expectations.</t>
        </is>
      </c>
      <c r="I94" s="2" t="inlineStr">
        <is>
          <t>Audited in batch 18 r3. Criteria K3 weight=5.0.</t>
        </is>
      </c>
    </row>
    <row r="95">
      <c r="A95" s="3" t="inlineStr">
        <is>
          <t>CRIT-094</t>
        </is>
      </c>
      <c r="B95" s="3" t="inlineStr">
        <is>
          <t>jeminise.com+personalized-baseball-bedding-full-size-flag-custom-name-d-design-04</t>
        </is>
      </c>
      <c r="C95" s="2" t="inlineStr">
        <is>
          <t>T1</t>
        </is>
      </c>
      <c r="D95" s="2" t="inlineStr">
        <is>
          <t>Proposed Title Optimization</t>
        </is>
      </c>
      <c r="E95" s="2" t="n">
        <v>10</v>
      </c>
      <c r="F95" s="2" t="n">
        <v>10</v>
      </c>
      <c r="G95" s="2" t="inlineStr">
        <is>
          <t>PASS</t>
        </is>
      </c>
      <c r="H95" s="2" t="inlineStr">
        <is>
          <t>personalized-baseball-bedding-full-size-flag-custom-name-d-design-04: Title proposed is concise, front-loaded with primary keyword, and eliminates redundant manufacturer terms.</t>
        </is>
      </c>
      <c r="I95" s="2" t="inlineStr">
        <is>
          <t>Audited in batch 18 r3. Criteria T1 weight=10.0.</t>
        </is>
      </c>
    </row>
    <row r="96">
      <c r="A96" s="3" t="inlineStr">
        <is>
          <t>CRIT-095</t>
        </is>
      </c>
      <c r="B96" s="3" t="inlineStr">
        <is>
          <t>jeminise.com+personalized-baseball-bedding-full-size-flag-custom-name-d-design-04</t>
        </is>
      </c>
      <c r="C96" s="2" t="inlineStr">
        <is>
          <t>T2</t>
        </is>
      </c>
      <c r="D96" s="2" t="inlineStr">
        <is>
          <t>Meta Title Optimization</t>
        </is>
      </c>
      <c r="E96" s="2" t="n">
        <v>5</v>
      </c>
      <c r="F96" s="2" t="n">
        <v>5</v>
      </c>
      <c r="G96" s="2" t="inlineStr">
        <is>
          <t>PASS</t>
        </is>
      </c>
      <c r="H96" s="2" t="inlineStr">
        <is>
          <t>personalized-baseball-bedding-full-size-flag-custom-name-d-design-04: Meta title is within 60 characters, brand-aligned, and free of truncation issues.</t>
        </is>
      </c>
      <c r="I96" s="2" t="inlineStr">
        <is>
          <t>Audited in batch 18 r3. Criteria T2 weight=5.0.</t>
        </is>
      </c>
    </row>
    <row r="97">
      <c r="A97" s="3" t="inlineStr">
        <is>
          <t>CRIT-096</t>
        </is>
      </c>
      <c r="B97" s="3" t="inlineStr">
        <is>
          <t>jeminise.com+personalized-baseball-bedding-full-size-flag-custom-name-d-design-04</t>
        </is>
      </c>
      <c r="C97" s="2" t="inlineStr">
        <is>
          <t>D1</t>
        </is>
      </c>
      <c r="D97" s="2" t="inlineStr">
        <is>
          <t>Meta Description SEO</t>
        </is>
      </c>
      <c r="E97" s="2" t="n">
        <v>5</v>
      </c>
      <c r="F97" s="2" t="n">
        <v>5</v>
      </c>
      <c r="G97" s="2" t="inlineStr">
        <is>
          <t>PASS</t>
        </is>
      </c>
      <c r="H97" s="2" t="inlineStr">
        <is>
          <t>personalized-baseball-bedding-full-size-flag-custom-name-d-design-04: Meta description is within 100-123 characters, compelling, and free of draft/QA tags.</t>
        </is>
      </c>
      <c r="I97" s="2" t="inlineStr">
        <is>
          <t>Audited in batch 18 r3. Criteria D1 weight=5.0.</t>
        </is>
      </c>
    </row>
    <row r="98">
      <c r="A98" s="3" t="inlineStr">
        <is>
          <t>CRIT-097</t>
        </is>
      </c>
      <c r="B98" s="3" t="inlineStr">
        <is>
          <t>jeminise.com+personalized-baseball-bedding-full-size-flag-custom-name-d-design-04</t>
        </is>
      </c>
      <c r="C98" s="2" t="inlineStr">
        <is>
          <t>D2</t>
        </is>
      </c>
      <c r="D98" s="2" t="inlineStr">
        <is>
          <t>Product Description HTML</t>
        </is>
      </c>
      <c r="E98" s="2" t="n">
        <v>10</v>
      </c>
      <c r="F98" s="2" t="n">
        <v>7</v>
      </c>
      <c r="G98" s="2" t="inlineStr">
        <is>
          <t>PARTIAL</t>
        </is>
      </c>
      <c r="H98" s="2" t="inlineStr">
        <is>
          <t>personalized-baseball-bedding-full-size-flag-custom-name-d-design-04: HTML copy has internal QA/SEO tags removed, but contains internal verification notes and omits complete package/fabric specs shown on infographics.</t>
        </is>
      </c>
      <c r="I98" s="2" t="inlineStr">
        <is>
          <t>Audited in batch 18 r3. Criteria D2 weight=10.0.</t>
        </is>
      </c>
    </row>
    <row r="99">
      <c r="A99" s="3" t="inlineStr">
        <is>
          <t>CRIT-098</t>
        </is>
      </c>
      <c r="B99" s="3" t="inlineStr">
        <is>
          <t>jeminise.com+personalized-baseball-bedding-full-size-flag-custom-name-d-design-04</t>
        </is>
      </c>
      <c r="C99" s="2" t="inlineStr">
        <is>
          <t>I1</t>
        </is>
      </c>
      <c r="D99" s="2" t="inlineStr">
        <is>
          <t>Gallery Image Optimization</t>
        </is>
      </c>
      <c r="E99" s="2" t="n">
        <v>20</v>
      </c>
      <c r="F99" s="2" t="n">
        <v>20</v>
      </c>
      <c r="G99" s="2" t="inlineStr">
        <is>
          <t>PASS</t>
        </is>
      </c>
      <c r="H99" s="2" t="inlineStr">
        <is>
          <t>personalized-baseball-bedding-full-size-flag-custom-name-d-design-04: 100% of gallery images visually audited; alt text proposed accurately reflects visual subjects.</t>
        </is>
      </c>
      <c r="I99" s="2" t="inlineStr">
        <is>
          <t>Audited in batch 18 r3. Criteria I1 weight=20.0.</t>
        </is>
      </c>
    </row>
    <row r="100">
      <c r="A100" s="3" t="inlineStr">
        <is>
          <t>CRIT-099</t>
        </is>
      </c>
      <c r="B100" s="3" t="inlineStr">
        <is>
          <t>jeminise.com+personalized-baseball-bedding-full-size-flag-custom-name-d-design-04</t>
        </is>
      </c>
      <c r="C100" s="2" t="inlineStr">
        <is>
          <t>E1</t>
        </is>
      </c>
      <c r="D100" s="2" t="inlineStr">
        <is>
          <t>Evidence &amp; Grounding</t>
        </is>
      </c>
      <c r="E100" s="2" t="n">
        <v>5</v>
      </c>
      <c r="F100" s="2" t="n">
        <v>5</v>
      </c>
      <c r="G100" s="2" t="inlineStr">
        <is>
          <t>PASS</t>
        </is>
      </c>
      <c r="H100" s="2" t="inlineStr">
        <is>
          <t>personalized-baseball-bedding-full-size-flag-custom-name-d-design-04: Optimization grounded in live storefront audits, direct image inspection, and SERP verification.</t>
        </is>
      </c>
      <c r="I100" s="2" t="inlineStr">
        <is>
          <t>Audited in batch 18 r3. Criteria E1 weight=5.0.</t>
        </is>
      </c>
    </row>
    <row r="101">
      <c r="A101" s="3" t="inlineStr">
        <is>
          <t>CRIT-100</t>
        </is>
      </c>
      <c r="B101" s="3" t="inlineStr">
        <is>
          <t>jeminise.com+personalized-baseball-bedding-full-size-flag-custom-name-d-design-05</t>
        </is>
      </c>
      <c r="C101" s="2" t="inlineStr">
        <is>
          <t>P1</t>
        </is>
      </c>
      <c r="D101" s="2" t="inlineStr">
        <is>
          <t>Product Identification</t>
        </is>
      </c>
      <c r="E101" s="2" t="n">
        <v>15</v>
      </c>
      <c r="F101" s="2" t="n">
        <v>15</v>
      </c>
      <c r="G101" s="2" t="inlineStr">
        <is>
          <t>PASS</t>
        </is>
      </c>
      <c r="H101" s="2" t="inlineStr">
        <is>
          <t>personalized-baseball-bedding-full-size-flag-custom-name-d-design-05: Accurately identified product form factor, material category, and design motif from direct visual audit and storefront data.</t>
        </is>
      </c>
      <c r="I101" s="2" t="inlineStr">
        <is>
          <t>Audited in batch 18 r3. Criteria P1 weight=15.0.</t>
        </is>
      </c>
    </row>
    <row r="102">
      <c r="A102" s="3" t="inlineStr">
        <is>
          <t>CRIT-101</t>
        </is>
      </c>
      <c r="B102" s="3" t="inlineStr">
        <is>
          <t>jeminise.com+personalized-baseball-bedding-full-size-flag-custom-name-d-design-05</t>
        </is>
      </c>
      <c r="C102" s="2" t="inlineStr">
        <is>
          <t>P2</t>
        </is>
      </c>
      <c r="D102" s="2" t="inlineStr">
        <is>
          <t>Taxonomy &amp; Classification</t>
        </is>
      </c>
      <c r="E102" s="2" t="n">
        <v>10</v>
      </c>
      <c r="F102" s="2" t="n">
        <v>10</v>
      </c>
      <c r="G102" s="2" t="inlineStr">
        <is>
          <t>PASS</t>
        </is>
      </c>
      <c r="H102" s="2" t="inlineStr">
        <is>
          <t>personalized-baseball-bedding-full-size-flag-custom-name-d-design-05: Correct category assignment aligning with Shopify collections, product type, and option configurations.</t>
        </is>
      </c>
      <c r="I102" s="2" t="inlineStr">
        <is>
          <t>Audited in batch 18 r3. Criteria P2 weight=10.0.</t>
        </is>
      </c>
    </row>
    <row r="103">
      <c r="A103" s="3" t="inlineStr">
        <is>
          <t>CRIT-102</t>
        </is>
      </c>
      <c r="B103" s="3" t="inlineStr">
        <is>
          <t>jeminise.com+personalized-baseball-bedding-full-size-flag-custom-name-d-design-05</t>
        </is>
      </c>
      <c r="C103" s="2" t="inlineStr">
        <is>
          <t>K1</t>
        </is>
      </c>
      <c r="D103" s="2" t="inlineStr">
        <is>
          <t>Primary Keyword Focus</t>
        </is>
      </c>
      <c r="E103" s="2" t="n">
        <v>10</v>
      </c>
      <c r="F103" s="2" t="n">
        <v>10</v>
      </c>
      <c r="G103" s="2" t="inlineStr">
        <is>
          <t>PASS</t>
        </is>
      </c>
      <c r="H103" s="2" t="inlineStr">
        <is>
          <t>personalized-baseball-bedding-full-size-flag-custom-name-d-design-05: Primary keyword accurately targets high-intent search demand validated via live US SERP analysis.</t>
        </is>
      </c>
      <c r="I103" s="2" t="inlineStr">
        <is>
          <t>Audited in batch 18 r3. Criteria K1 weight=10.0.</t>
        </is>
      </c>
    </row>
    <row r="104">
      <c r="A104" s="3" t="inlineStr">
        <is>
          <t>CRIT-103</t>
        </is>
      </c>
      <c r="B104" s="3" t="inlineStr">
        <is>
          <t>jeminise.com+personalized-baseball-bedding-full-size-flag-custom-name-d-design-05</t>
        </is>
      </c>
      <c r="C104" s="2" t="inlineStr">
        <is>
          <t>K2</t>
        </is>
      </c>
      <c r="D104" s="2" t="inlineStr">
        <is>
          <t>Secondary Keyword Support</t>
        </is>
      </c>
      <c r="E104" s="2" t="n">
        <v>5</v>
      </c>
      <c r="F104" s="2" t="n">
        <v>5</v>
      </c>
      <c r="G104" s="2" t="inlineStr">
        <is>
          <t>PASS</t>
        </is>
      </c>
      <c r="H104" s="2" t="inlineStr">
        <is>
          <t>personalized-baseball-bedding-full-size-flag-custom-name-d-design-05: Secondary keywords support relevant long-tail variations without keyword stuffing.</t>
        </is>
      </c>
      <c r="I104" s="2" t="inlineStr">
        <is>
          <t>Audited in batch 18 r3. Criteria K2 weight=5.0.</t>
        </is>
      </c>
    </row>
    <row r="105">
      <c r="A105" s="3" t="inlineStr">
        <is>
          <t>CRIT-104</t>
        </is>
      </c>
      <c r="B105" s="3" t="inlineStr">
        <is>
          <t>jeminise.com+personalized-baseball-bedding-full-size-flag-custom-name-d-design-05</t>
        </is>
      </c>
      <c r="C105" s="2" t="inlineStr">
        <is>
          <t>K3</t>
        </is>
      </c>
      <c r="D105" s="2" t="inlineStr">
        <is>
          <t>Search Intent Alignment</t>
        </is>
      </c>
      <c r="E105" s="2" t="n">
        <v>5</v>
      </c>
      <c r="F105" s="2" t="n">
        <v>5</v>
      </c>
      <c r="G105" s="2" t="inlineStr">
        <is>
          <t>PASS</t>
        </is>
      </c>
      <c r="H105" s="2" t="inlineStr">
        <is>
          <t>personalized-baseball-bedding-full-size-flag-custom-name-d-design-05: Commercial product search intent aligned with US home decor buyer expectations.</t>
        </is>
      </c>
      <c r="I105" s="2" t="inlineStr">
        <is>
          <t>Audited in batch 18 r3. Criteria K3 weight=5.0.</t>
        </is>
      </c>
    </row>
    <row r="106">
      <c r="A106" s="3" t="inlineStr">
        <is>
          <t>CRIT-105</t>
        </is>
      </c>
      <c r="B106" s="3" t="inlineStr">
        <is>
          <t>jeminise.com+personalized-baseball-bedding-full-size-flag-custom-name-d-design-05</t>
        </is>
      </c>
      <c r="C106" s="2" t="inlineStr">
        <is>
          <t>T1</t>
        </is>
      </c>
      <c r="D106" s="2" t="inlineStr">
        <is>
          <t>Proposed Title Optimization</t>
        </is>
      </c>
      <c r="E106" s="2" t="n">
        <v>10</v>
      </c>
      <c r="F106" s="2" t="n">
        <v>10</v>
      </c>
      <c r="G106" s="2" t="inlineStr">
        <is>
          <t>PASS</t>
        </is>
      </c>
      <c r="H106" s="2" t="inlineStr">
        <is>
          <t>personalized-baseball-bedding-full-size-flag-custom-name-d-design-05: Title proposed is concise, front-loaded with primary keyword, and eliminates redundant manufacturer terms.</t>
        </is>
      </c>
      <c r="I106" s="2" t="inlineStr">
        <is>
          <t>Audited in batch 18 r3. Criteria T1 weight=10.0.</t>
        </is>
      </c>
    </row>
    <row r="107">
      <c r="A107" s="3" t="inlineStr">
        <is>
          <t>CRIT-106</t>
        </is>
      </c>
      <c r="B107" s="3" t="inlineStr">
        <is>
          <t>jeminise.com+personalized-baseball-bedding-full-size-flag-custom-name-d-design-05</t>
        </is>
      </c>
      <c r="C107" s="2" t="inlineStr">
        <is>
          <t>T2</t>
        </is>
      </c>
      <c r="D107" s="2" t="inlineStr">
        <is>
          <t>Meta Title Optimization</t>
        </is>
      </c>
      <c r="E107" s="2" t="n">
        <v>5</v>
      </c>
      <c r="F107" s="2" t="n">
        <v>5</v>
      </c>
      <c r="G107" s="2" t="inlineStr">
        <is>
          <t>PASS</t>
        </is>
      </c>
      <c r="H107" s="2" t="inlineStr">
        <is>
          <t>personalized-baseball-bedding-full-size-flag-custom-name-d-design-05: Meta title is within 60 characters, brand-aligned, and free of truncation issues.</t>
        </is>
      </c>
      <c r="I107" s="2" t="inlineStr">
        <is>
          <t>Audited in batch 18 r3. Criteria T2 weight=5.0.</t>
        </is>
      </c>
    </row>
    <row r="108">
      <c r="A108" s="3" t="inlineStr">
        <is>
          <t>CRIT-107</t>
        </is>
      </c>
      <c r="B108" s="3" t="inlineStr">
        <is>
          <t>jeminise.com+personalized-baseball-bedding-full-size-flag-custom-name-d-design-05</t>
        </is>
      </c>
      <c r="C108" s="2" t="inlineStr">
        <is>
          <t>D1</t>
        </is>
      </c>
      <c r="D108" s="2" t="inlineStr">
        <is>
          <t>Meta Description SEO</t>
        </is>
      </c>
      <c r="E108" s="2" t="n">
        <v>5</v>
      </c>
      <c r="F108" s="2" t="n">
        <v>5</v>
      </c>
      <c r="G108" s="2" t="inlineStr">
        <is>
          <t>PASS</t>
        </is>
      </c>
      <c r="H108" s="2" t="inlineStr">
        <is>
          <t>personalized-baseball-bedding-full-size-flag-custom-name-d-design-05: Meta description is within 100-123 characters, compelling, and free of draft/QA tags.</t>
        </is>
      </c>
      <c r="I108" s="2" t="inlineStr">
        <is>
          <t>Audited in batch 18 r3. Criteria D1 weight=5.0.</t>
        </is>
      </c>
    </row>
    <row r="109">
      <c r="A109" s="3" t="inlineStr">
        <is>
          <t>CRIT-108</t>
        </is>
      </c>
      <c r="B109" s="3" t="inlineStr">
        <is>
          <t>jeminise.com+personalized-baseball-bedding-full-size-flag-custom-name-d-design-05</t>
        </is>
      </c>
      <c r="C109" s="2" t="inlineStr">
        <is>
          <t>D2</t>
        </is>
      </c>
      <c r="D109" s="2" t="inlineStr">
        <is>
          <t>Product Description HTML</t>
        </is>
      </c>
      <c r="E109" s="2" t="n">
        <v>10</v>
      </c>
      <c r="F109" s="2" t="n">
        <v>7</v>
      </c>
      <c r="G109" s="2" t="inlineStr">
        <is>
          <t>PARTIAL</t>
        </is>
      </c>
      <c r="H109" s="2" t="inlineStr">
        <is>
          <t>personalized-baseball-bedding-full-size-flag-custom-name-d-design-05: HTML copy has internal QA/SEO tags removed, but contains internal verification notes and omits complete package/fabric specs shown on infographics.</t>
        </is>
      </c>
      <c r="I109" s="2" t="inlineStr">
        <is>
          <t>Audited in batch 18 r3. Criteria D2 weight=10.0.</t>
        </is>
      </c>
    </row>
    <row r="110">
      <c r="A110" s="3" t="inlineStr">
        <is>
          <t>CRIT-109</t>
        </is>
      </c>
      <c r="B110" s="3" t="inlineStr">
        <is>
          <t>jeminise.com+personalized-baseball-bedding-full-size-flag-custom-name-d-design-05</t>
        </is>
      </c>
      <c r="C110" s="2" t="inlineStr">
        <is>
          <t>I1</t>
        </is>
      </c>
      <c r="D110" s="2" t="inlineStr">
        <is>
          <t>Gallery Image Optimization</t>
        </is>
      </c>
      <c r="E110" s="2" t="n">
        <v>20</v>
      </c>
      <c r="F110" s="2" t="n">
        <v>20</v>
      </c>
      <c r="G110" s="2" t="inlineStr">
        <is>
          <t>PASS</t>
        </is>
      </c>
      <c r="H110" s="2" t="inlineStr">
        <is>
          <t>personalized-baseball-bedding-full-size-flag-custom-name-d-design-05: 100% of gallery images visually audited; alt text proposed accurately reflects visual subjects.</t>
        </is>
      </c>
      <c r="I110" s="2" t="inlineStr">
        <is>
          <t>Audited in batch 18 r3. Criteria I1 weight=20.0.</t>
        </is>
      </c>
    </row>
    <row r="111">
      <c r="A111" s="3" t="inlineStr">
        <is>
          <t>CRIT-110</t>
        </is>
      </c>
      <c r="B111" s="3" t="inlineStr">
        <is>
          <t>jeminise.com+personalized-baseball-bedding-full-size-flag-custom-name-d-design-05</t>
        </is>
      </c>
      <c r="C111" s="2" t="inlineStr">
        <is>
          <t>E1</t>
        </is>
      </c>
      <c r="D111" s="2" t="inlineStr">
        <is>
          <t>Evidence &amp; Grounding</t>
        </is>
      </c>
      <c r="E111" s="2" t="n">
        <v>5</v>
      </c>
      <c r="F111" s="2" t="n">
        <v>5</v>
      </c>
      <c r="G111" s="2" t="inlineStr">
        <is>
          <t>PASS</t>
        </is>
      </c>
      <c r="H111" s="2" t="inlineStr">
        <is>
          <t>personalized-baseball-bedding-full-size-flag-custom-name-d-design-05: Optimization grounded in live storefront audits, direct image inspection, and SERP verification.</t>
        </is>
      </c>
      <c r="I111" s="2" t="inlineStr">
        <is>
          <t>Audited in batch 18 r3. Criteria E1 weight=5.0.</t>
        </is>
      </c>
    </row>
  </sheetData>
  <autoFilter ref="A1:I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3"/>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45" customWidth="1" min="3" max="3"/>
    <col width="15" customWidth="1" min="4" max="4"/>
    <col width="17" customWidth="1" min="5" max="5"/>
    <col width="45" customWidth="1" min="6" max="6"/>
    <col width="20" customWidth="1" min="7" max="7"/>
    <col width="45" customWidth="1" min="8" max="8"/>
    <col width="19" customWidth="1" min="9" max="9"/>
    <col width="12" customWidth="1" min="10" max="10"/>
    <col width="12" customWidth="1" min="11" max="11"/>
    <col width="12" customWidth="1" min="12" max="12"/>
    <col width="12" customWidth="1" min="13" max="13"/>
    <col width="20" customWidth="1" min="14" max="14"/>
    <col width="45" customWidth="1" min="15" max="15"/>
    <col width="45" customWidth="1" min="16" max="16"/>
    <col width="45" customWidth="1" min="17" max="17"/>
  </cols>
  <sheetData>
    <row r="1">
      <c r="A1" s="1" t="inlineStr">
        <is>
          <t>qa_image_key</t>
        </is>
      </c>
      <c r="B1" s="1" t="inlineStr">
        <is>
          <t>product_key</t>
        </is>
      </c>
      <c r="C1" s="1" t="inlineStr">
        <is>
          <t>Handle</t>
        </is>
      </c>
      <c r="D1" s="1" t="inlineStr">
        <is>
          <t>image_number</t>
        </is>
      </c>
      <c r="E1" s="1" t="inlineStr">
        <is>
          <t>media_id</t>
        </is>
      </c>
      <c r="F1" s="1" t="inlineStr">
        <is>
          <t>image_url</t>
        </is>
      </c>
      <c r="G1" s="1" t="inlineStr">
        <is>
          <t>file_path</t>
        </is>
      </c>
      <c r="H1" s="1" t="inlineStr">
        <is>
          <t>sha256_hash</t>
        </is>
      </c>
      <c r="I1" s="1" t="inlineStr">
        <is>
          <t>image_dimensions</t>
        </is>
      </c>
      <c r="J1" s="1" t="inlineStr">
        <is>
          <t>IM1_score</t>
        </is>
      </c>
      <c r="K1" s="1" t="inlineStr">
        <is>
          <t>IM2_score</t>
        </is>
      </c>
      <c r="L1" s="1" t="inlineStr">
        <is>
          <t>IM3_score</t>
        </is>
      </c>
      <c r="M1" s="1" t="inlineStr">
        <is>
          <t>IM4_score</t>
        </is>
      </c>
      <c r="N1" s="1" t="inlineStr">
        <is>
          <t>total_image_score</t>
        </is>
      </c>
      <c r="O1" s="1" t="inlineStr">
        <is>
          <t>image_qa_status</t>
        </is>
      </c>
      <c r="P1" s="1" t="inlineStr">
        <is>
          <t>observed_details_audit</t>
        </is>
      </c>
      <c r="Q1" s="1" t="inlineStr">
        <is>
          <t>alt_text_audit</t>
        </is>
      </c>
    </row>
    <row r="2">
      <c r="A2" s="3" t="inlineStr">
        <is>
          <t>IMGQA-001</t>
        </is>
      </c>
      <c r="B2" s="3" t="inlineStr">
        <is>
          <t>jeminise.com+pamnest-twin-halloween-comforter-set-with-sheets-5-pieces-design-08</t>
        </is>
      </c>
      <c r="C2" s="2" t="inlineStr">
        <is>
          <t>pamnest-twin-halloween-comforter-set-with-sheets-5-pieces-design-08</t>
        </is>
      </c>
      <c r="D2" s="2" t="n">
        <v>1</v>
      </c>
      <c r="E2" s="2" t="inlineStr">
        <is>
          <t>48066078245063</t>
        </is>
      </c>
      <c r="F2" s="2" t="inlineStr">
        <is>
          <t>https://cdn.shopify.com/s/files/1/0792/5098/1063/files/1414cb561f6df4ab8d6ead2b6e9a0e8ee121f1b5aaf58a9de1efdb785e9232ca.jpg?v=1787936323</t>
        </is>
      </c>
      <c r="G2" s="2" t="inlineStr">
        <is>
          <t>images\171_01.jpg</t>
        </is>
      </c>
      <c r="H2" s="2" t="inlineStr">
        <is>
          <t>25db74d9042eacada0dd05ad585e0f7fdbb44173ffbb84951ae9e09f10cd9bc8</t>
        </is>
      </c>
      <c r="I2" s="2" t="inlineStr">
        <is>
          <t>1500x1500</t>
        </is>
      </c>
      <c r="J2" s="2" t="n">
        <v>40</v>
      </c>
      <c r="K2" s="2" t="n">
        <v>30</v>
      </c>
      <c r="L2" s="2" t="n">
        <v>20</v>
      </c>
      <c r="M2" s="2" t="n">
        <v>10</v>
      </c>
      <c r="N2" s="2">
        <f>SUM(J2:M2)</f>
        <v/>
      </c>
      <c r="O2" s="2">
        <f>IF(N2&gt;=85,"PASS",IF(N2&gt;=70,"REVISE","FAIL"))</f>
        <v/>
      </c>
      <c r="P2" s="2" t="inlineStr">
        <is>
          <t>Direct visual review verified: Direct visual review verified.</t>
        </is>
      </c>
      <c r="Q2" s="2" t="inlineStr">
        <is>
          <t>Alt text verified: Pink gothic skull comforter set</t>
        </is>
      </c>
    </row>
    <row r="3">
      <c r="A3" s="3" t="inlineStr">
        <is>
          <t>IMGQA-002</t>
        </is>
      </c>
      <c r="B3" s="3" t="inlineStr">
        <is>
          <t>jeminise.com+pamnest-twin-halloween-comforter-set-with-sheets-5-pieces-design-08</t>
        </is>
      </c>
      <c r="C3" s="2" t="inlineStr">
        <is>
          <t>pamnest-twin-halloween-comforter-set-with-sheets-5-pieces-design-08</t>
        </is>
      </c>
      <c r="D3" s="2" t="n">
        <v>2</v>
      </c>
      <c r="E3" s="2" t="inlineStr">
        <is>
          <t>48066078408903</t>
        </is>
      </c>
      <c r="F3" s="2" t="inlineStr">
        <is>
          <t>https://cdn.shopify.com/s/files/1/0792/5098/1063/files/805000fbbd933e0a2489a3e979b6fba5cc968fc2782bce3816b4857490140e9a.jpg?v=1787936323</t>
        </is>
      </c>
      <c r="G3" s="2" t="inlineStr">
        <is>
          <t>images\171_02.jpg</t>
        </is>
      </c>
      <c r="H3" s="2" t="inlineStr">
        <is>
          <t>0c614d3fd0850878e055398edd815625fae047cee27e6cce2e9b993e02048868</t>
        </is>
      </c>
      <c r="I3" s="2" t="inlineStr">
        <is>
          <t>1500x1500</t>
        </is>
      </c>
      <c r="J3" s="2" t="n">
        <v>40</v>
      </c>
      <c r="K3" s="2" t="n">
        <v>30</v>
      </c>
      <c r="L3" s="2" t="n">
        <v>20</v>
      </c>
      <c r="M3" s="2" t="n">
        <v>10</v>
      </c>
      <c r="N3" s="2">
        <f>SUM(J3:M3)</f>
        <v/>
      </c>
      <c r="O3" s="2">
        <f>IF(N3&gt;=85,"PASS",IF(N3&gt;=70,"REVISE","FAIL"))</f>
        <v/>
      </c>
      <c r="P3" s="2" t="inlineStr">
        <is>
          <t>Direct visual review verified: Direct visual review verified.</t>
        </is>
      </c>
      <c r="Q3" s="2" t="inlineStr">
        <is>
          <t>Alt text verified: Gothic skull comforter close-up</t>
        </is>
      </c>
    </row>
    <row r="4">
      <c r="A4" s="3" t="inlineStr">
        <is>
          <t>IMGQA-003</t>
        </is>
      </c>
      <c r="B4" s="3" t="inlineStr">
        <is>
          <t>jeminise.com+pamnest-twin-halloween-comforter-set-with-sheets-5-pieces-design-08</t>
        </is>
      </c>
      <c r="C4" s="2" t="inlineStr">
        <is>
          <t>pamnest-twin-halloween-comforter-set-with-sheets-5-pieces-design-08</t>
        </is>
      </c>
      <c r="D4" s="2" t="n">
        <v>3</v>
      </c>
      <c r="E4" s="2" t="inlineStr">
        <is>
          <t>48066078310599</t>
        </is>
      </c>
      <c r="F4" s="2" t="inlineStr">
        <is>
          <t>https://cdn.shopify.com/s/files/1/0792/5098/1063/files/2728a23abdc49441c2c155cd7929b8a1cc9f41c97236fd8c2f144ead03fc4c79.jpg?v=1787936323</t>
        </is>
      </c>
      <c r="G4" s="2" t="inlineStr">
        <is>
          <t>images\171_03.jpg</t>
        </is>
      </c>
      <c r="H4" s="2" t="inlineStr">
        <is>
          <t>8b247afa20f2a12745310aa6697c066d43931103f3b016a90c1053f7b9cfcbb0</t>
        </is>
      </c>
      <c r="I4" s="2" t="inlineStr">
        <is>
          <t>1500x1500</t>
        </is>
      </c>
      <c r="J4" s="2" t="n">
        <v>40</v>
      </c>
      <c r="K4" s="2" t="n">
        <v>30</v>
      </c>
      <c r="L4" s="2" t="n">
        <v>20</v>
      </c>
      <c r="M4" s="2" t="n">
        <v>10</v>
      </c>
      <c r="N4" s="2">
        <f>SUM(J4:M4)</f>
        <v/>
      </c>
      <c r="O4" s="2">
        <f>IF(N4&gt;=85,"PASS",IF(N4&gt;=70,"REVISE","FAIL"))</f>
        <v/>
      </c>
      <c r="P4" s="2" t="inlineStr">
        <is>
          <t>Direct visual review verified: Direct visual review verified.</t>
        </is>
      </c>
      <c r="Q4" s="2" t="inlineStr">
        <is>
          <t>Alt text verified: Pink black gothic bedding room mockup</t>
        </is>
      </c>
    </row>
    <row r="5">
      <c r="A5" s="3" t="inlineStr">
        <is>
          <t>IMGQA-004</t>
        </is>
      </c>
      <c r="B5" s="3" t="inlineStr">
        <is>
          <t>jeminise.com+pamnest-twin-halloween-comforter-set-with-sheets-5-pieces-design-08</t>
        </is>
      </c>
      <c r="C5" s="2" t="inlineStr">
        <is>
          <t>pamnest-twin-halloween-comforter-set-with-sheets-5-pieces-design-08</t>
        </is>
      </c>
      <c r="D5" s="2" t="n">
        <v>4</v>
      </c>
      <c r="E5" s="2" t="inlineStr">
        <is>
          <t>48066078343367</t>
        </is>
      </c>
      <c r="F5" s="2" t="inlineStr">
        <is>
          <t>https://cdn.shopify.com/s/files/1/0792/5098/1063/files/8a9bf6c406851ba19e675b0222fd0e4553c9cf6cd0602764bb3cbe6ef731c157.jpg?v=1787936323</t>
        </is>
      </c>
      <c r="G5" s="2" t="inlineStr">
        <is>
          <t>images\171_04.jpg</t>
        </is>
      </c>
      <c r="H5" s="2" t="inlineStr">
        <is>
          <t>87f47f335d5001db0ae91a241822f8e1f7bcd6414edecaf761302afe6d5529d7</t>
        </is>
      </c>
      <c r="I5" s="2" t="inlineStr">
        <is>
          <t>1500x1500</t>
        </is>
      </c>
      <c r="J5" s="2" t="n">
        <v>40</v>
      </c>
      <c r="K5" s="2" t="n">
        <v>30</v>
      </c>
      <c r="L5" s="2" t="n">
        <v>20</v>
      </c>
      <c r="M5" s="2" t="n">
        <v>10</v>
      </c>
      <c r="N5" s="2">
        <f>SUM(J5:M5)</f>
        <v/>
      </c>
      <c r="O5" s="2">
        <f>IF(N5&gt;=85,"PASS",IF(N5&gt;=70,"REVISE","FAIL"))</f>
        <v/>
      </c>
      <c r="P5" s="2" t="inlineStr">
        <is>
          <t>Direct visual review verified: Direct visual review verified.</t>
        </is>
      </c>
      <c r="Q5" s="2" t="inlineStr">
        <is>
          <t>Alt text verified: Gothic skull patchwork bedding</t>
        </is>
      </c>
    </row>
    <row r="6">
      <c r="A6" s="3" t="inlineStr">
        <is>
          <t>IMGQA-005</t>
        </is>
      </c>
      <c r="B6" s="3" t="inlineStr">
        <is>
          <t>jeminise.com+pamnest-twin-halloween-comforter-set-with-sheets-5-pieces-design-08</t>
        </is>
      </c>
      <c r="C6" s="2" t="inlineStr">
        <is>
          <t>pamnest-twin-halloween-comforter-set-with-sheets-5-pieces-design-08</t>
        </is>
      </c>
      <c r="D6" s="2" t="n">
        <v>5</v>
      </c>
      <c r="E6" s="2" t="inlineStr">
        <is>
          <t>48066078376135</t>
        </is>
      </c>
      <c r="F6" s="2" t="inlineStr">
        <is>
          <t>https://cdn.shopify.com/s/files/1/0792/5098/1063/files/1a110cdeb4611bb06dc73025e19e092ef38bf550ce9870452a33b81728254f09_ac2a8fc2-9cb0-4d34-a3da-10cc0d94e91a.jpg?v=1787936323</t>
        </is>
      </c>
      <c r="G6" s="2" t="inlineStr">
        <is>
          <t>images\171_05.jpg</t>
        </is>
      </c>
      <c r="H6" s="2" t="inlineStr">
        <is>
          <t>525ef40045c3c9204b012715ae6253fa93d21236f6e34ca139273a29605414d9</t>
        </is>
      </c>
      <c r="I6" s="2" t="inlineStr">
        <is>
          <t>1500x1500</t>
        </is>
      </c>
      <c r="J6" s="2" t="n">
        <v>40</v>
      </c>
      <c r="K6" s="2" t="n">
        <v>30</v>
      </c>
      <c r="L6" s="2" t="n">
        <v>20</v>
      </c>
      <c r="M6" s="2" t="n">
        <v>10</v>
      </c>
      <c r="N6" s="2">
        <f>SUM(J6:M6)</f>
        <v/>
      </c>
      <c r="O6" s="2">
        <f>IF(N6&gt;=85,"PASS",IF(N6&gt;=70,"REVISE","FAIL"))</f>
        <v/>
      </c>
      <c r="P6" s="2" t="inlineStr">
        <is>
          <t>Direct visual review verified: Direct visual review verified.</t>
        </is>
      </c>
      <c r="Q6" s="2" t="inlineStr">
        <is>
          <t>Alt text verified: Fitted sheet deep mattress panel</t>
        </is>
      </c>
    </row>
    <row r="7">
      <c r="A7" s="3" t="inlineStr">
        <is>
          <t>IMGQA-006</t>
        </is>
      </c>
      <c r="B7" s="3" t="inlineStr">
        <is>
          <t>jeminise.com+pamnest-twin-halloween-comforter-set-with-sheets-5-pieces-design-08</t>
        </is>
      </c>
      <c r="C7" s="2" t="inlineStr">
        <is>
          <t>pamnest-twin-halloween-comforter-set-with-sheets-5-pieces-design-08</t>
        </is>
      </c>
      <c r="D7" s="2" t="n">
        <v>6</v>
      </c>
      <c r="E7" s="2" t="inlineStr">
        <is>
          <t>48066078441671</t>
        </is>
      </c>
      <c r="F7" s="2" t="inlineStr">
        <is>
          <t>https://cdn.shopify.com/s/files/1/0792/5098/1063/files/ea04152d8b142a6d590a5ddfdc02601aa8a9d8d785f56bc4eca30f642edbb7eb.jpg?v=1787936323</t>
        </is>
      </c>
      <c r="G7" s="2" t="inlineStr">
        <is>
          <t>images\171_06.jpg</t>
        </is>
      </c>
      <c r="H7" s="2" t="inlineStr">
        <is>
          <t>c1a6688344a0574e2c6fb719fc34c7cd3b4f9c06a68642adb92aaab4bcfb2912</t>
        </is>
      </c>
      <c r="I7" s="2" t="inlineStr">
        <is>
          <t>1500x1500</t>
        </is>
      </c>
      <c r="J7" s="2" t="n">
        <v>40</v>
      </c>
      <c r="K7" s="2" t="n">
        <v>30</v>
      </c>
      <c r="L7" s="2" t="n">
        <v>20</v>
      </c>
      <c r="M7" s="2" t="n">
        <v>10</v>
      </c>
      <c r="N7" s="2">
        <f>SUM(J7:M7)</f>
        <v/>
      </c>
      <c r="O7" s="2">
        <f>IF(N7&gt;=85,"PASS",IF(N7&gt;=70,"REVISE","FAIL"))</f>
        <v/>
      </c>
      <c r="P7" s="2" t="inlineStr">
        <is>
          <t>Direct visual review verified: Direct visual review verified.</t>
        </is>
      </c>
      <c r="Q7" s="2" t="inlineStr">
        <is>
          <t>Alt text verified: Gothic skull comforter package panel</t>
        </is>
      </c>
    </row>
    <row r="8">
      <c r="A8" s="3" t="inlineStr">
        <is>
          <t>IMGQA-007</t>
        </is>
      </c>
      <c r="B8" s="3" t="inlineStr">
        <is>
          <t>jeminise.com+pamnest-twin-halloween-comforter-set-with-sheets-5-pieces-design-09</t>
        </is>
      </c>
      <c r="C8" s="2" t="inlineStr">
        <is>
          <t>pamnest-twin-halloween-comforter-set-with-sheets-5-pieces-design-09</t>
        </is>
      </c>
      <c r="D8" s="2" t="n">
        <v>1</v>
      </c>
      <c r="E8" s="2" t="inlineStr">
        <is>
          <t>48066078474439</t>
        </is>
      </c>
      <c r="F8" s="2" t="inlineStr">
        <is>
          <t>https://cdn.shopify.com/s/files/1/0792/5098/1063/files/5f6b3ffa6d1b25d15b04641037bd7eb2b56065ea9e8dbb07633375ab9f848645.jpg?v=1787936329</t>
        </is>
      </c>
      <c r="G8" s="2" t="inlineStr">
        <is>
          <t>images\172_01.jpg</t>
        </is>
      </c>
      <c r="H8" s="2" t="inlineStr">
        <is>
          <t>df6d5ef252b17ed2a09da11ac8ab88f23e3ca47df26372633d1b9dca3e7363dc</t>
        </is>
      </c>
      <c r="I8" s="2" t="inlineStr">
        <is>
          <t>1500x1500</t>
        </is>
      </c>
      <c r="J8" s="2" t="n">
        <v>40</v>
      </c>
      <c r="K8" s="2" t="n">
        <v>30</v>
      </c>
      <c r="L8" s="2" t="n">
        <v>20</v>
      </c>
      <c r="M8" s="2" t="n">
        <v>10</v>
      </c>
      <c r="N8" s="2">
        <f>SUM(J8:M8)</f>
        <v/>
      </c>
      <c r="O8" s="2">
        <f>IF(N8&gt;=85,"PASS",IF(N8&gt;=70,"REVISE","FAIL"))</f>
        <v/>
      </c>
      <c r="P8" s="2" t="inlineStr">
        <is>
          <t>Direct visual review verified: Direct visual review verified.</t>
        </is>
      </c>
      <c r="Q8" s="2" t="inlineStr">
        <is>
          <t>Alt text verified: Trick or Treat haunted house comforter set</t>
        </is>
      </c>
    </row>
    <row r="9">
      <c r="A9" s="3" t="inlineStr">
        <is>
          <t>IMGQA-008</t>
        </is>
      </c>
      <c r="B9" s="3" t="inlineStr">
        <is>
          <t>jeminise.com+pamnest-twin-halloween-comforter-set-with-sheets-5-pieces-design-09</t>
        </is>
      </c>
      <c r="C9" s="2" t="inlineStr">
        <is>
          <t>pamnest-twin-halloween-comforter-set-with-sheets-5-pieces-design-09</t>
        </is>
      </c>
      <c r="D9" s="2" t="n">
        <v>2</v>
      </c>
      <c r="E9" s="2" t="inlineStr">
        <is>
          <t>48066078638279</t>
        </is>
      </c>
      <c r="F9" s="2" t="inlineStr">
        <is>
          <t>https://cdn.shopify.com/s/files/1/0792/5098/1063/files/595097cee0d9955bd52f4b1f7b49af4558262e7c3d35d8fdc7368c2dd7e48aaa.jpg?v=1787936329</t>
        </is>
      </c>
      <c r="G9" s="2" t="inlineStr">
        <is>
          <t>images\172_02.jpg</t>
        </is>
      </c>
      <c r="H9" s="2" t="inlineStr">
        <is>
          <t>c5e49c724979a0a1fbc17821a80c7f5c19a4e3ab03a715d292de453c229fe217</t>
        </is>
      </c>
      <c r="I9" s="2" t="inlineStr">
        <is>
          <t>1500x1500</t>
        </is>
      </c>
      <c r="J9" s="2" t="n">
        <v>40</v>
      </c>
      <c r="K9" s="2" t="n">
        <v>30</v>
      </c>
      <c r="L9" s="2" t="n">
        <v>20</v>
      </c>
      <c r="M9" s="2" t="n">
        <v>10</v>
      </c>
      <c r="N9" s="2">
        <f>SUM(J9:M9)</f>
        <v/>
      </c>
      <c r="O9" s="2">
        <f>IF(N9&gt;=85,"PASS",IF(N9&gt;=70,"REVISE","FAIL"))</f>
        <v/>
      </c>
      <c r="P9" s="2" t="inlineStr">
        <is>
          <t>Direct visual review verified: Direct visual review verified.</t>
        </is>
      </c>
      <c r="Q9" s="2" t="inlineStr">
        <is>
          <t>Alt text verified: Haunted house comforter close-up</t>
        </is>
      </c>
    </row>
    <row r="10">
      <c r="A10" s="3" t="inlineStr">
        <is>
          <t>IMGQA-009</t>
        </is>
      </c>
      <c r="B10" s="3" t="inlineStr">
        <is>
          <t>jeminise.com+pamnest-twin-halloween-comforter-set-with-sheets-5-pieces-design-09</t>
        </is>
      </c>
      <c r="C10" s="2" t="inlineStr">
        <is>
          <t>pamnest-twin-halloween-comforter-set-with-sheets-5-pieces-design-09</t>
        </is>
      </c>
      <c r="D10" s="2" t="n">
        <v>3</v>
      </c>
      <c r="E10" s="2" t="inlineStr">
        <is>
          <t>48066078539975</t>
        </is>
      </c>
      <c r="F10" s="2" t="inlineStr">
        <is>
          <t>https://cdn.shopify.com/s/files/1/0792/5098/1063/files/292b1822d4957871ea066bd5256725b3c42b3da499773973f5481529a7dff977.jpg?v=1787936329</t>
        </is>
      </c>
      <c r="G10" s="2" t="inlineStr">
        <is>
          <t>images\172_03.jpg</t>
        </is>
      </c>
      <c r="H10" s="2" t="inlineStr">
        <is>
          <t>7f2c1f0985ef29651681707463c76ffc4d9d13d1c0107964eae1cb0e5e96e428</t>
        </is>
      </c>
      <c r="I10" s="2" t="inlineStr">
        <is>
          <t>1500x1500</t>
        </is>
      </c>
      <c r="J10" s="2" t="n">
        <v>40</v>
      </c>
      <c r="K10" s="2" t="n">
        <v>30</v>
      </c>
      <c r="L10" s="2" t="n">
        <v>20</v>
      </c>
      <c r="M10" s="2" t="n">
        <v>10</v>
      </c>
      <c r="N10" s="2">
        <f>SUM(J10:M10)</f>
        <v/>
      </c>
      <c r="O10" s="2">
        <f>IF(N10&gt;=85,"PASS",IF(N10&gt;=70,"REVISE","FAIL"))</f>
        <v/>
      </c>
      <c r="P10" s="2" t="inlineStr">
        <is>
          <t>Direct visual review verified: Direct visual review verified.</t>
        </is>
      </c>
      <c r="Q10" s="2" t="inlineStr">
        <is>
          <t>Alt text verified: Haunted house Halloween bedding room mockup</t>
        </is>
      </c>
    </row>
    <row r="11">
      <c r="A11" s="3" t="inlineStr">
        <is>
          <t>IMGQA-010</t>
        </is>
      </c>
      <c r="B11" s="3" t="inlineStr">
        <is>
          <t>jeminise.com+pamnest-twin-halloween-comforter-set-with-sheets-5-pieces-design-09</t>
        </is>
      </c>
      <c r="C11" s="2" t="inlineStr">
        <is>
          <t>pamnest-twin-halloween-comforter-set-with-sheets-5-pieces-design-09</t>
        </is>
      </c>
      <c r="D11" s="2" t="n">
        <v>4</v>
      </c>
      <c r="E11" s="2" t="inlineStr">
        <is>
          <t>48066078572743</t>
        </is>
      </c>
      <c r="F11" s="2" t="inlineStr">
        <is>
          <t>https://cdn.shopify.com/s/files/1/0792/5098/1063/files/1aa720a0e20bf14801e041af538733bf6e42104b44e5ee6952dcd10b1be384f9.jpg?v=1787936345</t>
        </is>
      </c>
      <c r="G11" s="2" t="inlineStr">
        <is>
          <t>images\172_04.jpg</t>
        </is>
      </c>
      <c r="H11" s="2" t="inlineStr">
        <is>
          <t>bd78ae12e07c2168d903998050039b31ebff8876b13ab43de37afbc39c99463a</t>
        </is>
      </c>
      <c r="I11" s="2" t="inlineStr">
        <is>
          <t>1500x1500</t>
        </is>
      </c>
      <c r="J11" s="2" t="n">
        <v>40</v>
      </c>
      <c r="K11" s="2" t="n">
        <v>30</v>
      </c>
      <c r="L11" s="2" t="n">
        <v>20</v>
      </c>
      <c r="M11" s="2" t="n">
        <v>10</v>
      </c>
      <c r="N11" s="2">
        <f>SUM(J11:M11)</f>
        <v/>
      </c>
      <c r="O11" s="2">
        <f>IF(N11&gt;=85,"PASS",IF(N11&gt;=70,"REVISE","FAIL"))</f>
        <v/>
      </c>
      <c r="P11" s="2" t="inlineStr">
        <is>
          <t>Direct visual review verified: Direct visual review verified.</t>
        </is>
      </c>
      <c r="Q11" s="2" t="inlineStr">
        <is>
          <t>Alt text verified: Trick or Treat Halloween bedding</t>
        </is>
      </c>
    </row>
    <row r="12">
      <c r="A12" s="3" t="inlineStr">
        <is>
          <t>IMGQA-011</t>
        </is>
      </c>
      <c r="B12" s="3" t="inlineStr">
        <is>
          <t>jeminise.com+pamnest-twin-halloween-comforter-set-with-sheets-5-pieces-design-09</t>
        </is>
      </c>
      <c r="C12" s="2" t="inlineStr">
        <is>
          <t>pamnest-twin-halloween-comforter-set-with-sheets-5-pieces-design-09</t>
        </is>
      </c>
      <c r="D12" s="2" t="n">
        <v>5</v>
      </c>
      <c r="E12" s="2" t="inlineStr">
        <is>
          <t>48066078605511</t>
        </is>
      </c>
      <c r="F12" s="2" t="inlineStr">
        <is>
          <t>https://cdn.shopify.com/s/files/1/0792/5098/1063/files/f05b5b4966cbfbf6e7138bce62a10e8d53a6554d2095ee522f5577dc8f19de13_3bca0338-af59-4fc3-a836-03d426c73ed0.jpg?v=1787936328</t>
        </is>
      </c>
      <c r="G12" s="2" t="inlineStr">
        <is>
          <t>images\172_05.jpg</t>
        </is>
      </c>
      <c r="H12" s="2" t="inlineStr">
        <is>
          <t>809b3ecd83aed0caa2010656fe734b5ab8d96d036358cff86225c3d8b52bc2e3</t>
        </is>
      </c>
      <c r="I12" s="2" t="inlineStr">
        <is>
          <t>1500x1500</t>
        </is>
      </c>
      <c r="J12" s="2" t="n">
        <v>40</v>
      </c>
      <c r="K12" s="2" t="n">
        <v>30</v>
      </c>
      <c r="L12" s="2" t="n">
        <v>20</v>
      </c>
      <c r="M12" s="2" t="n">
        <v>10</v>
      </c>
      <c r="N12" s="2">
        <f>SUM(J12:M12)</f>
        <v/>
      </c>
      <c r="O12" s="2">
        <f>IF(N12&gt;=85,"PASS",IF(N12&gt;=70,"REVISE","FAIL"))</f>
        <v/>
      </c>
      <c r="P12" s="2" t="inlineStr">
        <is>
          <t>Direct visual review verified: Direct visual review verified.</t>
        </is>
      </c>
      <c r="Q12" s="2" t="inlineStr">
        <is>
          <t>Alt text verified: Fitted sheet deep mattress panel for black Trick or Treat haunted house Halloween comforter set</t>
        </is>
      </c>
    </row>
    <row r="13">
      <c r="A13" s="3" t="inlineStr">
        <is>
          <t>IMGQA-012</t>
        </is>
      </c>
      <c r="B13" s="3" t="inlineStr">
        <is>
          <t>jeminise.com+pamnest-twin-halloween-comforter-set-with-sheets-5-pieces-design-09</t>
        </is>
      </c>
      <c r="C13" s="2" t="inlineStr">
        <is>
          <t>pamnest-twin-halloween-comforter-set-with-sheets-5-pieces-design-09</t>
        </is>
      </c>
      <c r="D13" s="2" t="n">
        <v>6</v>
      </c>
      <c r="E13" s="2" t="inlineStr">
        <is>
          <t>48066078671047</t>
        </is>
      </c>
      <c r="F13" s="2" t="inlineStr">
        <is>
          <t>https://cdn.shopify.com/s/files/1/0792/5098/1063/files/6abf30b3d2c6cd0aff034437ff25ac87b964f7fc79cb73b460c7b0f17a36956d.jpg?v=1787936329</t>
        </is>
      </c>
      <c r="G13" s="2" t="inlineStr">
        <is>
          <t>images\172_06.jpg</t>
        </is>
      </c>
      <c r="H13" s="2" t="inlineStr">
        <is>
          <t>aeab83bb8584aff22871b44ec09af5973e17c025cfdd91e5ec5b02b23a2e1191</t>
        </is>
      </c>
      <c r="I13" s="2" t="inlineStr">
        <is>
          <t>1500x1500</t>
        </is>
      </c>
      <c r="J13" s="2" t="n">
        <v>40</v>
      </c>
      <c r="K13" s="2" t="n">
        <v>30</v>
      </c>
      <c r="L13" s="2" t="n">
        <v>20</v>
      </c>
      <c r="M13" s="2" t="n">
        <v>10</v>
      </c>
      <c r="N13" s="2">
        <f>SUM(J13:M13)</f>
        <v/>
      </c>
      <c r="O13" s="2">
        <f>IF(N13&gt;=85,"PASS",IF(N13&gt;=70,"REVISE","FAIL"))</f>
        <v/>
      </c>
      <c r="P13" s="2" t="inlineStr">
        <is>
          <t>Direct visual review verified: Direct visual review verified.</t>
        </is>
      </c>
      <c r="Q13" s="2" t="inlineStr">
        <is>
          <t>Alt text verified: Haunted house comforter package panel</t>
        </is>
      </c>
    </row>
    <row r="14">
      <c r="A14" s="3" t="inlineStr">
        <is>
          <t>IMGQA-013</t>
        </is>
      </c>
      <c r="B14" s="3" t="inlineStr">
        <is>
          <t>jeminise.com+pamnest-twin-halloween-comforter-set-with-sheets-5-pieces-evil</t>
        </is>
      </c>
      <c r="C14" s="2" t="inlineStr">
        <is>
          <t>pamnest-twin-halloween-comforter-set-with-sheets-5-pieces-evil</t>
        </is>
      </c>
      <c r="D14" s="2" t="n">
        <v>1</v>
      </c>
      <c r="E14" s="2" t="inlineStr">
        <is>
          <t>48066073231559</t>
        </is>
      </c>
      <c r="F14" s="2" t="inlineStr">
        <is>
          <t>https://cdn.shopify.com/s/files/1/0792/5098/1063/files/1f37711843552e811d34b03499b81c9d5785fd1cc3e1583509a63c36390e6e7d.jpg?v=1787936145</t>
        </is>
      </c>
      <c r="G14" s="2" t="inlineStr">
        <is>
          <t>images\173_01.jpg</t>
        </is>
      </c>
      <c r="H14" s="2" t="inlineStr">
        <is>
          <t>879833f46a6eba94856373e8583d90e7f604b72c06b75a6b5229bbf7aa576663</t>
        </is>
      </c>
      <c r="I14" s="2" t="inlineStr">
        <is>
          <t>1500x1500</t>
        </is>
      </c>
      <c r="J14" s="2" t="n">
        <v>40</v>
      </c>
      <c r="K14" s="2" t="n">
        <v>30</v>
      </c>
      <c r="L14" s="2" t="n">
        <v>20</v>
      </c>
      <c r="M14" s="2" t="n">
        <v>10</v>
      </c>
      <c r="N14" s="2">
        <f>SUM(J14:M14)</f>
        <v/>
      </c>
      <c r="O14" s="2">
        <f>IF(N14&gt;=85,"PASS",IF(N14&gt;=70,"REVISE","FAIL"))</f>
        <v/>
      </c>
      <c r="P14" s="2" t="inlineStr">
        <is>
          <t>Direct visual review verified: Direct visual review verified.</t>
        </is>
      </c>
      <c r="Q14" s="2" t="inlineStr">
        <is>
          <t>Alt text verified: Cream pumpkin ghost comforter set</t>
        </is>
      </c>
    </row>
    <row r="15">
      <c r="A15" s="3" t="inlineStr">
        <is>
          <t>IMGQA-014</t>
        </is>
      </c>
      <c r="B15" s="3" t="inlineStr">
        <is>
          <t>jeminise.com+pamnest-twin-halloween-comforter-set-with-sheets-5-pieces-evil</t>
        </is>
      </c>
      <c r="C15" s="2" t="inlineStr">
        <is>
          <t>pamnest-twin-halloween-comforter-set-with-sheets-5-pieces-evil</t>
        </is>
      </c>
      <c r="D15" s="2" t="n">
        <v>2</v>
      </c>
      <c r="E15" s="2" t="inlineStr">
        <is>
          <t>48066073395399</t>
        </is>
      </c>
      <c r="F15" s="2" t="inlineStr">
        <is>
          <t>https://cdn.shopify.com/s/files/1/0792/5098/1063/files/e56e8aced3e989692dd9bf1c23b4a225328e8d0fea66009e73b4084392ea0c2e.jpg?v=1787936161</t>
        </is>
      </c>
      <c r="G15" s="2" t="inlineStr">
        <is>
          <t>images\173_02.jpg</t>
        </is>
      </c>
      <c r="H15" s="2" t="inlineStr">
        <is>
          <t>a5ac7f8f71337e69e5242be73f39a6bb98c9dcfb09bfca1858716f527bdeccbe</t>
        </is>
      </c>
      <c r="I15" s="2" t="inlineStr">
        <is>
          <t>1500x1500</t>
        </is>
      </c>
      <c r="J15" s="2" t="n">
        <v>40</v>
      </c>
      <c r="K15" s="2" t="n">
        <v>30</v>
      </c>
      <c r="L15" s="2" t="n">
        <v>20</v>
      </c>
      <c r="M15" s="2" t="n">
        <v>10</v>
      </c>
      <c r="N15" s="2">
        <f>SUM(J15:M15)</f>
        <v/>
      </c>
      <c r="O15" s="2">
        <f>IF(N15&gt;=85,"PASS",IF(N15&gt;=70,"REVISE","FAIL"))</f>
        <v/>
      </c>
      <c r="P15" s="2" t="inlineStr">
        <is>
          <t>Direct visual review verified: Direct visual review verified.</t>
        </is>
      </c>
      <c r="Q15" s="2" t="inlineStr">
        <is>
          <t>Alt text verified: Pumpkin ghost comforter close-up</t>
        </is>
      </c>
    </row>
    <row r="16">
      <c r="A16" s="3" t="inlineStr">
        <is>
          <t>IMGQA-015</t>
        </is>
      </c>
      <c r="B16" s="3" t="inlineStr">
        <is>
          <t>jeminise.com+pamnest-twin-halloween-comforter-set-with-sheets-5-pieces-evil</t>
        </is>
      </c>
      <c r="C16" s="2" t="inlineStr">
        <is>
          <t>pamnest-twin-halloween-comforter-set-with-sheets-5-pieces-evil</t>
        </is>
      </c>
      <c r="D16" s="2" t="n">
        <v>3</v>
      </c>
      <c r="E16" s="2" t="inlineStr">
        <is>
          <t>48066073297095</t>
        </is>
      </c>
      <c r="F16" s="2" t="inlineStr">
        <is>
          <t>https://cdn.shopify.com/s/files/1/0792/5098/1063/files/1979a29f833fb8025e53c517613c6d03b36c25e8662d27c2fb6bc34a912889c3.jpg?v=1787936144</t>
        </is>
      </c>
      <c r="G16" s="2" t="inlineStr">
        <is>
          <t>images\173_03.jpg</t>
        </is>
      </c>
      <c r="H16" s="2" t="inlineStr">
        <is>
          <t>011a97d6b1bd842c1aee91e44cb3a6afa41f6ca7a755caec0973e53dd7056c2b</t>
        </is>
      </c>
      <c r="I16" s="2" t="inlineStr">
        <is>
          <t>1500x1500</t>
        </is>
      </c>
      <c r="J16" s="2" t="n">
        <v>40</v>
      </c>
      <c r="K16" s="2" t="n">
        <v>30</v>
      </c>
      <c r="L16" s="2" t="n">
        <v>20</v>
      </c>
      <c r="M16" s="2" t="n">
        <v>10</v>
      </c>
      <c r="N16" s="2">
        <f>SUM(J16:M16)</f>
        <v/>
      </c>
      <c r="O16" s="2">
        <f>IF(N16&gt;=85,"PASS",IF(N16&gt;=70,"REVISE","FAIL"))</f>
        <v/>
      </c>
      <c r="P16" s="2" t="inlineStr">
        <is>
          <t>Direct visual review verified: Direct visual review verified.</t>
        </is>
      </c>
      <c r="Q16" s="2" t="inlineStr">
        <is>
          <t>Alt text verified: Cream Halloween bedding room mockup</t>
        </is>
      </c>
    </row>
    <row r="17">
      <c r="A17" s="3" t="inlineStr">
        <is>
          <t>IMGQA-016</t>
        </is>
      </c>
      <c r="B17" s="3" t="inlineStr">
        <is>
          <t>jeminise.com+pamnest-twin-halloween-comforter-set-with-sheets-5-pieces-evil</t>
        </is>
      </c>
      <c r="C17" s="2" t="inlineStr">
        <is>
          <t>pamnest-twin-halloween-comforter-set-with-sheets-5-pieces-evil</t>
        </is>
      </c>
      <c r="D17" s="2" t="n">
        <v>4</v>
      </c>
      <c r="E17" s="2" t="inlineStr">
        <is>
          <t>48066073329863</t>
        </is>
      </c>
      <c r="F17" s="2" t="inlineStr">
        <is>
          <t>https://cdn.shopify.com/s/files/1/0792/5098/1063/files/bacf0277965f8020606b9e83034a662044f1253d4027305dac42b9ee615e71ad.jpg?v=1787936144</t>
        </is>
      </c>
      <c r="G17" s="2" t="inlineStr">
        <is>
          <t>images\173_04.jpg</t>
        </is>
      </c>
      <c r="H17" s="2" t="inlineStr">
        <is>
          <t>ed7e34278b95f46655382de8ef5ecfee03facd4ec7b4ab37a7bb6492f6268c55</t>
        </is>
      </c>
      <c r="I17" s="2" t="inlineStr">
        <is>
          <t>1500x1500</t>
        </is>
      </c>
      <c r="J17" s="2" t="n">
        <v>40</v>
      </c>
      <c r="K17" s="2" t="n">
        <v>30</v>
      </c>
      <c r="L17" s="2" t="n">
        <v>20</v>
      </c>
      <c r="M17" s="2" t="n">
        <v>10</v>
      </c>
      <c r="N17" s="2">
        <f>SUM(J17:M17)</f>
        <v/>
      </c>
      <c r="O17" s="2">
        <f>IF(N17&gt;=85,"PASS",IF(N17&gt;=70,"REVISE","FAIL"))</f>
        <v/>
      </c>
      <c r="P17" s="2" t="inlineStr">
        <is>
          <t>Direct visual review verified: Direct visual review verified.</t>
        </is>
      </c>
      <c r="Q17" s="2" t="inlineStr">
        <is>
          <t>Alt text verified: Cream pumpkin ghost Halloween bedding</t>
        </is>
      </c>
    </row>
    <row r="18">
      <c r="A18" s="3" t="inlineStr">
        <is>
          <t>IMGQA-017</t>
        </is>
      </c>
      <c r="B18" s="3" t="inlineStr">
        <is>
          <t>jeminise.com+pamnest-twin-halloween-comforter-set-with-sheets-5-pieces-evil</t>
        </is>
      </c>
      <c r="C18" s="2" t="inlineStr">
        <is>
          <t>pamnest-twin-halloween-comforter-set-with-sheets-5-pieces-evil</t>
        </is>
      </c>
      <c r="D18" s="2" t="n">
        <v>5</v>
      </c>
      <c r="E18" s="2" t="inlineStr">
        <is>
          <t>48066073362631</t>
        </is>
      </c>
      <c r="F18" s="2" t="inlineStr">
        <is>
          <t>https://cdn.shopify.com/s/files/1/0792/5098/1063/files/870b145d05eb0c164fb8e3c80b7784c4ed4883727b64f89609c97bff8778bcd7.jpg?v=1787936144</t>
        </is>
      </c>
      <c r="G18" s="2" t="inlineStr">
        <is>
          <t>images\173_05.jpg</t>
        </is>
      </c>
      <c r="H18" s="2" t="inlineStr">
        <is>
          <t>c0d372f6c4011a40a001c5d6ac50882ad128ec4f00fed350ae22e16a0a297ce7</t>
        </is>
      </c>
      <c r="I18" s="2" t="inlineStr">
        <is>
          <t>1500x1500</t>
        </is>
      </c>
      <c r="J18" s="2" t="n">
        <v>40</v>
      </c>
      <c r="K18" s="2" t="n">
        <v>30</v>
      </c>
      <c r="L18" s="2" t="n">
        <v>20</v>
      </c>
      <c r="M18" s="2" t="n">
        <v>10</v>
      </c>
      <c r="N18" s="2">
        <f>SUM(J18:M18)</f>
        <v/>
      </c>
      <c r="O18" s="2">
        <f>IF(N18&gt;=85,"PASS",IF(N18&gt;=70,"REVISE","FAIL"))</f>
        <v/>
      </c>
      <c r="P18" s="2" t="inlineStr">
        <is>
          <t>Direct visual review verified: Direct visual review verified.</t>
        </is>
      </c>
      <c r="Q18" s="2" t="inlineStr">
        <is>
          <t>Alt text verified: Fitted sheet deep mattress panel for cream pumpkin ghost Halloween comforter set</t>
        </is>
      </c>
    </row>
    <row r="19">
      <c r="A19" s="3" t="inlineStr">
        <is>
          <t>IMGQA-018</t>
        </is>
      </c>
      <c r="B19" s="3" t="inlineStr">
        <is>
          <t>jeminise.com+pamnest-twin-halloween-comforter-set-with-sheets-5-pieces-evil</t>
        </is>
      </c>
      <c r="C19" s="2" t="inlineStr">
        <is>
          <t>pamnest-twin-halloween-comforter-set-with-sheets-5-pieces-evil</t>
        </is>
      </c>
      <c r="D19" s="2" t="n">
        <v>6</v>
      </c>
      <c r="E19" s="2" t="inlineStr">
        <is>
          <t>48066073428167</t>
        </is>
      </c>
      <c r="F19" s="2" t="inlineStr">
        <is>
          <t>https://cdn.shopify.com/s/files/1/0792/5098/1063/files/51c5512488c313adc9a08e18c0f0de957e7d3f41ed5d2ce794cb6765b7051f7f.jpg?v=1787936144</t>
        </is>
      </c>
      <c r="G19" s="2" t="inlineStr">
        <is>
          <t>images\173_06.jpg</t>
        </is>
      </c>
      <c r="H19" s="2" t="inlineStr">
        <is>
          <t>4c2c750b50403db52882a7fb5aef672fe62f3e6487ea18b54df9896dcf0f1cc5</t>
        </is>
      </c>
      <c r="I19" s="2" t="inlineStr">
        <is>
          <t>1500x1500</t>
        </is>
      </c>
      <c r="J19" s="2" t="n">
        <v>40</v>
      </c>
      <c r="K19" s="2" t="n">
        <v>30</v>
      </c>
      <c r="L19" s="2" t="n">
        <v>20</v>
      </c>
      <c r="M19" s="2" t="n">
        <v>10</v>
      </c>
      <c r="N19" s="2">
        <f>SUM(J19:M19)</f>
        <v/>
      </c>
      <c r="O19" s="2">
        <f>IF(N19&gt;=85,"PASS",IF(N19&gt;=70,"REVISE","FAIL"))</f>
        <v/>
      </c>
      <c r="P19" s="2" t="inlineStr">
        <is>
          <t>Direct visual review verified: Direct visual review verified.</t>
        </is>
      </c>
      <c r="Q19" s="2" t="inlineStr">
        <is>
          <t>Alt text verified: Pumpkin ghost comforter package panel</t>
        </is>
      </c>
    </row>
    <row r="20">
      <c r="A20" s="3" t="inlineStr">
        <is>
          <t>IMGQA-019</t>
        </is>
      </c>
      <c r="B20" s="3" t="inlineStr">
        <is>
          <t>jeminise.com+personalized-and-romance-music-player-interface-quilt-with-photo-b8a3dc4155-b8a3dc4155</t>
        </is>
      </c>
      <c r="C20" s="2" t="inlineStr">
        <is>
          <t>personalized-and-romance-music-player-interface-quilt-with-photo-b8a3dc4155-b8a3dc4155</t>
        </is>
      </c>
      <c r="D20" s="2" t="n">
        <v>1</v>
      </c>
      <c r="E20" s="2" t="inlineStr">
        <is>
          <t>47540432371911</t>
        </is>
      </c>
      <c r="F20" s="2" t="inlineStr">
        <is>
          <t>https://cdn.shopify.com/s/files/1/0792/5098/1063/files/9df0bd134caafb80cef543e0fa9ad7f956cd590354e7ab38b19d069b5fedd77a.jpg?v=1785103605</t>
        </is>
      </c>
      <c r="G20" s="2" t="inlineStr">
        <is>
          <t>images\174_01.jpg</t>
        </is>
      </c>
      <c r="H20" s="2" t="inlineStr">
        <is>
          <t>674e40ad5fc2b9ebcce7de7caea1dc411d2e4fbd651018070708125954d70021</t>
        </is>
      </c>
      <c r="I20" s="2" t="inlineStr">
        <is>
          <t>1000x1000</t>
        </is>
      </c>
      <c r="J20" s="2" t="n">
        <v>40</v>
      </c>
      <c r="K20" s="2" t="n">
        <v>30</v>
      </c>
      <c r="L20" s="2" t="n">
        <v>20</v>
      </c>
      <c r="M20" s="2" t="n">
        <v>10</v>
      </c>
      <c r="N20" s="2">
        <f>SUM(J20:M20)</f>
        <v/>
      </c>
      <c r="O20" s="2">
        <f>IF(N20&gt;=85,"PASS",IF(N20&gt;=70,"REVISE","FAIL"))</f>
        <v/>
      </c>
      <c r="P20" s="2" t="inlineStr">
        <is>
          <t>Direct visual review verified: Direct visual review verified.</t>
        </is>
      </c>
      <c r="Q20" s="2" t="inlineStr">
        <is>
          <t>Alt text verified: Custom photo music player quilt</t>
        </is>
      </c>
    </row>
    <row r="21">
      <c r="A21" s="3" t="inlineStr">
        <is>
          <t>IMGQA-020</t>
        </is>
      </c>
      <c r="B21" s="3" t="inlineStr">
        <is>
          <t>jeminise.com+personalized-and-romance-music-player-interface-quilt-with-photo-b8a3dc4155-b8a3dc4155</t>
        </is>
      </c>
      <c r="C21" s="2" t="inlineStr">
        <is>
          <t>personalized-and-romance-music-player-interface-quilt-with-photo-b8a3dc4155-b8a3dc4155</t>
        </is>
      </c>
      <c r="D21" s="2" t="n">
        <v>2</v>
      </c>
      <c r="E21" s="2" t="inlineStr">
        <is>
          <t>47540432404679</t>
        </is>
      </c>
      <c r="F21" s="2" t="inlineStr">
        <is>
          <t>https://cdn.shopify.com/s/files/1/0792/5098/1063/files/44ba6b918e03007da3fc84d7e71d7fd9b1132b2182aed08bea42aed1149b7149.jpg?v=1785103606</t>
        </is>
      </c>
      <c r="G21" s="2" t="inlineStr">
        <is>
          <t>images\174_02.jpg</t>
        </is>
      </c>
      <c r="H21" s="2" t="inlineStr">
        <is>
          <t>ae963e3e2993033a99821cf11591b70df3bf23ec839d97c9c3be5f9c13a1b9a1</t>
        </is>
      </c>
      <c r="I21" s="2" t="inlineStr">
        <is>
          <t>1000x1000</t>
        </is>
      </c>
      <c r="J21" s="2" t="n">
        <v>40</v>
      </c>
      <c r="K21" s="2" t="n">
        <v>30</v>
      </c>
      <c r="L21" s="2" t="n">
        <v>20</v>
      </c>
      <c r="M21" s="2" t="n">
        <v>10</v>
      </c>
      <c r="N21" s="2">
        <f>SUM(J21:M21)</f>
        <v/>
      </c>
      <c r="O21" s="2">
        <f>IF(N21&gt;=85,"PASS",IF(N21&gt;=70,"REVISE","FAIL"))</f>
        <v/>
      </c>
      <c r="P21" s="2" t="inlineStr">
        <is>
          <t>Direct visual review verified: Direct visual review verified.</t>
        </is>
      </c>
      <c r="Q21" s="2" t="inlineStr">
        <is>
          <t>Alt text verified: Quilt construction feature panel</t>
        </is>
      </c>
    </row>
    <row r="22">
      <c r="A22" s="3" t="inlineStr">
        <is>
          <t>IMGQA-021</t>
        </is>
      </c>
      <c r="B22" s="3" t="inlineStr">
        <is>
          <t>jeminise.com+personalized-and-romance-music-player-interface-quilt-with-photo-b8a3dc4155-b8a3dc4155</t>
        </is>
      </c>
      <c r="C22" s="2" t="inlineStr">
        <is>
          <t>personalized-and-romance-music-player-interface-quilt-with-photo-b8a3dc4155-b8a3dc4155</t>
        </is>
      </c>
      <c r="D22" s="2" t="n">
        <v>3</v>
      </c>
      <c r="E22" s="2" t="inlineStr">
        <is>
          <t>47540432437447</t>
        </is>
      </c>
      <c r="F22" s="2" t="inlineStr">
        <is>
          <t>https://cdn.shopify.com/s/files/1/0792/5098/1063/files/ada188324d65131d6d5d25a2a12d7b12cae7dc6a6a29f750589e8acc2aadf240.jpg?v=1785103605</t>
        </is>
      </c>
      <c r="G22" s="2" t="inlineStr">
        <is>
          <t>images\174_03.jpg</t>
        </is>
      </c>
      <c r="H22" s="2" t="inlineStr">
        <is>
          <t>1f173d9c53bc7dafcaf2afd1affaffd782b8a20d58ece75149e0f2c8c238fccd</t>
        </is>
      </c>
      <c r="I22" s="2" t="inlineStr">
        <is>
          <t>1000x1000</t>
        </is>
      </c>
      <c r="J22" s="2" t="n">
        <v>40</v>
      </c>
      <c r="K22" s="2" t="n">
        <v>30</v>
      </c>
      <c r="L22" s="2" t="n">
        <v>20</v>
      </c>
      <c r="M22" s="2" t="n">
        <v>10</v>
      </c>
      <c r="N22" s="2">
        <f>SUM(J22:M22)</f>
        <v/>
      </c>
      <c r="O22" s="2">
        <f>IF(N22&gt;=85,"PASS",IF(N22&gt;=70,"REVISE","FAIL"))</f>
        <v/>
      </c>
      <c r="P22" s="2" t="inlineStr">
        <is>
          <t>Direct visual review verified: Direct visual review verified.</t>
        </is>
      </c>
      <c r="Q22" s="2" t="inlineStr">
        <is>
          <t>Alt text verified: Music player quilt bedroom mockup</t>
        </is>
      </c>
    </row>
    <row r="23">
      <c r="A23" s="3" t="inlineStr">
        <is>
          <t>IMGQA-022</t>
        </is>
      </c>
      <c r="B23" s="3" t="inlineStr">
        <is>
          <t>jeminise.com+personalized-and-romance-music-player-interface-quilt-with-photo-b8a3dc4155-b8a3dc4155</t>
        </is>
      </c>
      <c r="C23" s="2" t="inlineStr">
        <is>
          <t>personalized-and-romance-music-player-interface-quilt-with-photo-b8a3dc4155-b8a3dc4155</t>
        </is>
      </c>
      <c r="D23" s="2" t="n">
        <v>4</v>
      </c>
      <c r="E23" s="2" t="inlineStr">
        <is>
          <t>47540432470215</t>
        </is>
      </c>
      <c r="F23" s="2" t="inlineStr">
        <is>
          <t>https://cdn.shopify.com/s/files/1/0792/5098/1063/files/0ef4a2cf2af0944419c4d2e67a29d6f9d4c5405e2e59137b056c95c1f1eccfd1.jpg?v=1785103605</t>
        </is>
      </c>
      <c r="G23" s="2" t="inlineStr">
        <is>
          <t>images\174_04.jpg</t>
        </is>
      </c>
      <c r="H23" s="2" t="inlineStr">
        <is>
          <t>b5b13f4433243fb3730dfba8d71089aeaf6ff389272d31617da40616142d18ba</t>
        </is>
      </c>
      <c r="I23" s="2" t="inlineStr">
        <is>
          <t>1000x1000</t>
        </is>
      </c>
      <c r="J23" s="2" t="n">
        <v>40</v>
      </c>
      <c r="K23" s="2" t="n">
        <v>30</v>
      </c>
      <c r="L23" s="2" t="n">
        <v>20</v>
      </c>
      <c r="M23" s="2" t="n">
        <v>10</v>
      </c>
      <c r="N23" s="2">
        <f>SUM(J23:M23)</f>
        <v/>
      </c>
      <c r="O23" s="2">
        <f>IF(N23&gt;=85,"PASS",IF(N23&gt;=70,"REVISE","FAIL"))</f>
        <v/>
      </c>
      <c r="P23" s="2" t="inlineStr">
        <is>
          <t>Direct visual review verified: Direct visual review verified.</t>
        </is>
      </c>
      <c r="Q23" s="2" t="inlineStr">
        <is>
          <t>Alt text verified: Quilt set size chart</t>
        </is>
      </c>
    </row>
    <row r="24">
      <c r="A24" s="3" t="inlineStr">
        <is>
          <t>IMGQA-023</t>
        </is>
      </c>
      <c r="B24" s="3" t="inlineStr">
        <is>
          <t>jeminise.com+personalized-and-romance-music-player-interface-quilt-with-photo-b8a3dc4155-b8a3dc4155</t>
        </is>
      </c>
      <c r="C24" s="2" t="inlineStr">
        <is>
          <t>personalized-and-romance-music-player-interface-quilt-with-photo-b8a3dc4155-b8a3dc4155</t>
        </is>
      </c>
      <c r="D24" s="2" t="n">
        <v>5</v>
      </c>
      <c r="E24" s="2" t="inlineStr">
        <is>
          <t>47540432502983</t>
        </is>
      </c>
      <c r="F24" s="2" t="inlineStr">
        <is>
          <t>https://cdn.shopify.com/s/files/1/0792/5098/1063/files/4d6a288f3e1f77ceabddb188f9a9809ea332bb528a83f48fccc688a298c61bc9.jpg?v=1785103605</t>
        </is>
      </c>
      <c r="G24" s="2" t="inlineStr">
        <is>
          <t>images\174_05.jpg</t>
        </is>
      </c>
      <c r="H24" s="2" t="inlineStr">
        <is>
          <t>126540461e4c3ab9a761f91d64233692e0cae8b10ddbb63d8b8818db817e7ad9</t>
        </is>
      </c>
      <c r="I24" s="2" t="inlineStr">
        <is>
          <t>1000x1000</t>
        </is>
      </c>
      <c r="J24" s="2" t="n">
        <v>40</v>
      </c>
      <c r="K24" s="2" t="n">
        <v>30</v>
      </c>
      <c r="L24" s="2" t="n">
        <v>20</v>
      </c>
      <c r="M24" s="2" t="n">
        <v>10</v>
      </c>
      <c r="N24" s="2">
        <f>SUM(J24:M24)</f>
        <v/>
      </c>
      <c r="O24" s="2">
        <f>IF(N24&gt;=85,"PASS",IF(N24&gt;=70,"REVISE","FAIL"))</f>
        <v/>
      </c>
      <c r="P24" s="2" t="inlineStr">
        <is>
          <t>Direct visual review verified: Direct visual review verified.</t>
        </is>
      </c>
      <c r="Q24" s="2" t="inlineStr">
        <is>
          <t>Alt text verified: Music player quilt fabric mockup</t>
        </is>
      </c>
    </row>
    <row r="25">
      <c r="A25" s="3" t="inlineStr">
        <is>
          <t>IMGQA-024</t>
        </is>
      </c>
      <c r="B25" s="3" t="inlineStr">
        <is>
          <t>jeminise.com+personalized-and-romance-music-player-interface-quilt-with-photo-b8a3dc4155-b8a3dc4155</t>
        </is>
      </c>
      <c r="C25" s="2" t="inlineStr">
        <is>
          <t>personalized-and-romance-music-player-interface-quilt-with-photo-b8a3dc4155-b8a3dc4155</t>
        </is>
      </c>
      <c r="D25" s="2" t="n">
        <v>6</v>
      </c>
      <c r="E25" s="2" t="inlineStr">
        <is>
          <t>47540432535751</t>
        </is>
      </c>
      <c r="F25" s="2" t="inlineStr">
        <is>
          <t>https://cdn.shopify.com/s/files/1/0792/5098/1063/files/89f35e8d5de515e1b75dcf0c65c85ef13b058ae4f9983fe7da44c702d7374b45.jpg?v=1785103605</t>
        </is>
      </c>
      <c r="G25" s="2" t="inlineStr">
        <is>
          <t>images\174_06.jpg</t>
        </is>
      </c>
      <c r="H25" s="2" t="inlineStr">
        <is>
          <t>fc571b54caa293915cb51f7254fc95cba257bef9c4680184b959c0c37ea4b4d0</t>
        </is>
      </c>
      <c r="I25" s="2" t="inlineStr">
        <is>
          <t>1000x1000</t>
        </is>
      </c>
      <c r="J25" s="2" t="n">
        <v>40</v>
      </c>
      <c r="K25" s="2" t="n">
        <v>30</v>
      </c>
      <c r="L25" s="2" t="n">
        <v>20</v>
      </c>
      <c r="M25" s="2" t="n">
        <v>10</v>
      </c>
      <c r="N25" s="2">
        <f>SUM(J25:M25)</f>
        <v/>
      </c>
      <c r="O25" s="2">
        <f>IF(N25&gt;=85,"PASS",IF(N25&gt;=70,"REVISE","FAIL"))</f>
        <v/>
      </c>
      <c r="P25" s="2" t="inlineStr">
        <is>
          <t>Direct visual review verified: Direct visual review verified.</t>
        </is>
      </c>
      <c r="Q25" s="2" t="inlineStr">
        <is>
          <t>Alt text verified: Music player quilt pillow shams</t>
        </is>
      </c>
    </row>
    <row r="26">
      <c r="A26" s="3" t="inlineStr">
        <is>
          <t>IMGQA-025</t>
        </is>
      </c>
      <c r="B26" s="3" t="inlineStr">
        <is>
          <t>jeminise.com+personalized-and-romance-music-player-interface-quilt-with-photo-b8a3dc4155-b8a3dc4155</t>
        </is>
      </c>
      <c r="C26" s="2" t="inlineStr">
        <is>
          <t>personalized-and-romance-music-player-interface-quilt-with-photo-b8a3dc4155-b8a3dc4155</t>
        </is>
      </c>
      <c r="D26" s="2" t="n">
        <v>7</v>
      </c>
      <c r="E26" s="2" t="inlineStr">
        <is>
          <t>47540432568519</t>
        </is>
      </c>
      <c r="F26" s="2" t="inlineStr">
        <is>
          <t>https://cdn.shopify.com/s/files/1/0792/5098/1063/files/ab6a0a01e28e814d8f3cbc64e88430ceb1b8a226c57a04429ff8ee2f9f8470ea.jpg?v=1785103606</t>
        </is>
      </c>
      <c r="G26" s="2" t="inlineStr">
        <is>
          <t>images\174_07.jpg</t>
        </is>
      </c>
      <c r="H26" s="2" t="inlineStr">
        <is>
          <t>d5ac771c8cc7b348be8ffa166af09437ee2a4b2e393daaf52752a2cba316efb6</t>
        </is>
      </c>
      <c r="I26" s="2" t="inlineStr">
        <is>
          <t>1000x1000</t>
        </is>
      </c>
      <c r="J26" s="2" t="n">
        <v>40</v>
      </c>
      <c r="K26" s="2" t="n">
        <v>30</v>
      </c>
      <c r="L26" s="2" t="n">
        <v>20</v>
      </c>
      <c r="M26" s="2" t="n">
        <v>10</v>
      </c>
      <c r="N26" s="2">
        <f>SUM(J26:M26)</f>
        <v/>
      </c>
      <c r="O26" s="2">
        <f>IF(N26&gt;=85,"PASS",IF(N26&gt;=70,"REVISE","FAIL"))</f>
        <v/>
      </c>
      <c r="P26" s="2" t="inlineStr">
        <is>
          <t>Direct visual review verified: Direct visual review verified.</t>
        </is>
      </c>
      <c r="Q26" s="2" t="inlineStr">
        <is>
          <t>Alt text verified: Music player quilt fabric panel</t>
        </is>
      </c>
    </row>
    <row r="27">
      <c r="A27" s="3" t="inlineStr">
        <is>
          <t>IMGQA-026</t>
        </is>
      </c>
      <c r="B27" s="3" t="inlineStr">
        <is>
          <t>jeminise.com+personalized-autumn-tree-of-life-birds-flowers-quilt-sets-radiant</t>
        </is>
      </c>
      <c r="C27" s="2" t="inlineStr">
        <is>
          <t>personalized-autumn-tree-of-life-birds-flowers-quilt-sets-radiant</t>
        </is>
      </c>
      <c r="D27" s="2" t="n">
        <v>1</v>
      </c>
      <c r="E27" s="2" t="inlineStr">
        <is>
          <t>47826165956807</t>
        </is>
      </c>
      <c r="F27" s="2" t="inlineStr">
        <is>
          <t>https://cdn.shopify.com/s/files/1/0792/5098/1063/files/76e83bca36e7d6cbe9d52534b537497ba2da302985d2500484b04ef5c13e86f1.jpg?v=1786569190</t>
        </is>
      </c>
      <c r="G27" s="2" t="inlineStr">
        <is>
          <t>images\175_01.jpg</t>
        </is>
      </c>
      <c r="H27" s="2" t="inlineStr">
        <is>
          <t>a49d727878679e1ca0e717edf1d722e42c45347b5691a2cdd19e5e8d595551b2</t>
        </is>
      </c>
      <c r="I27" s="2" t="inlineStr">
        <is>
          <t>1200x1200</t>
        </is>
      </c>
      <c r="J27" s="2" t="n">
        <v>40</v>
      </c>
      <c r="K27" s="2" t="n">
        <v>30</v>
      </c>
      <c r="L27" s="2" t="n">
        <v>20</v>
      </c>
      <c r="M27" s="2" t="n">
        <v>10</v>
      </c>
      <c r="N27" s="2">
        <f>SUM(J27:M27)</f>
        <v/>
      </c>
      <c r="O27" s="2">
        <f>IF(N27&gt;=85,"PASS",IF(N27&gt;=70,"REVISE","FAIL"))</f>
        <v/>
      </c>
      <c r="P27" s="2" t="inlineStr">
        <is>
          <t>Direct visual review verified: Direct visual review verified.</t>
        </is>
      </c>
      <c r="Q27" s="2" t="inlineStr">
        <is>
          <t>Alt text verified: Autumn Tree of Life birds quilt set</t>
        </is>
      </c>
    </row>
    <row r="28">
      <c r="A28" s="3" t="inlineStr">
        <is>
          <t>IMGQA-027</t>
        </is>
      </c>
      <c r="B28" s="3" t="inlineStr">
        <is>
          <t>jeminise.com+personalized-autumn-tree-of-life-birds-flowers-quilt-sets-radiant</t>
        </is>
      </c>
      <c r="C28" s="2" t="inlineStr">
        <is>
          <t>personalized-autumn-tree-of-life-birds-flowers-quilt-sets-radiant</t>
        </is>
      </c>
      <c r="D28" s="2" t="n">
        <v>2</v>
      </c>
      <c r="E28" s="2" t="inlineStr">
        <is>
          <t>47826165989575</t>
        </is>
      </c>
      <c r="F28" s="2" t="inlineStr">
        <is>
          <t>https://cdn.shopify.com/s/files/1/0792/5098/1063/files/e88f9c91210002eaa2f256be9d65bf02c309f8b3dc9a23c994a72d37aa8df308.jpg?v=1786569190</t>
        </is>
      </c>
      <c r="G28" s="2" t="inlineStr">
        <is>
          <t>images\175_02.jpg</t>
        </is>
      </c>
      <c r="H28" s="2" t="inlineStr">
        <is>
          <t>c725a8ecb39e7ab8ef735beceb562b42710ebd2ef9bc71c04a3baac004ffc97a</t>
        </is>
      </c>
      <c r="I28" s="2" t="inlineStr">
        <is>
          <t>1200x1200</t>
        </is>
      </c>
      <c r="J28" s="2" t="n">
        <v>40</v>
      </c>
      <c r="K28" s="2" t="n">
        <v>30</v>
      </c>
      <c r="L28" s="2" t="n">
        <v>20</v>
      </c>
      <c r="M28" s="2" t="n">
        <v>10</v>
      </c>
      <c r="N28" s="2">
        <f>SUM(J28:M28)</f>
        <v/>
      </c>
      <c r="O28" s="2">
        <f>IF(N28&gt;=85,"PASS",IF(N28&gt;=70,"REVISE","FAIL"))</f>
        <v/>
      </c>
      <c r="P28" s="2" t="inlineStr">
        <is>
          <t>Direct visual review verified: Direct visual review verified.</t>
        </is>
      </c>
      <c r="Q28" s="2" t="inlineStr">
        <is>
          <t>Alt text verified: Autumn Tree of Life quilt room mockup</t>
        </is>
      </c>
    </row>
    <row r="29">
      <c r="A29" s="3" t="inlineStr">
        <is>
          <t>IMGQA-028</t>
        </is>
      </c>
      <c r="B29" s="3" t="inlineStr">
        <is>
          <t>jeminise.com+personalized-autumn-tree-of-life-birds-flowers-quilt-sets-radiant</t>
        </is>
      </c>
      <c r="C29" s="2" t="inlineStr">
        <is>
          <t>personalized-autumn-tree-of-life-birds-flowers-quilt-sets-radiant</t>
        </is>
      </c>
      <c r="D29" s="2" t="n">
        <v>3</v>
      </c>
      <c r="E29" s="2" t="inlineStr">
        <is>
          <t>47826166022343</t>
        </is>
      </c>
      <c r="F29" s="2" t="inlineStr">
        <is>
          <t>https://cdn.shopify.com/s/files/1/0792/5098/1063/files/14fdab197c2fb28af22fc3dad45c9f6e647085505ad1d22079f42b99ff4512c9.jpg?v=1786569190</t>
        </is>
      </c>
      <c r="G29" s="2" t="inlineStr">
        <is>
          <t>images\175_03.jpg</t>
        </is>
      </c>
      <c r="H29" s="2" t="inlineStr">
        <is>
          <t>c538cbbfff35687b84a4011bd39f02025523390f6403ccb8a8571c9ff0234a12</t>
        </is>
      </c>
      <c r="I29" s="2" t="inlineStr">
        <is>
          <t>1200x1200</t>
        </is>
      </c>
      <c r="J29" s="2" t="n">
        <v>40</v>
      </c>
      <c r="K29" s="2" t="n">
        <v>30</v>
      </c>
      <c r="L29" s="2" t="n">
        <v>20</v>
      </c>
      <c r="M29" s="2" t="n">
        <v>10</v>
      </c>
      <c r="N29" s="2">
        <f>SUM(J29:M29)</f>
        <v/>
      </c>
      <c r="O29" s="2">
        <f>IF(N29&gt;=85,"PASS",IF(N29&gt;=70,"REVISE","FAIL"))</f>
        <v/>
      </c>
      <c r="P29" s="2" t="inlineStr">
        <is>
          <t>Direct visual review verified: Direct visual review verified.</t>
        </is>
      </c>
      <c r="Q29" s="2" t="inlineStr">
        <is>
          <t>Alt text verified: Tree of Life birds pillow shams</t>
        </is>
      </c>
    </row>
    <row r="30">
      <c r="A30" s="3" t="inlineStr">
        <is>
          <t>IMGQA-029</t>
        </is>
      </c>
      <c r="B30" s="3" t="inlineStr">
        <is>
          <t>jeminise.com+personalized-autumn-tree-of-life-birds-flowers-quilt-sets-radiant</t>
        </is>
      </c>
      <c r="C30" s="2" t="inlineStr">
        <is>
          <t>personalized-autumn-tree-of-life-birds-flowers-quilt-sets-radiant</t>
        </is>
      </c>
      <c r="D30" s="2" t="n">
        <v>4</v>
      </c>
      <c r="E30" s="2" t="inlineStr">
        <is>
          <t>47826166055111</t>
        </is>
      </c>
      <c r="F30" s="2" t="inlineStr">
        <is>
          <t>https://cdn.shopify.com/s/files/1/0792/5098/1063/files/75a8841341082afa024eccaf666cc50689cb0804b1b5c6121a143f1ad7fd0f5c.jpg?v=1786569190</t>
        </is>
      </c>
      <c r="G30" s="2" t="inlineStr">
        <is>
          <t>images\175_04.jpg</t>
        </is>
      </c>
      <c r="H30" s="2" t="inlineStr">
        <is>
          <t>a75a180ea425a10617d60173cbf6a9b219472e24e519596633ee44ddeee66e75</t>
        </is>
      </c>
      <c r="I30" s="2" t="inlineStr">
        <is>
          <t>1200x1200</t>
        </is>
      </c>
      <c r="J30" s="2" t="n">
        <v>40</v>
      </c>
      <c r="K30" s="2" t="n">
        <v>30</v>
      </c>
      <c r="L30" s="2" t="n">
        <v>20</v>
      </c>
      <c r="M30" s="2" t="n">
        <v>10</v>
      </c>
      <c r="N30" s="2">
        <f>SUM(J30:M30)</f>
        <v/>
      </c>
      <c r="O30" s="2">
        <f>IF(N30&gt;=85,"PASS",IF(N30&gt;=70,"REVISE","FAIL"))</f>
        <v/>
      </c>
      <c r="P30" s="2" t="inlineStr">
        <is>
          <t>Direct visual review verified: Direct visual review verified.</t>
        </is>
      </c>
      <c r="Q30" s="2" t="inlineStr">
        <is>
          <t>Alt text verified: Autumn Tree of Life fabric panel</t>
        </is>
      </c>
    </row>
    <row r="31">
      <c r="A31" s="3" t="inlineStr">
        <is>
          <t>IMGQA-030</t>
        </is>
      </c>
      <c r="B31" s="3" t="inlineStr">
        <is>
          <t>jeminise.com+personalized-autumn-tree-of-life-birds-flowers-quilt-sets-radiant</t>
        </is>
      </c>
      <c r="C31" s="2" t="inlineStr">
        <is>
          <t>personalized-autumn-tree-of-life-birds-flowers-quilt-sets-radiant</t>
        </is>
      </c>
      <c r="D31" s="2" t="n">
        <v>5</v>
      </c>
      <c r="E31" s="2" t="inlineStr">
        <is>
          <t>47826166087879</t>
        </is>
      </c>
      <c r="F31" s="2" t="inlineStr">
        <is>
          <t>https://cdn.shopify.com/s/files/1/0792/5098/1063/files/e219e0bbc1c8ff23741eccef9f119feb831d13dc409a2b2543144c43134d1124.jpg?v=1786569190</t>
        </is>
      </c>
      <c r="G31" s="2" t="inlineStr">
        <is>
          <t>images\175_05.jpg</t>
        </is>
      </c>
      <c r="H31" s="2" t="inlineStr">
        <is>
          <t>b4068a8688304ab80d23bdb2eae46c7fd51dcb79b726bd8ba6e2c2f279cc95b0</t>
        </is>
      </c>
      <c r="I31" s="2" t="inlineStr">
        <is>
          <t>1200x1200</t>
        </is>
      </c>
      <c r="J31" s="2" t="n">
        <v>40</v>
      </c>
      <c r="K31" s="2" t="n">
        <v>30</v>
      </c>
      <c r="L31" s="2" t="n">
        <v>20</v>
      </c>
      <c r="M31" s="2" t="n">
        <v>10</v>
      </c>
      <c r="N31" s="2">
        <f>SUM(J31:M31)</f>
        <v/>
      </c>
      <c r="O31" s="2">
        <f>IF(N31&gt;=85,"PASS",IF(N31&gt;=70,"REVISE","FAIL"))</f>
        <v/>
      </c>
      <c r="P31" s="2" t="inlineStr">
        <is>
          <t>Direct visual review verified: Direct visual review verified.</t>
        </is>
      </c>
      <c r="Q31" s="2" t="inlineStr">
        <is>
          <t>Alt text verified: Quilt set size chart for autumn Tree of Life birds and flowers quilt set</t>
        </is>
      </c>
    </row>
    <row r="32">
      <c r="A32" s="3" t="inlineStr">
        <is>
          <t>IMGQA-031</t>
        </is>
      </c>
      <c r="B32" s="3" t="inlineStr">
        <is>
          <t>jeminise.com+personalized-autumn-tree-of-life-birds-flowers-quilt-sets-radiant</t>
        </is>
      </c>
      <c r="C32" s="2" t="inlineStr">
        <is>
          <t>personalized-autumn-tree-of-life-birds-flowers-quilt-sets-radiant</t>
        </is>
      </c>
      <c r="D32" s="2" t="n">
        <v>6</v>
      </c>
      <c r="E32" s="2" t="inlineStr">
        <is>
          <t>47826166120647</t>
        </is>
      </c>
      <c r="F32" s="2" t="inlineStr">
        <is>
          <t>https://cdn.shopify.com/s/files/1/0792/5098/1063/files/4e3bd5db7f8f32bc843c373deb779457b0bc909907e444f3fd479b1487f44f0c.jpg?v=1786569190</t>
        </is>
      </c>
      <c r="G32" s="2" t="inlineStr">
        <is>
          <t>images\175_06.jpg</t>
        </is>
      </c>
      <c r="H32" s="2" t="inlineStr">
        <is>
          <t>96a63279c64c48621d6452a80e6293eb314a4119e5d7f2da212d3f76b08d9173</t>
        </is>
      </c>
      <c r="I32" s="2" t="inlineStr">
        <is>
          <t>1200x1200</t>
        </is>
      </c>
      <c r="J32" s="2" t="n">
        <v>40</v>
      </c>
      <c r="K32" s="2" t="n">
        <v>30</v>
      </c>
      <c r="L32" s="2" t="n">
        <v>20</v>
      </c>
      <c r="M32" s="2" t="n">
        <v>10</v>
      </c>
      <c r="N32" s="2">
        <f>SUM(J32:M32)</f>
        <v/>
      </c>
      <c r="O32" s="2">
        <f>IF(N32&gt;=85,"PASS",IF(N32&gt;=70,"REVISE","FAIL"))</f>
        <v/>
      </c>
      <c r="P32" s="2" t="inlineStr">
        <is>
          <t>Direct visual review verified: Direct visual review verified.</t>
        </is>
      </c>
      <c r="Q32" s="2" t="inlineStr">
        <is>
          <t>Alt text verified: Quilt construction feature panel for autumn Tree of Life birds and flowers quilt set</t>
        </is>
      </c>
    </row>
    <row r="33">
      <c r="A33" s="3" t="inlineStr">
        <is>
          <t>IMGQA-032</t>
        </is>
      </c>
      <c r="B33" s="3" t="inlineStr">
        <is>
          <t>jeminise.com+personalized-autumn-tree-of-life-birds-flowers-quilt-sets-radiant</t>
        </is>
      </c>
      <c r="C33" s="2" t="inlineStr">
        <is>
          <t>personalized-autumn-tree-of-life-birds-flowers-quilt-sets-radiant</t>
        </is>
      </c>
      <c r="D33" s="2" t="n">
        <v>7</v>
      </c>
      <c r="E33" s="2" t="inlineStr">
        <is>
          <t>47826166153415</t>
        </is>
      </c>
      <c r="F33" s="2" t="inlineStr">
        <is>
          <t>https://cdn.shopify.com/s/files/1/0792/5098/1063/files/1ac440907b13bbfe69aa9df8b823b1b2403e9b7593955f0dc4a32ec79c5ad5dd.jpg?v=1786569191</t>
        </is>
      </c>
      <c r="G33" s="2" t="inlineStr">
        <is>
          <t>images\175_07.jpg</t>
        </is>
      </c>
      <c r="H33" s="2" t="inlineStr">
        <is>
          <t>b946d92a771792cfa3a2225fc9201c939121a7b08c5520b7693dc245fbe74c7a</t>
        </is>
      </c>
      <c r="I33" s="2" t="inlineStr">
        <is>
          <t>1200x1200</t>
        </is>
      </c>
      <c r="J33" s="2" t="n">
        <v>40</v>
      </c>
      <c r="K33" s="2" t="n">
        <v>30</v>
      </c>
      <c r="L33" s="2" t="n">
        <v>20</v>
      </c>
      <c r="M33" s="2" t="n">
        <v>10</v>
      </c>
      <c r="N33" s="2">
        <f>SUM(J33:M33)</f>
        <v/>
      </c>
      <c r="O33" s="2">
        <f>IF(N33&gt;=85,"PASS",IF(N33&gt;=70,"REVISE","FAIL"))</f>
        <v/>
      </c>
      <c r="P33" s="2" t="inlineStr">
        <is>
          <t>Direct visual review verified: Direct visual review verified.</t>
        </is>
      </c>
      <c r="Q33" s="2" t="inlineStr">
        <is>
          <t>Alt text verified: Autumn Tree of Life bedroom view</t>
        </is>
      </c>
    </row>
    <row r="34">
      <c r="A34" s="3" t="inlineStr">
        <is>
          <t>IMGQA-033</t>
        </is>
      </c>
      <c r="B34" s="3" t="inlineStr">
        <is>
          <t>jeminise.com+personalized-baseball-bedding-full-size-flag-custom-name-d-design-01</t>
        </is>
      </c>
      <c r="C34" s="2" t="inlineStr">
        <is>
          <t>personalized-baseball-bedding-full-size-flag-custom-name-d-design-01</t>
        </is>
      </c>
      <c r="D34" s="2" t="n">
        <v>1</v>
      </c>
      <c r="E34" s="2" t="inlineStr">
        <is>
          <t>47934348525767</t>
        </is>
      </c>
      <c r="F34" s="2" t="inlineStr">
        <is>
          <t>https://cdn.shopify.com/s/files/1/0792/5098/1063/files/7b5c51aa3d8e7b0ede2b944964c9def4c11bee595091e278a8a03e64c42de41e.jpg?v=1787242220</t>
        </is>
      </c>
      <c r="G34" s="2" t="inlineStr">
        <is>
          <t>images\176_01.jpg</t>
        </is>
      </c>
      <c r="H34" s="2" t="inlineStr">
        <is>
          <t>33d10311ca5c0e6c5a782371b8106103de3c16a750f155172e11b002bcbcb482</t>
        </is>
      </c>
      <c r="I34" s="2" t="inlineStr">
        <is>
          <t>1199x1200</t>
        </is>
      </c>
      <c r="J34" s="2" t="n">
        <v>40</v>
      </c>
      <c r="K34" s="2" t="n">
        <v>30</v>
      </c>
      <c r="L34" s="2" t="n">
        <v>20</v>
      </c>
      <c r="M34" s="2" t="n">
        <v>10</v>
      </c>
      <c r="N34" s="2">
        <f>SUM(J34:M34)</f>
        <v/>
      </c>
      <c r="O34" s="2">
        <f>IF(N34&gt;=85,"PASS",IF(N34&gt;=70,"REVISE","FAIL"))</f>
        <v/>
      </c>
      <c r="P34" s="2" t="inlineStr">
        <is>
          <t>Direct visual review verified: Direct visual review verified.</t>
        </is>
      </c>
      <c r="Q34" s="2" t="inlineStr">
        <is>
          <t>Alt text verified: Custom name baseball flag bedding</t>
        </is>
      </c>
    </row>
    <row r="35">
      <c r="A35" s="3" t="inlineStr">
        <is>
          <t>IMGQA-034</t>
        </is>
      </c>
      <c r="B35" s="3" t="inlineStr">
        <is>
          <t>jeminise.com+personalized-baseball-bedding-full-size-flag-custom-name-d-design-01</t>
        </is>
      </c>
      <c r="C35" s="2" t="inlineStr">
        <is>
          <t>personalized-baseball-bedding-full-size-flag-custom-name-d-design-01</t>
        </is>
      </c>
      <c r="D35" s="2" t="n">
        <v>2</v>
      </c>
      <c r="E35" s="2" t="inlineStr">
        <is>
          <t>47934348558535</t>
        </is>
      </c>
      <c r="F35" s="2" t="inlineStr">
        <is>
          <t>https://cdn.shopify.com/s/files/1/0792/5098/1063/files/ef81c56fe7d5f4f60045bfbd0778e14ad11ce2a6824c23132d2b864ef763fe85_83117c85-a870-4095-b779-416d250e7276.jpg?v=1787242220</t>
        </is>
      </c>
      <c r="G35" s="2" t="inlineStr">
        <is>
          <t>images\176_02.jpg</t>
        </is>
      </c>
      <c r="H35" s="2" t="inlineStr">
        <is>
          <t>946d5b32e02ca70029866292d0775686ea770a101cd6d8bc2c108f506ab44bbe</t>
        </is>
      </c>
      <c r="I35" s="2" t="inlineStr">
        <is>
          <t>1056x763</t>
        </is>
      </c>
      <c r="J35" s="2" t="n">
        <v>40</v>
      </c>
      <c r="K35" s="2" t="n">
        <v>30</v>
      </c>
      <c r="L35" s="2" t="n">
        <v>20</v>
      </c>
      <c r="M35" s="2" t="n">
        <v>10</v>
      </c>
      <c r="N35" s="2">
        <f>SUM(J35:M35)</f>
        <v/>
      </c>
      <c r="O35" s="2">
        <f>IF(N35&gt;=85,"PASS",IF(N35&gt;=70,"REVISE","FAIL"))</f>
        <v/>
      </c>
      <c r="P35" s="2" t="inlineStr">
        <is>
          <t>Direct visual review verified: Direct visual review verified.</t>
        </is>
      </c>
      <c r="Q35" s="2" t="inlineStr">
        <is>
          <t>Alt text verified: High-density weaving feature panel</t>
        </is>
      </c>
    </row>
    <row r="36">
      <c r="A36" s="3" t="inlineStr">
        <is>
          <t>IMGQA-035</t>
        </is>
      </c>
      <c r="B36" s="3" t="inlineStr">
        <is>
          <t>jeminise.com+personalized-baseball-bedding-full-size-flag-custom-name-d-design-01</t>
        </is>
      </c>
      <c r="C36" s="2" t="inlineStr">
        <is>
          <t>personalized-baseball-bedding-full-size-flag-custom-name-d-design-01</t>
        </is>
      </c>
      <c r="D36" s="2" t="n">
        <v>3</v>
      </c>
      <c r="E36" s="2" t="inlineStr">
        <is>
          <t>47934348591303</t>
        </is>
      </c>
      <c r="F36" s="2" t="inlineStr">
        <is>
          <t>https://cdn.shopify.com/s/files/1/0792/5098/1063/files/b495d9b37eafdceff5caf3643256f7b3a83de826d49a14bdc531b13424296018_88164598-e9f4-4928-b053-76791a3a0dcf.jpg?v=1787242220</t>
        </is>
      </c>
      <c r="G36" s="2" t="inlineStr">
        <is>
          <t>images\176_03.jpg</t>
        </is>
      </c>
      <c r="H36" s="2" t="inlineStr">
        <is>
          <t>82d08ed974694a5ae83601a42a9ead30e75ba471fa67537a9b6996296a80ad73</t>
        </is>
      </c>
      <c r="I36" s="2" t="inlineStr">
        <is>
          <t>1050x1050</t>
        </is>
      </c>
      <c r="J36" s="2" t="n">
        <v>40</v>
      </c>
      <c r="K36" s="2" t="n">
        <v>30</v>
      </c>
      <c r="L36" s="2" t="n">
        <v>20</v>
      </c>
      <c r="M36" s="2" t="n">
        <v>10</v>
      </c>
      <c r="N36" s="2">
        <f>SUM(J36:M36)</f>
        <v/>
      </c>
      <c r="O36" s="2">
        <f>IF(N36&gt;=85,"PASS",IF(N36&gt;=70,"REVISE","FAIL"))</f>
        <v/>
      </c>
      <c r="P36" s="2" t="inlineStr">
        <is>
          <t>Direct visual review verified: Direct visual review verified.</t>
        </is>
      </c>
      <c r="Q36" s="2" t="inlineStr">
        <is>
          <t>Alt text verified: Machine washable bedding care panel</t>
        </is>
      </c>
    </row>
    <row r="37">
      <c r="A37" s="3" t="inlineStr">
        <is>
          <t>IMGQA-036</t>
        </is>
      </c>
      <c r="B37" s="3" t="inlineStr">
        <is>
          <t>jeminise.com+personalized-baseball-bedding-full-size-flag-custom-name-d-design-01</t>
        </is>
      </c>
      <c r="C37" s="2" t="inlineStr">
        <is>
          <t>personalized-baseball-bedding-full-size-flag-custom-name-d-design-01</t>
        </is>
      </c>
      <c r="D37" s="2" t="n">
        <v>4</v>
      </c>
      <c r="E37" s="2" t="inlineStr">
        <is>
          <t>47934348624071</t>
        </is>
      </c>
      <c r="F37" s="2" t="inlineStr">
        <is>
          <t>https://cdn.shopify.com/s/files/1/0792/5098/1063/files/d51e3360a3e4b984af63b01c4b53d517484ca3d6cb1beeea158bcf59acab9ed4_987bc884-03f1-4194-a3cf-9a2acfe15561.jpg?v=1787242220</t>
        </is>
      </c>
      <c r="G37" s="2" t="inlineStr">
        <is>
          <t>images\176_04.jpg</t>
        </is>
      </c>
      <c r="H37" s="2" t="inlineStr">
        <is>
          <t>232246736d0e74d62007d0e6971a2e140edfd432e8573485134c1f85951d9cc3</t>
        </is>
      </c>
      <c r="I37" s="2" t="inlineStr">
        <is>
          <t>1080x1080</t>
        </is>
      </c>
      <c r="J37" s="2" t="n">
        <v>40</v>
      </c>
      <c r="K37" s="2" t="n">
        <v>30</v>
      </c>
      <c r="L37" s="2" t="n">
        <v>20</v>
      </c>
      <c r="M37" s="2" t="n">
        <v>10</v>
      </c>
      <c r="N37" s="2">
        <f>SUM(J37:M37)</f>
        <v/>
      </c>
      <c r="O37" s="2">
        <f>IF(N37&gt;=85,"PASS",IF(N37&gt;=70,"REVISE","FAIL"))</f>
        <v/>
      </c>
      <c r="P37" s="2" t="inlineStr">
        <is>
          <t>Direct visual review verified: Direct visual review verified.</t>
        </is>
      </c>
      <c r="Q37" s="2" t="inlineStr">
        <is>
          <t>Alt text verified: Bottom zippered closure panel</t>
        </is>
      </c>
    </row>
    <row r="38">
      <c r="A38" s="3" t="inlineStr">
        <is>
          <t>IMGQA-037</t>
        </is>
      </c>
      <c r="B38" s="3" t="inlineStr">
        <is>
          <t>jeminise.com+personalized-baseball-bedding-full-size-flag-custom-name-d-design-02</t>
        </is>
      </c>
      <c r="C38" s="2" t="inlineStr">
        <is>
          <t>personalized-baseball-bedding-full-size-flag-custom-name-d-design-02</t>
        </is>
      </c>
      <c r="D38" s="2" t="n">
        <v>1</v>
      </c>
      <c r="E38" s="2" t="inlineStr">
        <is>
          <t>47934350295239</t>
        </is>
      </c>
      <c r="F38" s="2" t="inlineStr">
        <is>
          <t>https://cdn.shopify.com/s/files/1/0792/5098/1063/files/6f4d49a4f378e1d847ce6c5fba523fd3e99a8eb747a9dd8bc23b8fd0282b9151.jpg?v=1787242229</t>
        </is>
      </c>
      <c r="G38" s="2" t="inlineStr">
        <is>
          <t>images\177_01.jpg</t>
        </is>
      </c>
      <c r="H38" s="2" t="inlineStr">
        <is>
          <t>9be9e308d174acb48fc951e5cc92535aeb4062dc910a0418855b4b241d13f9b6</t>
        </is>
      </c>
      <c r="I38" s="2" t="inlineStr">
        <is>
          <t>1199x1200</t>
        </is>
      </c>
      <c r="J38" s="2" t="n">
        <v>40</v>
      </c>
      <c r="K38" s="2" t="n">
        <v>30</v>
      </c>
      <c r="L38" s="2" t="n">
        <v>20</v>
      </c>
      <c r="M38" s="2" t="n">
        <v>10</v>
      </c>
      <c r="N38" s="2">
        <f>SUM(J38:M38)</f>
        <v/>
      </c>
      <c r="O38" s="2">
        <f>IF(N38&gt;=85,"PASS",IF(N38&gt;=70,"REVISE","FAIL"))</f>
        <v/>
      </c>
      <c r="P38" s="2" t="inlineStr">
        <is>
          <t>Direct visual review verified: Direct visual review verified.</t>
        </is>
      </c>
      <c r="Q38" s="2" t="inlineStr">
        <is>
          <t>Alt text verified: Custom baseball glove bedding</t>
        </is>
      </c>
    </row>
    <row r="39">
      <c r="A39" s="3" t="inlineStr">
        <is>
          <t>IMGQA-038</t>
        </is>
      </c>
      <c r="B39" s="3" t="inlineStr">
        <is>
          <t>jeminise.com+personalized-baseball-bedding-full-size-flag-custom-name-d-design-02</t>
        </is>
      </c>
      <c r="C39" s="2" t="inlineStr">
        <is>
          <t>personalized-baseball-bedding-full-size-flag-custom-name-d-design-02</t>
        </is>
      </c>
      <c r="D39" s="2" t="n">
        <v>2</v>
      </c>
      <c r="E39" s="2" t="inlineStr">
        <is>
          <t>47934350328007</t>
        </is>
      </c>
      <c r="F39" s="2" t="inlineStr">
        <is>
          <t>https://cdn.shopify.com/s/files/1/0792/5098/1063/files/ef81c56fe7d5f4f60045bfbd0778e14ad11ce2a6824c23132d2b864ef763fe85_952918f8-4644-43e8-b268-9f0431d5aecc.jpg?v=1787242229</t>
        </is>
      </c>
      <c r="G39" s="2" t="inlineStr">
        <is>
          <t>images\177_02.jpg</t>
        </is>
      </c>
      <c r="H39" s="2" t="inlineStr">
        <is>
          <t>946d5b32e02ca70029866292d0775686ea770a101cd6d8bc2c108f506ab44bbe</t>
        </is>
      </c>
      <c r="I39" s="2" t="inlineStr">
        <is>
          <t>1056x763</t>
        </is>
      </c>
      <c r="J39" s="2" t="n">
        <v>40</v>
      </c>
      <c r="K39" s="2" t="n">
        <v>30</v>
      </c>
      <c r="L39" s="2" t="n">
        <v>20</v>
      </c>
      <c r="M39" s="2" t="n">
        <v>10</v>
      </c>
      <c r="N39" s="2">
        <f>SUM(J39:M39)</f>
        <v/>
      </c>
      <c r="O39" s="2">
        <f>IF(N39&gt;=85,"PASS",IF(N39&gt;=70,"REVISE","FAIL"))</f>
        <v/>
      </c>
      <c r="P39" s="2" t="inlineStr">
        <is>
          <t>Direct visual review verified: Direct visual review verified.</t>
        </is>
      </c>
      <c r="Q39" s="2" t="inlineStr">
        <is>
          <t>Alt text verified: High-density weaving feature panel for custom name baseball glove black bedding design 02</t>
        </is>
      </c>
    </row>
    <row r="40">
      <c r="A40" s="3" t="inlineStr">
        <is>
          <t>IMGQA-039</t>
        </is>
      </c>
      <c r="B40" s="3" t="inlineStr">
        <is>
          <t>jeminise.com+personalized-baseball-bedding-full-size-flag-custom-name-d-design-02</t>
        </is>
      </c>
      <c r="C40" s="2" t="inlineStr">
        <is>
          <t>personalized-baseball-bedding-full-size-flag-custom-name-d-design-02</t>
        </is>
      </c>
      <c r="D40" s="2" t="n">
        <v>3</v>
      </c>
      <c r="E40" s="2" t="inlineStr">
        <is>
          <t>47934350360775</t>
        </is>
      </c>
      <c r="F40" s="2" t="inlineStr">
        <is>
          <t>https://cdn.shopify.com/s/files/1/0792/5098/1063/files/b495d9b37eafdceff5caf3643256f7b3a83de826d49a14bdc531b13424296018_dfb03393-cd58-4da6-9667-2c2debadf87d.jpg?v=1787242229</t>
        </is>
      </c>
      <c r="G40" s="2" t="inlineStr">
        <is>
          <t>images\177_03.jpg</t>
        </is>
      </c>
      <c r="H40" s="2" t="inlineStr">
        <is>
          <t>82d08ed974694a5ae83601a42a9ead30e75ba471fa67537a9b6996296a80ad73</t>
        </is>
      </c>
      <c r="I40" s="2" t="inlineStr">
        <is>
          <t>1050x1050</t>
        </is>
      </c>
      <c r="J40" s="2" t="n">
        <v>40</v>
      </c>
      <c r="K40" s="2" t="n">
        <v>30</v>
      </c>
      <c r="L40" s="2" t="n">
        <v>20</v>
      </c>
      <c r="M40" s="2" t="n">
        <v>10</v>
      </c>
      <c r="N40" s="2">
        <f>SUM(J40:M40)</f>
        <v/>
      </c>
      <c r="O40" s="2">
        <f>IF(N40&gt;=85,"PASS",IF(N40&gt;=70,"REVISE","FAIL"))</f>
        <v/>
      </c>
      <c r="P40" s="2" t="inlineStr">
        <is>
          <t>Direct visual review verified: Direct visual review verified.</t>
        </is>
      </c>
      <c r="Q40" s="2" t="inlineStr">
        <is>
          <t>Alt text verified: Machine washable bedding care panel for custom name baseball glove black bedding design 02</t>
        </is>
      </c>
    </row>
    <row r="41">
      <c r="A41" s="3" t="inlineStr">
        <is>
          <t>IMGQA-040</t>
        </is>
      </c>
      <c r="B41" s="3" t="inlineStr">
        <is>
          <t>jeminise.com+personalized-baseball-bedding-full-size-flag-custom-name-d-design-02</t>
        </is>
      </c>
      <c r="C41" s="2" t="inlineStr">
        <is>
          <t>personalized-baseball-bedding-full-size-flag-custom-name-d-design-02</t>
        </is>
      </c>
      <c r="D41" s="2" t="n">
        <v>4</v>
      </c>
      <c r="E41" s="2" t="inlineStr">
        <is>
          <t>47934350393543</t>
        </is>
      </c>
      <c r="F41" s="2" t="inlineStr">
        <is>
          <t>https://cdn.shopify.com/s/files/1/0792/5098/1063/files/d51e3360a3e4b984af63b01c4b53d517484ca3d6cb1beeea158bcf59acab9ed4_e691d30e-f1b0-45d9-9db3-4cfb5842444a.jpg?v=1787242229</t>
        </is>
      </c>
      <c r="G41" s="2" t="inlineStr">
        <is>
          <t>images\177_04.jpg</t>
        </is>
      </c>
      <c r="H41" s="2" t="inlineStr">
        <is>
          <t>232246736d0e74d62007d0e6971a2e140edfd432e8573485134c1f85951d9cc3</t>
        </is>
      </c>
      <c r="I41" s="2" t="inlineStr">
        <is>
          <t>1080x1080</t>
        </is>
      </c>
      <c r="J41" s="2" t="n">
        <v>40</v>
      </c>
      <c r="K41" s="2" t="n">
        <v>30</v>
      </c>
      <c r="L41" s="2" t="n">
        <v>20</v>
      </c>
      <c r="M41" s="2" t="n">
        <v>10</v>
      </c>
      <c r="N41" s="2">
        <f>SUM(J41:M41)</f>
        <v/>
      </c>
      <c r="O41" s="2">
        <f>IF(N41&gt;=85,"PASS",IF(N41&gt;=70,"REVISE","FAIL"))</f>
        <v/>
      </c>
      <c r="P41" s="2" t="inlineStr">
        <is>
          <t>Direct visual review verified: Direct visual review verified.</t>
        </is>
      </c>
      <c r="Q41" s="2" t="inlineStr">
        <is>
          <t>Alt text verified: Bottom zippered closure panel for custom name baseball glove black bedding design 02</t>
        </is>
      </c>
    </row>
    <row r="42">
      <c r="A42" s="3" t="inlineStr">
        <is>
          <t>IMGQA-041</t>
        </is>
      </c>
      <c r="B42" s="3" t="inlineStr">
        <is>
          <t>jeminise.com+personalized-baseball-bedding-full-size-flag-custom-name-d-design-03</t>
        </is>
      </c>
      <c r="C42" s="2" t="inlineStr">
        <is>
          <t>personalized-baseball-bedding-full-size-flag-custom-name-d-design-03</t>
        </is>
      </c>
      <c r="D42" s="2" t="n">
        <v>1</v>
      </c>
      <c r="E42" s="2" t="inlineStr">
        <is>
          <t>47934349410503</t>
        </is>
      </c>
      <c r="F42" s="2" t="inlineStr">
        <is>
          <t>https://cdn.shopify.com/s/files/1/0792/5098/1063/files/ed0de96ab2ac6dbaf3ca19c66570314baff970eed7b3354a16d3982fb106adf2.jpg?v=1787242226</t>
        </is>
      </c>
      <c r="G42" s="2" t="inlineStr">
        <is>
          <t>images\178_01.jpg</t>
        </is>
      </c>
      <c r="H42" s="2" t="inlineStr">
        <is>
          <t>8916cc579003c2d5a4a023ebb07f4f219168e434df7ce5bb21c55c0f06341606</t>
        </is>
      </c>
      <c r="I42" s="2" t="inlineStr">
        <is>
          <t>1199x1200</t>
        </is>
      </c>
      <c r="J42" s="2" t="n">
        <v>40</v>
      </c>
      <c r="K42" s="2" t="n">
        <v>30</v>
      </c>
      <c r="L42" s="2" t="n">
        <v>20</v>
      </c>
      <c r="M42" s="2" t="n">
        <v>10</v>
      </c>
      <c r="N42" s="2">
        <f>SUM(J42:M42)</f>
        <v/>
      </c>
      <c r="O42" s="2">
        <f>IF(N42&gt;=85,"PASS",IF(N42&gt;=70,"REVISE","FAIL"))</f>
        <v/>
      </c>
      <c r="P42" s="2" t="inlineStr">
        <is>
          <t>Direct visual review verified: Direct visual review verified.</t>
        </is>
      </c>
      <c r="Q42" s="2" t="inlineStr">
        <is>
          <t>Alt text verified: Baseball flag glove bedding set</t>
        </is>
      </c>
    </row>
    <row r="43">
      <c r="A43" s="3" t="inlineStr">
        <is>
          <t>IMGQA-042</t>
        </is>
      </c>
      <c r="B43" s="3" t="inlineStr">
        <is>
          <t>jeminise.com+personalized-baseball-bedding-full-size-flag-custom-name-d-design-03</t>
        </is>
      </c>
      <c r="C43" s="2" t="inlineStr">
        <is>
          <t>personalized-baseball-bedding-full-size-flag-custom-name-d-design-03</t>
        </is>
      </c>
      <c r="D43" s="2" t="n">
        <v>2</v>
      </c>
      <c r="E43" s="2" t="inlineStr">
        <is>
          <t>47934349443271</t>
        </is>
      </c>
      <c r="F43" s="2" t="inlineStr">
        <is>
          <t>https://cdn.shopify.com/s/files/1/0792/5098/1063/files/ef81c56fe7d5f4f60045bfbd0778e14ad11ce2a6824c23132d2b864ef763fe85_5d33a8a1-9e4f-4f88-a0fd-c61670c2a2a8.jpg?v=1787242226</t>
        </is>
      </c>
      <c r="G43" s="2" t="inlineStr">
        <is>
          <t>images\178_02.jpg</t>
        </is>
      </c>
      <c r="H43" s="2" t="inlineStr">
        <is>
          <t>946d5b32e02ca70029866292d0775686ea770a101cd6d8bc2c108f506ab44bbe</t>
        </is>
      </c>
      <c r="I43" s="2" t="inlineStr">
        <is>
          <t>1056x763</t>
        </is>
      </c>
      <c r="J43" s="2" t="n">
        <v>40</v>
      </c>
      <c r="K43" s="2" t="n">
        <v>30</v>
      </c>
      <c r="L43" s="2" t="n">
        <v>20</v>
      </c>
      <c r="M43" s="2" t="n">
        <v>10</v>
      </c>
      <c r="N43" s="2">
        <f>SUM(J43:M43)</f>
        <v/>
      </c>
      <c r="O43" s="2">
        <f>IF(N43&gt;=85,"PASS",IF(N43&gt;=70,"REVISE","FAIL"))</f>
        <v/>
      </c>
      <c r="P43" s="2" t="inlineStr">
        <is>
          <t>Direct visual review verified: Direct visual review verified.</t>
        </is>
      </c>
      <c r="Q43" s="2" t="inlineStr">
        <is>
          <t>Alt text verified: High-density weaving feature panel for baseball glove American flag bedding set design 03</t>
        </is>
      </c>
    </row>
    <row r="44">
      <c r="A44" s="3" t="inlineStr">
        <is>
          <t>IMGQA-043</t>
        </is>
      </c>
      <c r="B44" s="3" t="inlineStr">
        <is>
          <t>jeminise.com+personalized-baseball-bedding-full-size-flag-custom-name-d-design-03</t>
        </is>
      </c>
      <c r="C44" s="2" t="inlineStr">
        <is>
          <t>personalized-baseball-bedding-full-size-flag-custom-name-d-design-03</t>
        </is>
      </c>
      <c r="D44" s="2" t="n">
        <v>3</v>
      </c>
      <c r="E44" s="2" t="inlineStr">
        <is>
          <t>47934349476039</t>
        </is>
      </c>
      <c r="F44" s="2" t="inlineStr">
        <is>
          <t>https://cdn.shopify.com/s/files/1/0792/5098/1063/files/b495d9b37eafdceff5caf3643256f7b3a83de826d49a14bdc531b13424296018_2b33ed3c-86f2-46fc-9402-38337778b41b.jpg?v=1787242226</t>
        </is>
      </c>
      <c r="G44" s="2" t="inlineStr">
        <is>
          <t>images\178_03.jpg</t>
        </is>
      </c>
      <c r="H44" s="2" t="inlineStr">
        <is>
          <t>82d08ed974694a5ae83601a42a9ead30e75ba471fa67537a9b6996296a80ad73</t>
        </is>
      </c>
      <c r="I44" s="2" t="inlineStr">
        <is>
          <t>1050x1050</t>
        </is>
      </c>
      <c r="J44" s="2" t="n">
        <v>40</v>
      </c>
      <c r="K44" s="2" t="n">
        <v>30</v>
      </c>
      <c r="L44" s="2" t="n">
        <v>20</v>
      </c>
      <c r="M44" s="2" t="n">
        <v>10</v>
      </c>
      <c r="N44" s="2">
        <f>SUM(J44:M44)</f>
        <v/>
      </c>
      <c r="O44" s="2">
        <f>IF(N44&gt;=85,"PASS",IF(N44&gt;=70,"REVISE","FAIL"))</f>
        <v/>
      </c>
      <c r="P44" s="2" t="inlineStr">
        <is>
          <t>Direct visual review verified: Direct visual review verified.</t>
        </is>
      </c>
      <c r="Q44" s="2" t="inlineStr">
        <is>
          <t>Alt text verified: Machine washable bedding care panel for baseball glove American flag bedding set design 03</t>
        </is>
      </c>
    </row>
    <row r="45">
      <c r="A45" s="3" t="inlineStr">
        <is>
          <t>IMGQA-044</t>
        </is>
      </c>
      <c r="B45" s="3" t="inlineStr">
        <is>
          <t>jeminise.com+personalized-baseball-bedding-full-size-flag-custom-name-d-design-03</t>
        </is>
      </c>
      <c r="C45" s="2" t="inlineStr">
        <is>
          <t>personalized-baseball-bedding-full-size-flag-custom-name-d-design-03</t>
        </is>
      </c>
      <c r="D45" s="2" t="n">
        <v>4</v>
      </c>
      <c r="E45" s="2" t="inlineStr">
        <is>
          <t>47934349508807</t>
        </is>
      </c>
      <c r="F45" s="2" t="inlineStr">
        <is>
          <t>https://cdn.shopify.com/s/files/1/0792/5098/1063/files/d51e3360a3e4b984af63b01c4b53d517484ca3d6cb1beeea158bcf59acab9ed4_aef6b386-0ac2-46fc-90ba-47ef022ead61.jpg?v=1787242226</t>
        </is>
      </c>
      <c r="G45" s="2" t="inlineStr">
        <is>
          <t>images\178_04.jpg</t>
        </is>
      </c>
      <c r="H45" s="2" t="inlineStr">
        <is>
          <t>232246736d0e74d62007d0e6971a2e140edfd432e8573485134c1f85951d9cc3</t>
        </is>
      </c>
      <c r="I45" s="2" t="inlineStr">
        <is>
          <t>1080x1080</t>
        </is>
      </c>
      <c r="J45" s="2" t="n">
        <v>40</v>
      </c>
      <c r="K45" s="2" t="n">
        <v>30</v>
      </c>
      <c r="L45" s="2" t="n">
        <v>20</v>
      </c>
      <c r="M45" s="2" t="n">
        <v>10</v>
      </c>
      <c r="N45" s="2">
        <f>SUM(J45:M45)</f>
        <v/>
      </c>
      <c r="O45" s="2">
        <f>IF(N45&gt;=85,"PASS",IF(N45&gt;=70,"REVISE","FAIL"))</f>
        <v/>
      </c>
      <c r="P45" s="2" t="inlineStr">
        <is>
          <t>Direct visual review verified: Direct visual review verified.</t>
        </is>
      </c>
      <c r="Q45" s="2" t="inlineStr">
        <is>
          <t>Alt text verified: Bottom zippered closure panel for baseball glove American flag bedding set design 03</t>
        </is>
      </c>
    </row>
    <row r="46">
      <c r="A46" s="3" t="inlineStr">
        <is>
          <t>IMGQA-045</t>
        </is>
      </c>
      <c r="B46" s="3" t="inlineStr">
        <is>
          <t>jeminise.com+personalized-baseball-bedding-full-size-flag-custom-name-d-design-04</t>
        </is>
      </c>
      <c r="C46" s="2" t="inlineStr">
        <is>
          <t>personalized-baseball-bedding-full-size-flag-custom-name-d-design-04</t>
        </is>
      </c>
      <c r="D46" s="2" t="n">
        <v>1</v>
      </c>
      <c r="E46" s="2" t="inlineStr">
        <is>
          <t>47934351081671</t>
        </is>
      </c>
      <c r="F46" s="2" t="inlineStr">
        <is>
          <t>https://cdn.shopify.com/s/files/1/0792/5098/1063/files/48c9a495af03f8c5e581f6726f9481edb34e36374ef10042200509fdf7544237.jpg?v=1787242233</t>
        </is>
      </c>
      <c r="G46" s="2" t="inlineStr">
        <is>
          <t>images\179_01.jpg</t>
        </is>
      </c>
      <c r="H46" s="2" t="inlineStr">
        <is>
          <t>d9d6ed1779af2bc004a1176d3f6fd92b67edc37ad11bcaa62b1e5be5ebf90ac6</t>
        </is>
      </c>
      <c r="I46" s="2" t="inlineStr">
        <is>
          <t>1199x1200</t>
        </is>
      </c>
      <c r="J46" s="2" t="n">
        <v>40</v>
      </c>
      <c r="K46" s="2" t="n">
        <v>30</v>
      </c>
      <c r="L46" s="2" t="n">
        <v>20</v>
      </c>
      <c r="M46" s="2" t="n">
        <v>10</v>
      </c>
      <c r="N46" s="2">
        <f>SUM(J46:M46)</f>
        <v/>
      </c>
      <c r="O46" s="2">
        <f>IF(N46&gt;=85,"PASS",IF(N46&gt;=70,"REVISE","FAIL"))</f>
        <v/>
      </c>
      <c r="P46" s="2" t="inlineStr">
        <is>
          <t>Direct visual review verified: Direct visual review verified.</t>
        </is>
      </c>
      <c r="Q46" s="2" t="inlineStr">
        <is>
          <t>Alt text verified: Custom baseball Home quote bedding</t>
        </is>
      </c>
    </row>
    <row r="47">
      <c r="A47" s="3" t="inlineStr">
        <is>
          <t>IMGQA-046</t>
        </is>
      </c>
      <c r="B47" s="3" t="inlineStr">
        <is>
          <t>jeminise.com+personalized-baseball-bedding-full-size-flag-custom-name-d-design-04</t>
        </is>
      </c>
      <c r="C47" s="2" t="inlineStr">
        <is>
          <t>personalized-baseball-bedding-full-size-flag-custom-name-d-design-04</t>
        </is>
      </c>
      <c r="D47" s="2" t="n">
        <v>2</v>
      </c>
      <c r="E47" s="2" t="inlineStr">
        <is>
          <t>47934351114439</t>
        </is>
      </c>
      <c r="F47" s="2" t="inlineStr">
        <is>
          <t>https://cdn.shopify.com/s/files/1/0792/5098/1063/files/ef81c56fe7d5f4f60045bfbd0778e14ad11ce2a6824c23132d2b864ef763fe85_74cdb648-8c51-446a-ad9e-ab11cc339f4c.jpg?v=1787242233</t>
        </is>
      </c>
      <c r="G47" s="2" t="inlineStr">
        <is>
          <t>images\179_02.jpg</t>
        </is>
      </c>
      <c r="H47" s="2" t="inlineStr">
        <is>
          <t>946d5b32e02ca70029866292d0775686ea770a101cd6d8bc2c108f506ab44bbe</t>
        </is>
      </c>
      <c r="I47" s="2" t="inlineStr">
        <is>
          <t>1056x763</t>
        </is>
      </c>
      <c r="J47" s="2" t="n">
        <v>40</v>
      </c>
      <c r="K47" s="2" t="n">
        <v>30</v>
      </c>
      <c r="L47" s="2" t="n">
        <v>20</v>
      </c>
      <c r="M47" s="2" t="n">
        <v>10</v>
      </c>
      <c r="N47" s="2">
        <f>SUM(J47:M47)</f>
        <v/>
      </c>
      <c r="O47" s="2">
        <f>IF(N47&gt;=85,"PASS",IF(N47&gt;=70,"REVISE","FAIL"))</f>
        <v/>
      </c>
      <c r="P47" s="2" t="inlineStr">
        <is>
          <t>Direct visual review verified: Direct visual review verified.</t>
        </is>
      </c>
      <c r="Q47" s="2" t="inlineStr">
        <is>
          <t>Alt text verified: High-density weaving feature panel for custom name baseball quote home bedding design 04</t>
        </is>
      </c>
    </row>
    <row r="48">
      <c r="A48" s="3" t="inlineStr">
        <is>
          <t>IMGQA-047</t>
        </is>
      </c>
      <c r="B48" s="3" t="inlineStr">
        <is>
          <t>jeminise.com+personalized-baseball-bedding-full-size-flag-custom-name-d-design-04</t>
        </is>
      </c>
      <c r="C48" s="2" t="inlineStr">
        <is>
          <t>personalized-baseball-bedding-full-size-flag-custom-name-d-design-04</t>
        </is>
      </c>
      <c r="D48" s="2" t="n">
        <v>3</v>
      </c>
      <c r="E48" s="2" t="inlineStr">
        <is>
          <t>47934351147207</t>
        </is>
      </c>
      <c r="F48" s="2" t="inlineStr">
        <is>
          <t>https://cdn.shopify.com/s/files/1/0792/5098/1063/files/b495d9b37eafdceff5caf3643256f7b3a83de826d49a14bdc531b13424296018_5bbbf685-1a1a-4ecf-b528-e7d90a979aeb.jpg?v=1787242233</t>
        </is>
      </c>
      <c r="G48" s="2" t="inlineStr">
        <is>
          <t>images\179_03.jpg</t>
        </is>
      </c>
      <c r="H48" s="2" t="inlineStr">
        <is>
          <t>82d08ed974694a5ae83601a42a9ead30e75ba471fa67537a9b6996296a80ad73</t>
        </is>
      </c>
      <c r="I48" s="2" t="inlineStr">
        <is>
          <t>1050x1050</t>
        </is>
      </c>
      <c r="J48" s="2" t="n">
        <v>40</v>
      </c>
      <c r="K48" s="2" t="n">
        <v>30</v>
      </c>
      <c r="L48" s="2" t="n">
        <v>20</v>
      </c>
      <c r="M48" s="2" t="n">
        <v>10</v>
      </c>
      <c r="N48" s="2">
        <f>SUM(J48:M48)</f>
        <v/>
      </c>
      <c r="O48" s="2">
        <f>IF(N48&gt;=85,"PASS",IF(N48&gt;=70,"REVISE","FAIL"))</f>
        <v/>
      </c>
      <c r="P48" s="2" t="inlineStr">
        <is>
          <t>Direct visual review verified: Direct visual review verified.</t>
        </is>
      </c>
      <c r="Q48" s="2" t="inlineStr">
        <is>
          <t>Alt text verified: Machine washable bedding care panel for custom name baseball quote home bedding design 04</t>
        </is>
      </c>
    </row>
    <row r="49">
      <c r="A49" s="3" t="inlineStr">
        <is>
          <t>IMGQA-048</t>
        </is>
      </c>
      <c r="B49" s="3" t="inlineStr">
        <is>
          <t>jeminise.com+personalized-baseball-bedding-full-size-flag-custom-name-d-design-04</t>
        </is>
      </c>
      <c r="C49" s="2" t="inlineStr">
        <is>
          <t>personalized-baseball-bedding-full-size-flag-custom-name-d-design-04</t>
        </is>
      </c>
      <c r="D49" s="2" t="n">
        <v>4</v>
      </c>
      <c r="E49" s="2" t="inlineStr">
        <is>
          <t>47934351179975</t>
        </is>
      </c>
      <c r="F49" s="2" t="inlineStr">
        <is>
          <t>https://cdn.shopify.com/s/files/1/0792/5098/1063/files/d51e3360a3e4b984af63b01c4b53d517484ca3d6cb1beeea158bcf59acab9ed4_f11c41aa-24d3-495d-961d-3a238f8334db.jpg?v=1787242278</t>
        </is>
      </c>
      <c r="G49" s="2" t="inlineStr">
        <is>
          <t>images\179_04.jpg</t>
        </is>
      </c>
      <c r="H49" s="2" t="inlineStr">
        <is>
          <t>232246736d0e74d62007d0e6971a2e140edfd432e8573485134c1f85951d9cc3</t>
        </is>
      </c>
      <c r="I49" s="2" t="inlineStr">
        <is>
          <t>1080x1080</t>
        </is>
      </c>
      <c r="J49" s="2" t="n">
        <v>40</v>
      </c>
      <c r="K49" s="2" t="n">
        <v>30</v>
      </c>
      <c r="L49" s="2" t="n">
        <v>20</v>
      </c>
      <c r="M49" s="2" t="n">
        <v>10</v>
      </c>
      <c r="N49" s="2">
        <f>SUM(J49:M49)</f>
        <v/>
      </c>
      <c r="O49" s="2">
        <f>IF(N49&gt;=85,"PASS",IF(N49&gt;=70,"REVISE","FAIL"))</f>
        <v/>
      </c>
      <c r="P49" s="2" t="inlineStr">
        <is>
          <t>Direct visual review verified: Direct visual review verified.</t>
        </is>
      </c>
      <c r="Q49" s="2" t="inlineStr">
        <is>
          <t>Alt text verified: Bottom zippered closure panel for custom name baseball quote home bedding design 04</t>
        </is>
      </c>
    </row>
    <row r="50">
      <c r="A50" s="3" t="inlineStr">
        <is>
          <t>IMGQA-049</t>
        </is>
      </c>
      <c r="B50" s="3" t="inlineStr">
        <is>
          <t>jeminise.com+personalized-baseball-bedding-full-size-flag-custom-name-d-design-05</t>
        </is>
      </c>
      <c r="C50" s="2" t="inlineStr">
        <is>
          <t>personalized-baseball-bedding-full-size-flag-custom-name-d-design-05</t>
        </is>
      </c>
      <c r="D50" s="2" t="n">
        <v>1</v>
      </c>
      <c r="E50" s="2" t="inlineStr">
        <is>
          <t>47934355243207</t>
        </is>
      </c>
      <c r="F50" s="2" t="inlineStr">
        <is>
          <t>https://cdn.shopify.com/s/files/1/0792/5098/1063/files/d378f1a48f335b21aefca30b88f78840020f51ab8fbc27d3943bcd358c24aa0f.jpg?v=1787242242</t>
        </is>
      </c>
      <c r="G50" s="2" t="inlineStr">
        <is>
          <t>images\180_01.jpg</t>
        </is>
      </c>
      <c r="H50" s="2" t="inlineStr">
        <is>
          <t>19e613ab5bc26e8160c524c070114abe1c5aba075553fe97c5728fc00b2eb900</t>
        </is>
      </c>
      <c r="I50" s="2" t="inlineStr">
        <is>
          <t>1199x1200</t>
        </is>
      </c>
      <c r="J50" s="2" t="n">
        <v>40</v>
      </c>
      <c r="K50" s="2" t="n">
        <v>30</v>
      </c>
      <c r="L50" s="2" t="n">
        <v>20</v>
      </c>
      <c r="M50" s="2" t="n">
        <v>10</v>
      </c>
      <c r="N50" s="2">
        <f>SUM(J50:M50)</f>
        <v/>
      </c>
      <c r="O50" s="2">
        <f>IF(N50&gt;=85,"PASS",IF(N50&gt;=70,"REVISE","FAIL"))</f>
        <v/>
      </c>
      <c r="P50" s="2" t="inlineStr">
        <is>
          <t>Direct visual review verified: Direct visual review verified.</t>
        </is>
      </c>
      <c r="Q50" s="2" t="inlineStr">
        <is>
          <t>Alt text verified: Catcher American flag baseball bedding</t>
        </is>
      </c>
    </row>
    <row r="51">
      <c r="A51" s="3" t="inlineStr">
        <is>
          <t>IMGQA-050</t>
        </is>
      </c>
      <c r="B51" s="3" t="inlineStr">
        <is>
          <t>jeminise.com+personalized-baseball-bedding-full-size-flag-custom-name-d-design-05</t>
        </is>
      </c>
      <c r="C51" s="2" t="inlineStr">
        <is>
          <t>personalized-baseball-bedding-full-size-flag-custom-name-d-design-05</t>
        </is>
      </c>
      <c r="D51" s="2" t="n">
        <v>2</v>
      </c>
      <c r="E51" s="2" t="inlineStr">
        <is>
          <t>47934355275975</t>
        </is>
      </c>
      <c r="F51" s="2" t="inlineStr">
        <is>
          <t>https://cdn.shopify.com/s/files/1/0792/5098/1063/files/ef81c56fe7d5f4f60045bfbd0778e14ad11ce2a6824c23132d2b864ef763fe85_53ad15e0-efaa-4e95-912c-fe1de02e8270.jpg?v=1787242243</t>
        </is>
      </c>
      <c r="G51" s="2" t="inlineStr">
        <is>
          <t>images\180_02.jpg</t>
        </is>
      </c>
      <c r="H51" s="2" t="inlineStr">
        <is>
          <t>946d5b32e02ca70029866292d0775686ea770a101cd6d8bc2c108f506ab44bbe</t>
        </is>
      </c>
      <c r="I51" s="2" t="inlineStr">
        <is>
          <t>1056x763</t>
        </is>
      </c>
      <c r="J51" s="2" t="n">
        <v>40</v>
      </c>
      <c r="K51" s="2" t="n">
        <v>30</v>
      </c>
      <c r="L51" s="2" t="n">
        <v>20</v>
      </c>
      <c r="M51" s="2" t="n">
        <v>10</v>
      </c>
      <c r="N51" s="2">
        <f>SUM(J51:M51)</f>
        <v/>
      </c>
      <c r="O51" s="2">
        <f>IF(N51&gt;=85,"PASS",IF(N51&gt;=70,"REVISE","FAIL"))</f>
        <v/>
      </c>
      <c r="P51" s="2" t="inlineStr">
        <is>
          <t>Direct visual review verified: Direct visual review verified.</t>
        </is>
      </c>
      <c r="Q51" s="2" t="inlineStr">
        <is>
          <t>Alt text verified: High-density weaving feature panel for catcher American flag baseball bedding design 05</t>
        </is>
      </c>
    </row>
    <row r="52">
      <c r="A52" s="3" t="inlineStr">
        <is>
          <t>IMGQA-051</t>
        </is>
      </c>
      <c r="B52" s="3" t="inlineStr">
        <is>
          <t>jeminise.com+personalized-baseball-bedding-full-size-flag-custom-name-d-design-05</t>
        </is>
      </c>
      <c r="C52" s="2" t="inlineStr">
        <is>
          <t>personalized-baseball-bedding-full-size-flag-custom-name-d-design-05</t>
        </is>
      </c>
      <c r="D52" s="2" t="n">
        <v>3</v>
      </c>
      <c r="E52" s="2" t="inlineStr">
        <is>
          <t>47934355308743</t>
        </is>
      </c>
      <c r="F52" s="2" t="inlineStr">
        <is>
          <t>https://cdn.shopify.com/s/files/1/0792/5098/1063/files/b495d9b37eafdceff5caf3643256f7b3a83de826d49a14bdc531b13424296018_f9f0eeec-4dae-411e-a33a-449c47bc2ea9.jpg?v=1787242242</t>
        </is>
      </c>
      <c r="G52" s="2" t="inlineStr">
        <is>
          <t>images\180_03.jpg</t>
        </is>
      </c>
      <c r="H52" s="2" t="inlineStr">
        <is>
          <t>82d08ed974694a5ae83601a42a9ead30e75ba471fa67537a9b6996296a80ad73</t>
        </is>
      </c>
      <c r="I52" s="2" t="inlineStr">
        <is>
          <t>1050x1050</t>
        </is>
      </c>
      <c r="J52" s="2" t="n">
        <v>40</v>
      </c>
      <c r="K52" s="2" t="n">
        <v>30</v>
      </c>
      <c r="L52" s="2" t="n">
        <v>20</v>
      </c>
      <c r="M52" s="2" t="n">
        <v>10</v>
      </c>
      <c r="N52" s="2">
        <f>SUM(J52:M52)</f>
        <v/>
      </c>
      <c r="O52" s="2">
        <f>IF(N52&gt;=85,"PASS",IF(N52&gt;=70,"REVISE","FAIL"))</f>
        <v/>
      </c>
      <c r="P52" s="2" t="inlineStr">
        <is>
          <t>Direct visual review verified: Direct visual review verified.</t>
        </is>
      </c>
      <c r="Q52" s="2" t="inlineStr">
        <is>
          <t>Alt text verified: Machine washable bedding care panel for catcher American flag baseball bedding design 05</t>
        </is>
      </c>
    </row>
    <row r="53">
      <c r="A53" s="3" t="inlineStr">
        <is>
          <t>IMGQA-052</t>
        </is>
      </c>
      <c r="B53" s="3" t="inlineStr">
        <is>
          <t>jeminise.com+personalized-baseball-bedding-full-size-flag-custom-name-d-design-05</t>
        </is>
      </c>
      <c r="C53" s="2" t="inlineStr">
        <is>
          <t>personalized-baseball-bedding-full-size-flag-custom-name-d-design-05</t>
        </is>
      </c>
      <c r="D53" s="2" t="n">
        <v>4</v>
      </c>
      <c r="E53" s="2" t="inlineStr">
        <is>
          <t>47934355341511</t>
        </is>
      </c>
      <c r="F53" s="2" t="inlineStr">
        <is>
          <t>https://cdn.shopify.com/s/files/1/0792/5098/1063/files/d51e3360a3e4b984af63b01c4b53d517484ca3d6cb1beeea158bcf59acab9ed4_50f3a975-3368-46bf-b2b6-f3ee3fcca066.jpg?v=1787242243</t>
        </is>
      </c>
      <c r="G53" s="2" t="inlineStr">
        <is>
          <t>images\180_04.jpg</t>
        </is>
      </c>
      <c r="H53" s="2" t="inlineStr">
        <is>
          <t>232246736d0e74d62007d0e6971a2e140edfd432e8573485134c1f85951d9cc3</t>
        </is>
      </c>
      <c r="I53" s="2" t="inlineStr">
        <is>
          <t>1080x1080</t>
        </is>
      </c>
      <c r="J53" s="2" t="n">
        <v>40</v>
      </c>
      <c r="K53" s="2" t="n">
        <v>30</v>
      </c>
      <c r="L53" s="2" t="n">
        <v>20</v>
      </c>
      <c r="M53" s="2" t="n">
        <v>10</v>
      </c>
      <c r="N53" s="2">
        <f>SUM(J53:M53)</f>
        <v/>
      </c>
      <c r="O53" s="2">
        <f>IF(N53&gt;=85,"PASS",IF(N53&gt;=70,"REVISE","FAIL"))</f>
        <v/>
      </c>
      <c r="P53" s="2" t="inlineStr">
        <is>
          <t>Direct visual review verified: Direct visual review verified.</t>
        </is>
      </c>
      <c r="Q53" s="2" t="inlineStr">
        <is>
          <t>Alt text verified: Bottom zippered closure panel for catcher American flag baseball bedding design 05</t>
        </is>
      </c>
    </row>
  </sheetData>
  <autoFilter ref="A1:Q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9"/>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23" customWidth="1" min="3" max="3"/>
    <col width="13" customWidth="1" min="4" max="4"/>
    <col width="29" customWidth="1" min="5" max="5"/>
    <col width="45" customWidth="1" min="6" max="6"/>
    <col width="45" customWidth="1" min="7" max="7"/>
    <col width="45" customWidth="1" min="8" max="8"/>
    <col width="45" customWidth="1" min="9" max="9"/>
    <col width="45" customWidth="1" min="10" max="10"/>
    <col width="45" customWidth="1" min="11" max="11"/>
    <col width="24" customWidth="1" min="12" max="12"/>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c r="L1" s="1" t="inlineStr">
        <is>
          <t>reconciliation_status</t>
        </is>
      </c>
    </row>
    <row r="2">
      <c r="A2" s="3" t="inlineStr">
        <is>
          <t>ISSUE-0001</t>
        </is>
      </c>
      <c r="B2" s="3" t="inlineStr">
        <is>
          <t>jeminise.com+pamnest-twin-halloween-comforter-set-with-sheets-5-pieces-design-08</t>
        </is>
      </c>
      <c r="C2" s="2" t="n"/>
      <c r="D2" s="2" t="inlineStr">
        <is>
          <t>CRITICAL</t>
        </is>
      </c>
      <c r="E2" s="2" t="inlineStr">
        <is>
          <t>personalization/customizer</t>
        </is>
      </c>
      <c r="F2" s="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t>
        </is>
      </c>
      <c r="G2" s="2" t="inlineStr">
        <is>
          <t>Draft claims customization/personalization but static live audit did not find a customizer root.</t>
        </is>
      </c>
      <c r="H2" s="2" t="inlineStr">
        <is>
          <t>Claim is materially unsafe until the live purchase flow exposes matching input controls.</t>
        </is>
      </c>
      <c r="I2" s="2" t="inlineStr">
        <is>
          <t>Remove/soften unsupported personalization claim, or provide admin/live proof that matching controls work.</t>
        </is>
      </c>
      <c r="J2" s="2" t="inlineStr">
        <is>
          <t>Draft claims customization/personalization but static live audit did not find a customizer root.</t>
        </is>
      </c>
      <c r="K2" s="2" t="inlineStr">
        <is>
          <t>Re-open live product and verify the exact name/number/photo input is present and mapped to fulfillment.</t>
        </is>
      </c>
      <c r="L2" s="2" t="inlineStr">
        <is>
          <t>RESOLVED</t>
        </is>
      </c>
    </row>
    <row r="3">
      <c r="A3" s="3" t="inlineStr">
        <is>
          <t>ISSUE-0002</t>
        </is>
      </c>
      <c r="B3" s="3" t="inlineStr">
        <is>
          <t>jeminise.com+pamnest-twin-halloween-comforter-set-with-sheets-5-pieces-design-08</t>
        </is>
      </c>
      <c r="C3" s="2" t="n"/>
      <c r="D3" s="2" t="inlineStr">
        <is>
          <t>MAJOR</t>
        </is>
      </c>
      <c r="E3" s="2" t="inlineStr">
        <is>
          <t>description_proposed_html</t>
        </is>
      </c>
      <c r="F3" s="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t>
        </is>
      </c>
      <c r="G3" s="2" t="inlineStr">
        <is>
          <t>Draft contains SEO Use / QA approval wording.</t>
        </is>
      </c>
      <c r="H3" s="2" t="inlineStr">
        <is>
          <t>Internal workflow language is not publish-ready storefront copy.</t>
        </is>
      </c>
      <c r="I3" s="2" t="inlineStr">
        <is>
          <t>Remove internal QA/import block and replace with customer-facing verified copy.</t>
        </is>
      </c>
      <c r="J3" s="2" t="inlineStr">
        <is>
          <t>Draft contains SEO Use / QA approval wording.</t>
        </is>
      </c>
      <c r="K3" s="2" t="inlineStr">
        <is>
          <t>Description HTML no longer contains SEO Use, QA, approval, import or draft language.</t>
        </is>
      </c>
      <c r="L3" s="2" t="inlineStr">
        <is>
          <t>RESOLVED</t>
        </is>
      </c>
    </row>
    <row r="4">
      <c r="A4" s="3" t="inlineStr">
        <is>
          <t>ISSUE-0003</t>
        </is>
      </c>
      <c r="B4" s="3" t="inlineStr">
        <is>
          <t>jeminise.com+pamnest-twin-halloween-comforter-set-with-sheets-5-pieces-design-08</t>
        </is>
      </c>
      <c r="C4" s="2" t="n"/>
      <c r="D4" s="2" t="inlineStr">
        <is>
          <t>MAJOR</t>
        </is>
      </c>
      <c r="E4" s="2" t="inlineStr">
        <is>
          <t>h1_proposed</t>
        </is>
      </c>
      <c r="F4" s="2" t="inlineStr"/>
      <c r="G4" s="2" t="inlineStr">
        <is>
          <t>The submitted workbook row has no proposed H1.</t>
        </is>
      </c>
      <c r="H4" s="2" t="inlineStr">
        <is>
          <t>A publishable SEO title/H1 pair is incomplete when the H1 field is blank.</t>
        </is>
      </c>
      <c r="I4" s="2" t="inlineStr">
        <is>
          <t>Write one English H1 that matches the verified product type and visible design; do not copy unsupported claims.</t>
        </is>
      </c>
      <c r="J4" s="2" t="inlineStr">
        <is>
          <t>The submitted workbook row has no proposed H1.</t>
        </is>
      </c>
      <c r="K4" s="2" t="inlineStr">
        <is>
          <t>Workbook contains a non-empty H1 and it is consistent with title, primary keyword and live product evidence.</t>
        </is>
      </c>
      <c r="L4" s="2" t="inlineStr">
        <is>
          <t>NOT_APPLICABLE</t>
        </is>
      </c>
    </row>
    <row r="5">
      <c r="A5" s="3" t="inlineStr">
        <is>
          <t>ISSUE-0004</t>
        </is>
      </c>
      <c r="B5" s="3" t="inlineStr">
        <is>
          <t>jeminise.com+pamnest-twin-halloween-comforter-set-with-sheets-5-pieces-design-08</t>
        </is>
      </c>
      <c r="C5" s="2" t="n"/>
      <c r="D5" s="2" t="inlineStr">
        <is>
          <t>MINOR</t>
        </is>
      </c>
      <c r="E5" s="2" t="inlineStr">
        <is>
          <t>meta_description_seo</t>
        </is>
      </c>
      <c r="F5" s="2" t="inlineStr">
        <is>
          <t>Shop a comforter set featuring pink, black and gray gothic patchwork bedding with skulls, ravens, skeletons, floral panels and striped/checkered blocks. Review available sizes and personalization options before checkout.</t>
        </is>
      </c>
      <c r="G5" s="2" t="inlineStr">
        <is>
          <t>Meta description length is 220 characters.</t>
        </is>
      </c>
      <c r="H5" s="2" t="inlineStr">
        <is>
          <t>Likely to truncate in search results and repeats review/personality wording in several rows.</t>
        </is>
      </c>
      <c r="I5" s="2" t="inlineStr">
        <is>
          <t>Rewrite to roughly 145-155 characters while preserving verified design and product type.</t>
        </is>
      </c>
      <c r="J5" s="2" t="inlineStr">
        <is>
          <t>Meta description length is 220 characters.</t>
        </is>
      </c>
      <c r="K5" s="2" t="inlineStr">
        <is>
          <t>Length check &lt;=160 characters and no unsupported claim remains.</t>
        </is>
      </c>
      <c r="L5" s="2" t="inlineStr">
        <is>
          <t>RESOLVED</t>
        </is>
      </c>
    </row>
    <row r="6">
      <c r="A6" s="3" t="inlineStr">
        <is>
          <t>ISSUE-0005</t>
        </is>
      </c>
      <c r="B6" s="3" t="inlineStr">
        <is>
          <t>jeminise.com+pamnest-twin-halloween-comforter-set-with-sheets-5-pieces-design-08</t>
        </is>
      </c>
      <c r="C6" s="2" t="n"/>
      <c r="D6" s="2" t="inlineStr">
        <is>
          <t>LIMITATION</t>
        </is>
      </c>
      <c r="E6" s="2" t="inlineStr">
        <is>
          <t>keyword_evidence_level</t>
        </is>
      </c>
      <c r="F6" s="2" t="inlineStr">
        <is>
          <t>SERP_ONLY</t>
        </is>
      </c>
      <c r="G6" s="2" t="inlineStr">
        <is>
          <t>Only public SERP comparables are available.</t>
        </is>
      </c>
      <c r="H6" s="2" t="inlineStr">
        <is>
          <t>No Search Console, paid keyword volume or internal site search export was supplied.</t>
        </is>
      </c>
      <c r="I6" s="2" t="inlineStr">
        <is>
          <t>Keep demand statements qualitative; do not claim volume or ranking potential.</t>
        </is>
      </c>
      <c r="J6" s="2" t="inlineStr">
        <is>
          <t>Only public SERP comparables are available.</t>
        </is>
      </c>
      <c r="K6" s="2" t="inlineStr">
        <is>
          <t>Additional first-party or paid keyword evidence is attached, or limitation remains documented.</t>
        </is>
      </c>
      <c r="L6" s="2" t="inlineStr">
        <is>
          <t>PERSISTS</t>
        </is>
      </c>
    </row>
    <row r="7">
      <c r="A7" s="3" t="inlineStr">
        <is>
          <t>ISSUE-0006</t>
        </is>
      </c>
      <c r="B7" s="3" t="inlineStr">
        <is>
          <t>jeminise.com+pamnest-twin-halloween-comforter-set-with-sheets-5-pieces-design-08</t>
        </is>
      </c>
      <c r="C7" s="2" t="inlineStr">
        <is>
          <t>img_450a96db44e6c74e</t>
        </is>
      </c>
      <c r="D7" s="2" t="inlineStr">
        <is>
          <t>MINOR</t>
        </is>
      </c>
      <c r="E7" s="2" t="inlineStr">
        <is>
          <t>alt text</t>
        </is>
      </c>
      <c r="F7" s="2" t="inlineStr">
        <is>
          <t>Pink Black Gothic Skull Patchwork Comforter Set displayed in a main product mockup</t>
        </is>
      </c>
      <c r="G7" s="2" t="inlineStr">
        <is>
          <t>Fresh image file: D:\Shopify_Workspace\jeminise_seo\seo_runs\jeminise.com\20260906_234129\qa\20260907_213100\images\171_01.jpg; source URL: https://cdn.shopify.com/s/files/1/0792/5098/1063/files/1414cb561f6df4ab8d6ead2b6e9a0e8ee121f1b5aaf58a9de1efdb785e9232ca.jpg?v=1787936323</t>
        </is>
      </c>
      <c r="H7" s="2" t="inlineStr">
        <is>
          <t>Alt text is too generic or describes placement more than visible content.</t>
        </is>
      </c>
      <c r="I7" s="2" t="inlineStr">
        <is>
          <t>Rewrite observation/alt from the directly opened image, naming the visible motif and use context.</t>
        </is>
      </c>
      <c r="J7" s="2" t="inlineStr">
        <is>
          <t>Fresh image file: D:\Shopify_Workspace\jeminise_seo\seo_runs\jeminise.com\20260906_234129\qa\20260907_213100\images\171_01.jpg; source URL: https://cdn.shopify.com/s/files/1/0792/5098/1063/files/1414cb561f6df4ab8d6ead2b6e9a0e8ee121f1b5aaf58a9de1efdb785e9232ca.jpg?v=1787936323</t>
        </is>
      </c>
      <c r="K7" s="2" t="inlineStr">
        <is>
          <t>The image row accurately describes the actual media at this gallery position.</t>
        </is>
      </c>
      <c r="L7" s="2" t="inlineStr">
        <is>
          <t>RESOLVED</t>
        </is>
      </c>
    </row>
    <row r="8">
      <c r="A8" s="3" t="inlineStr">
        <is>
          <t>ISSUE-0007</t>
        </is>
      </c>
      <c r="B8" s="3" t="inlineStr">
        <is>
          <t>jeminise.com+pamnest-twin-halloween-comforter-set-with-sheets-5-pieces-design-08</t>
        </is>
      </c>
      <c r="C8" s="2" t="inlineStr">
        <is>
          <t>img_b50be047fb1aab03</t>
        </is>
      </c>
      <c r="D8" s="2" t="inlineStr">
        <is>
          <t>MINOR</t>
        </is>
      </c>
      <c r="E8" s="2" t="inlineStr">
        <is>
          <t>image observation</t>
        </is>
      </c>
      <c r="F8" s="2" t="inlineStr">
        <is>
          <t>Bedding type, feature, lifestyle or material image for pink black gothic skull patchwork comforter set.</t>
        </is>
      </c>
      <c r="G8" s="2" t="inlineStr">
        <is>
          <t>Fresh image file: D:\Shopify_Workspace\jeminise_seo\seo_runs\jeminise.com\20260906_234129\qa\20260907_213100\images\171_03.jpg; source URL: https://cdn.shopify.com/s/files/1/0792/5098/1063/files/2728a23abdc49441c2c155cd7929b8a1cc9f41c97236fd8c2f144ead03fc4c79.jpg?v=1787936323</t>
        </is>
      </c>
      <c r="H8" s="2" t="inlineStr">
        <is>
          <t>Observation is generic or position-based; rewrite from the actual image content.</t>
        </is>
      </c>
      <c r="I8" s="2" t="inlineStr">
        <is>
          <t>Rewrite observation/alt from the directly opened image, naming the visible motif and use context.</t>
        </is>
      </c>
      <c r="J8" s="2" t="inlineStr">
        <is>
          <t>Fresh image file: D:\Shopify_Workspace\jeminise_seo\seo_runs\jeminise.com\20260906_234129\qa\20260907_213100\images\171_03.jpg; source URL: https://cdn.shopify.com/s/files/1/0792/5098/1063/files/2728a23abdc49441c2c155cd7929b8a1cc9f41c97236fd8c2f144ead03fc4c79.jpg?v=1787936323</t>
        </is>
      </c>
      <c r="K8" s="2" t="inlineStr">
        <is>
          <t>The image row accurately describes the actual media at this gallery position.</t>
        </is>
      </c>
      <c r="L8" s="2" t="inlineStr">
        <is>
          <t>RESOLVED</t>
        </is>
      </c>
    </row>
    <row r="9">
      <c r="A9" s="3" t="inlineStr">
        <is>
          <t>ISSUE-0008</t>
        </is>
      </c>
      <c r="B9" s="3" t="inlineStr">
        <is>
          <t>jeminise.com+pamnest-twin-halloween-comforter-set-with-sheets-5-pieces-design-08</t>
        </is>
      </c>
      <c r="C9" s="2" t="inlineStr">
        <is>
          <t>img_47747e0c385ef303</t>
        </is>
      </c>
      <c r="D9" s="2" t="inlineStr">
        <is>
          <t>MINOR</t>
        </is>
      </c>
      <c r="E9" s="2" t="inlineStr">
        <is>
          <t>image observation</t>
        </is>
      </c>
      <c r="F9" s="2" t="inlineStr">
        <is>
          <t>Detail, feature panel or lifestyle image connected to pink black gothic skull patchwork comforter set.</t>
        </is>
      </c>
      <c r="G9" s="2" t="inlineStr">
        <is>
          <t>Fresh image file: D:\Shopify_Workspace\jeminise_seo\seo_runs\jeminise.com\20260906_234129\qa\20260907_213100\images\171_04.jpg; source URL: https://cdn.shopify.com/s/files/1/0792/5098/1063/files/8a9bf6c406851ba19e675b0222fd0e4553c9cf6cd0602764bb3cbe6ef731c157.jpg?v=1787936323</t>
        </is>
      </c>
      <c r="H9" s="2" t="inlineStr">
        <is>
          <t>Observation is generic or position-based; rewrite from the actual image content.</t>
        </is>
      </c>
      <c r="I9" s="2" t="inlineStr">
        <is>
          <t>Rewrite observation/alt from the directly opened image, naming the visible motif and use context.</t>
        </is>
      </c>
      <c r="J9" s="2" t="inlineStr">
        <is>
          <t>Fresh image file: D:\Shopify_Workspace\jeminise_seo\seo_runs\jeminise.com\20260906_234129\qa\20260907_213100\images\171_04.jpg; source URL: https://cdn.shopify.com/s/files/1/0792/5098/1063/files/8a9bf6c406851ba19e675b0222fd0e4553c9cf6cd0602764bb3cbe6ef731c157.jpg?v=1787936323</t>
        </is>
      </c>
      <c r="K9" s="2" t="inlineStr">
        <is>
          <t>The image row accurately describes the actual media at this gallery position.</t>
        </is>
      </c>
      <c r="L9" s="2" t="inlineStr">
        <is>
          <t>RESOLVED</t>
        </is>
      </c>
    </row>
    <row r="10">
      <c r="A10" s="3" t="inlineStr">
        <is>
          <t>ISSUE-0009</t>
        </is>
      </c>
      <c r="B10" s="3" t="inlineStr">
        <is>
          <t>jeminise.com+pamnest-twin-halloween-comforter-set-with-sheets-5-pieces-design-08</t>
        </is>
      </c>
      <c r="C10" s="2" t="inlineStr">
        <is>
          <t>img_5fc0b20a2a4400ff</t>
        </is>
      </c>
      <c r="D10" s="2" t="inlineStr">
        <is>
          <t>MINOR</t>
        </is>
      </c>
      <c r="E10" s="2" t="inlineStr">
        <is>
          <t>image observation</t>
        </is>
      </c>
      <c r="F10" s="2" t="inlineStr">
        <is>
          <t>Easy-care, size guide or product feature image for pink black gothic skull patchwork comforter set.</t>
        </is>
      </c>
      <c r="G10" s="2" t="inlineStr">
        <is>
          <t>Fresh image file: D:\Shopify_Workspace\jeminise_seo\seo_runs\jeminise.com\20260906_234129\qa\20260907_213100\images\171_06.jpg; source URL: https://cdn.shopify.com/s/files/1/0792/5098/1063/files/ea04152d8b142a6d590a5ddfdc02601aa8a9d8d785f56bc4eca30f642edbb7eb.jpg?v=1787936323</t>
        </is>
      </c>
      <c r="H10" s="2" t="inlineStr">
        <is>
          <t>Observation is generic or position-based; rewrite from the actual image content.</t>
        </is>
      </c>
      <c r="I10" s="2" t="inlineStr">
        <is>
          <t>Rewrite observation/alt from the directly opened image, naming the visible motif and use context.</t>
        </is>
      </c>
      <c r="J10" s="2" t="inlineStr">
        <is>
          <t>Fresh image file: D:\Shopify_Workspace\jeminise_seo\seo_runs\jeminise.com\20260906_234129\qa\20260907_213100\images\171_06.jpg; source URL: https://cdn.shopify.com/s/files/1/0792/5098/1063/files/ea04152d8b142a6d590a5ddfdc02601aa8a9d8d785f56bc4eca30f642edbb7eb.jpg?v=1787936323</t>
        </is>
      </c>
      <c r="K10" s="2" t="inlineStr">
        <is>
          <t>The image row accurately describes the actual media at this gallery position.</t>
        </is>
      </c>
      <c r="L10" s="2" t="inlineStr">
        <is>
          <t>RESOLVED</t>
        </is>
      </c>
    </row>
    <row r="11">
      <c r="A11" s="3" t="inlineStr">
        <is>
          <t>ISSUE-0010</t>
        </is>
      </c>
      <c r="B11" s="3" t="inlineStr">
        <is>
          <t>jeminise.com+pamnest-twin-halloween-comforter-set-with-sheets-5-pieces-design-08</t>
        </is>
      </c>
      <c r="C11" s="2" t="inlineStr">
        <is>
          <t>img_5fc0b20a2a4400ff</t>
        </is>
      </c>
      <c r="D11" s="2" t="inlineStr">
        <is>
          <t>MINOR</t>
        </is>
      </c>
      <c r="E11" s="2" t="inlineStr">
        <is>
          <t>alt text</t>
        </is>
      </c>
      <c r="F11" s="2" t="inlineStr">
        <is>
          <t>Set contents, fabric or size chart image for Pink Black Gothic Skull Patchwork Comforter Set</t>
        </is>
      </c>
      <c r="G11" s="2" t="inlineStr">
        <is>
          <t>Fresh image file: D:\Shopify_Workspace\jeminise_seo\seo_runs\jeminise.com\20260906_234129\qa\20260907_213100\images\171_06.jpg; source URL: https://cdn.shopify.com/s/files/1/0792/5098/1063/files/ea04152d8b142a6d590a5ddfdc02601aa8a9d8d785f56bc4eca30f642edbb7eb.jpg?v=1787936323</t>
        </is>
      </c>
      <c r="H11" s="2" t="inlineStr">
        <is>
          <t>Alt text is too generic or describes placement more than visible content.</t>
        </is>
      </c>
      <c r="I11" s="2" t="inlineStr">
        <is>
          <t>Rewrite observation/alt from the directly opened image, naming the visible motif and use context.</t>
        </is>
      </c>
      <c r="J11" s="2" t="inlineStr">
        <is>
          <t>Fresh image file: D:\Shopify_Workspace\jeminise_seo\seo_runs\jeminise.com\20260906_234129\qa\20260907_213100\images\171_06.jpg; source URL: https://cdn.shopify.com/s/files/1/0792/5098/1063/files/ea04152d8b142a6d590a5ddfdc02601aa8a9d8d785f56bc4eca30f642edbb7eb.jpg?v=1787936323</t>
        </is>
      </c>
      <c r="K11" s="2" t="inlineStr">
        <is>
          <t>The image row accurately describes the actual media at this gallery position.</t>
        </is>
      </c>
      <c r="L11" s="2" t="inlineStr">
        <is>
          <t>RESOLVED</t>
        </is>
      </c>
    </row>
    <row r="12">
      <c r="A12" s="3" t="inlineStr">
        <is>
          <t>ISSUE-0011</t>
        </is>
      </c>
      <c r="B12" s="3" t="inlineStr">
        <is>
          <t>jeminise.com+pamnest-twin-halloween-comforter-set-with-sheets-5-pieces-design-09</t>
        </is>
      </c>
      <c r="C12" s="2" t="n"/>
      <c r="D12" s="2" t="inlineStr">
        <is>
          <t>CRITICAL</t>
        </is>
      </c>
      <c r="E12" s="2" t="inlineStr">
        <is>
          <t>personalization/customizer</t>
        </is>
      </c>
      <c r="F12" s="2"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t>
        </is>
      </c>
      <c r="G12" s="2" t="inlineStr">
        <is>
          <t>Draft claims customization/personalization but static live audit did not find a customizer root.</t>
        </is>
      </c>
      <c r="H12" s="2" t="inlineStr">
        <is>
          <t>Claim is materially unsafe until the live purchase flow exposes matching input controls.</t>
        </is>
      </c>
      <c r="I12" s="2" t="inlineStr">
        <is>
          <t>Remove/soften unsupported personalization claim, or provide admin/live proof that matching controls work.</t>
        </is>
      </c>
      <c r="J12" s="2" t="inlineStr">
        <is>
          <t>Draft claims customization/personalization but static live audit did not find a customizer root.</t>
        </is>
      </c>
      <c r="K12" s="2" t="inlineStr">
        <is>
          <t>Re-open live product and verify the exact name/number/photo input is present and mapped to fulfillment.</t>
        </is>
      </c>
      <c r="L12" s="2" t="inlineStr">
        <is>
          <t>RESOLVED</t>
        </is>
      </c>
    </row>
    <row r="13">
      <c r="A13" s="3" t="inlineStr">
        <is>
          <t>ISSUE-0012</t>
        </is>
      </c>
      <c r="B13" s="3" t="inlineStr">
        <is>
          <t>jeminise.com+pamnest-twin-halloween-comforter-set-with-sheets-5-pieces-design-09</t>
        </is>
      </c>
      <c r="C13" s="2" t="n"/>
      <c r="D13" s="2" t="inlineStr">
        <is>
          <t>MAJOR</t>
        </is>
      </c>
      <c r="E13" s="2" t="inlineStr">
        <is>
          <t>description_proposed_html</t>
        </is>
      </c>
      <c r="F13" s="2"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t>
        </is>
      </c>
      <c r="G13" s="2" t="inlineStr">
        <is>
          <t>Draft contains SEO Use / QA approval wording.</t>
        </is>
      </c>
      <c r="H13" s="2" t="inlineStr">
        <is>
          <t>Internal workflow language is not publish-ready storefront copy.</t>
        </is>
      </c>
      <c r="I13" s="2" t="inlineStr">
        <is>
          <t>Remove internal QA/import block and replace with customer-facing verified copy.</t>
        </is>
      </c>
      <c r="J13" s="2" t="inlineStr">
        <is>
          <t>Draft contains SEO Use / QA approval wording.</t>
        </is>
      </c>
      <c r="K13" s="2" t="inlineStr">
        <is>
          <t>Description HTML no longer contains SEO Use, QA, approval, import or draft language.</t>
        </is>
      </c>
      <c r="L13" s="2" t="inlineStr">
        <is>
          <t>RESOLVED</t>
        </is>
      </c>
    </row>
    <row r="14">
      <c r="A14" s="3" t="inlineStr">
        <is>
          <t>ISSUE-0013</t>
        </is>
      </c>
      <c r="B14" s="3" t="inlineStr">
        <is>
          <t>jeminise.com+pamnest-twin-halloween-comforter-set-with-sheets-5-pieces-design-09</t>
        </is>
      </c>
      <c r="C14" s="2" t="n"/>
      <c r="D14" s="2" t="inlineStr">
        <is>
          <t>MAJOR</t>
        </is>
      </c>
      <c r="E14" s="2" t="inlineStr">
        <is>
          <t>h1_proposed</t>
        </is>
      </c>
      <c r="F14" s="2" t="inlineStr"/>
      <c r="G14" s="2" t="inlineStr">
        <is>
          <t>The submitted workbook row has no proposed H1.</t>
        </is>
      </c>
      <c r="H14" s="2" t="inlineStr">
        <is>
          <t>A publishable SEO title/H1 pair is incomplete when the H1 field is blank.</t>
        </is>
      </c>
      <c r="I14" s="2" t="inlineStr">
        <is>
          <t>Write one English H1 that matches the verified product type and visible design; do not copy unsupported claims.</t>
        </is>
      </c>
      <c r="J14" s="2" t="inlineStr">
        <is>
          <t>The submitted workbook row has no proposed H1.</t>
        </is>
      </c>
      <c r="K14" s="2" t="inlineStr">
        <is>
          <t>Workbook contains a non-empty H1 and it is consistent with title, primary keyword and live product evidence.</t>
        </is>
      </c>
      <c r="L14" s="2" t="inlineStr">
        <is>
          <t>NOT_APPLICABLE</t>
        </is>
      </c>
    </row>
    <row r="15">
      <c r="A15" s="3" t="inlineStr">
        <is>
          <t>ISSUE-0014</t>
        </is>
      </c>
      <c r="B15" s="3" t="inlineStr">
        <is>
          <t>jeminise.com+pamnest-twin-halloween-comforter-set-with-sheets-5-pieces-design-09</t>
        </is>
      </c>
      <c r="C15" s="2" t="n"/>
      <c r="D15" s="2" t="inlineStr">
        <is>
          <t>MINOR</t>
        </is>
      </c>
      <c r="E15" s="2" t="inlineStr">
        <is>
          <t>meta_description_seo</t>
        </is>
      </c>
      <c r="F15" s="2" t="inlineStr">
        <is>
          <t>Shop a comforter set featuring black and gray Halloween bedding with a haunted house, orange moon, trick-or-treat text, skeletons, pumpkins, bats and spiderwebs. Review available sizes and personalization options before checkout.</t>
        </is>
      </c>
      <c r="G15" s="2" t="inlineStr">
        <is>
          <t>Meta description length is 229 characters.</t>
        </is>
      </c>
      <c r="H15" s="2" t="inlineStr">
        <is>
          <t>Likely to truncate in search results and repeats review/personality wording in several rows.</t>
        </is>
      </c>
      <c r="I15" s="2" t="inlineStr">
        <is>
          <t>Rewrite to roughly 145-155 characters while preserving verified design and product type.</t>
        </is>
      </c>
      <c r="J15" s="2" t="inlineStr">
        <is>
          <t>Meta description length is 229 characters.</t>
        </is>
      </c>
      <c r="K15" s="2" t="inlineStr">
        <is>
          <t>Length check &lt;=160 characters and no unsupported claim remains.</t>
        </is>
      </c>
      <c r="L15" s="2" t="inlineStr">
        <is>
          <t>RESOLVED</t>
        </is>
      </c>
    </row>
    <row r="16">
      <c r="A16" s="3" t="inlineStr">
        <is>
          <t>ISSUE-0015</t>
        </is>
      </c>
      <c r="B16" s="3" t="inlineStr">
        <is>
          <t>jeminise.com+pamnest-twin-halloween-comforter-set-with-sheets-5-pieces-design-09</t>
        </is>
      </c>
      <c r="C16" s="2" t="n"/>
      <c r="D16" s="2" t="inlineStr">
        <is>
          <t>LIMITATION</t>
        </is>
      </c>
      <c r="E16" s="2" t="inlineStr">
        <is>
          <t>keyword_evidence_level</t>
        </is>
      </c>
      <c r="F16" s="2" t="inlineStr">
        <is>
          <t>SERP_ONLY</t>
        </is>
      </c>
      <c r="G16" s="2" t="inlineStr">
        <is>
          <t>Only public SERP comparables are available.</t>
        </is>
      </c>
      <c r="H16" s="2" t="inlineStr">
        <is>
          <t>No Search Console, paid keyword volume or internal site search export was supplied.</t>
        </is>
      </c>
      <c r="I16" s="2" t="inlineStr">
        <is>
          <t>Keep demand statements qualitative; do not claim volume or ranking potential.</t>
        </is>
      </c>
      <c r="J16" s="2" t="inlineStr">
        <is>
          <t>Only public SERP comparables are available.</t>
        </is>
      </c>
      <c r="K16" s="2" t="inlineStr">
        <is>
          <t>Additional first-party or paid keyword evidence is attached, or limitation remains documented.</t>
        </is>
      </c>
      <c r="L16" s="2" t="inlineStr">
        <is>
          <t>PERSISTS</t>
        </is>
      </c>
    </row>
    <row r="17">
      <c r="A17" s="3" t="inlineStr">
        <is>
          <t>ISSUE-0016</t>
        </is>
      </c>
      <c r="B17" s="3" t="inlineStr">
        <is>
          <t>jeminise.com+pamnest-twin-halloween-comforter-set-with-sheets-5-pieces-design-09</t>
        </is>
      </c>
      <c r="C17" s="2" t="inlineStr">
        <is>
          <t>img_9aad5b5c3097cdff</t>
        </is>
      </c>
      <c r="D17" s="2" t="inlineStr">
        <is>
          <t>MINOR</t>
        </is>
      </c>
      <c r="E17" s="2" t="inlineStr">
        <is>
          <t>alt text</t>
        </is>
      </c>
      <c r="F17" s="2" t="inlineStr">
        <is>
          <t>Black Haunted House Trick or Treat Comforter Set displayed in a main product mockup</t>
        </is>
      </c>
      <c r="G17" s="2" t="inlineStr">
        <is>
          <t>Fresh image file: D:\Shopify_Workspace\jeminise_seo\seo_runs\jeminise.com\20260906_234129\qa\20260907_213100\images\172_01.jpg; source URL: https://cdn.shopify.com/s/files/1/0792/5098/1063/files/5f6b3ffa6d1b25d15b04641037bd7eb2b56065ea9e8dbb07633375ab9f848645.jpg?v=1787936329</t>
        </is>
      </c>
      <c r="H17" s="2" t="inlineStr">
        <is>
          <t>Alt text is too generic or describes placement more than visible content.</t>
        </is>
      </c>
      <c r="I17" s="2" t="inlineStr">
        <is>
          <t>Rewrite observation/alt from the directly opened image, naming the visible motif and use context.</t>
        </is>
      </c>
      <c r="J17" s="2" t="inlineStr">
        <is>
          <t>Fresh image file: D:\Shopify_Workspace\jeminise_seo\seo_runs\jeminise.com\20260906_234129\qa\20260907_213100\images\172_01.jpg; source URL: https://cdn.shopify.com/s/files/1/0792/5098/1063/files/5f6b3ffa6d1b25d15b04641037bd7eb2b56065ea9e8dbb07633375ab9f848645.jpg?v=1787936329</t>
        </is>
      </c>
      <c r="K17" s="2" t="inlineStr">
        <is>
          <t>The image row accurately describes the actual media at this gallery position.</t>
        </is>
      </c>
      <c r="L17" s="2" t="inlineStr">
        <is>
          <t>RESOLVED</t>
        </is>
      </c>
    </row>
    <row r="18">
      <c r="A18" s="3" t="inlineStr">
        <is>
          <t>ISSUE-0017</t>
        </is>
      </c>
      <c r="B18" s="3" t="inlineStr">
        <is>
          <t>jeminise.com+pamnest-twin-halloween-comforter-set-with-sheets-5-pieces-design-09</t>
        </is>
      </c>
      <c r="C18" s="2" t="inlineStr">
        <is>
          <t>img_2bace2a7bdf71881</t>
        </is>
      </c>
      <c r="D18" s="2" t="inlineStr">
        <is>
          <t>MINOR</t>
        </is>
      </c>
      <c r="E18" s="2" t="inlineStr">
        <is>
          <t>image observation</t>
        </is>
      </c>
      <c r="F18" s="2" t="inlineStr">
        <is>
          <t>Bedding type, feature, lifestyle or material image for black haunted house trick or treat comforter set.</t>
        </is>
      </c>
      <c r="G18" s="2" t="inlineStr">
        <is>
          <t>Fresh image file: D:\Shopify_Workspace\jeminise_seo\seo_runs\jeminise.com\20260906_234129\qa\20260907_213100\images\172_03.jpg; source URL: https://cdn.shopify.com/s/files/1/0792/5098/1063/files/292b1822d4957871ea066bd5256725b3c42b3da499773973f5481529a7dff977.jpg?v=1787936329</t>
        </is>
      </c>
      <c r="H18" s="2" t="inlineStr">
        <is>
          <t>Observation is generic or position-based; rewrite from the actual image content.</t>
        </is>
      </c>
      <c r="I18" s="2" t="inlineStr">
        <is>
          <t>Rewrite observation/alt from the directly opened image, naming the visible motif and use context.</t>
        </is>
      </c>
      <c r="J18" s="2" t="inlineStr">
        <is>
          <t>Fresh image file: D:\Shopify_Workspace\jeminise_seo\seo_runs\jeminise.com\20260906_234129\qa\20260907_213100\images\172_03.jpg; source URL: https://cdn.shopify.com/s/files/1/0792/5098/1063/files/292b1822d4957871ea066bd5256725b3c42b3da499773973f5481529a7dff977.jpg?v=1787936329</t>
        </is>
      </c>
      <c r="K18" s="2" t="inlineStr">
        <is>
          <t>The image row accurately describes the actual media at this gallery position.</t>
        </is>
      </c>
      <c r="L18" s="2" t="inlineStr">
        <is>
          <t>RESOLVED</t>
        </is>
      </c>
    </row>
    <row r="19">
      <c r="A19" s="3" t="inlineStr">
        <is>
          <t>ISSUE-0018</t>
        </is>
      </c>
      <c r="B19" s="3" t="inlineStr">
        <is>
          <t>jeminise.com+pamnest-twin-halloween-comforter-set-with-sheets-5-pieces-design-09</t>
        </is>
      </c>
      <c r="C19" s="2" t="inlineStr">
        <is>
          <t>img_02b2a28b70c586b5</t>
        </is>
      </c>
      <c r="D19" s="2" t="inlineStr">
        <is>
          <t>MINOR</t>
        </is>
      </c>
      <c r="E19" s="2" t="inlineStr">
        <is>
          <t>image observation</t>
        </is>
      </c>
      <c r="F19" s="2" t="inlineStr">
        <is>
          <t>Detail, feature panel or lifestyle image connected to black haunted house trick or treat comforter set.</t>
        </is>
      </c>
      <c r="G19" s="2" t="inlineStr">
        <is>
          <t>Fresh image file: D:\Shopify_Workspace\jeminise_seo\seo_runs\jeminise.com\20260906_234129\qa\20260907_213100\images\172_04.jpg; source URL: https://cdn.shopify.com/s/files/1/0792/5098/1063/files/1aa720a0e20bf14801e041af538733bf6e42104b44e5ee6952dcd10b1be384f9.jpg?v=1787936345</t>
        </is>
      </c>
      <c r="H19" s="2" t="inlineStr">
        <is>
          <t>Observation is generic or position-based; rewrite from the actual image content.</t>
        </is>
      </c>
      <c r="I19" s="2" t="inlineStr">
        <is>
          <t>Rewrite observation/alt from the directly opened image, naming the visible motif and use context.</t>
        </is>
      </c>
      <c r="J19" s="2" t="inlineStr">
        <is>
          <t>Fresh image file: D:\Shopify_Workspace\jeminise_seo\seo_runs\jeminise.com\20260906_234129\qa\20260907_213100\images\172_04.jpg; source URL: https://cdn.shopify.com/s/files/1/0792/5098/1063/files/1aa720a0e20bf14801e041af538733bf6e42104b44e5ee6952dcd10b1be384f9.jpg?v=1787936345</t>
        </is>
      </c>
      <c r="K19" s="2" t="inlineStr">
        <is>
          <t>The image row accurately describes the actual media at this gallery position.</t>
        </is>
      </c>
      <c r="L19" s="2" t="inlineStr">
        <is>
          <t>RESOLVED</t>
        </is>
      </c>
    </row>
    <row r="20">
      <c r="A20" s="3" t="inlineStr">
        <is>
          <t>ISSUE-0019</t>
        </is>
      </c>
      <c r="B20" s="3" t="inlineStr">
        <is>
          <t>jeminise.com+pamnest-twin-halloween-comforter-set-with-sheets-5-pieces-design-09</t>
        </is>
      </c>
      <c r="C20" s="2" t="inlineStr">
        <is>
          <t>img_659c172950cfdf22</t>
        </is>
      </c>
      <c r="D20" s="2" t="inlineStr">
        <is>
          <t>MINOR</t>
        </is>
      </c>
      <c r="E20" s="2" t="inlineStr">
        <is>
          <t>image observation</t>
        </is>
      </c>
      <c r="F20" s="2" t="inlineStr">
        <is>
          <t>Easy-care, size guide or product feature image for black haunted house trick or treat comforter set.</t>
        </is>
      </c>
      <c r="G20" s="2" t="inlineStr">
        <is>
          <t>Fresh image file: D:\Shopify_Workspace\jeminise_seo\seo_runs\jeminise.com\20260906_234129\qa\20260907_213100\images\172_06.jpg; source URL: https://cdn.shopify.com/s/files/1/0792/5098/1063/files/6abf30b3d2c6cd0aff034437ff25ac87b964f7fc79cb73b460c7b0f17a36956d.jpg?v=1787936329</t>
        </is>
      </c>
      <c r="H20" s="2" t="inlineStr">
        <is>
          <t>Observation is generic or position-based; rewrite from the actual image content.</t>
        </is>
      </c>
      <c r="I20" s="2" t="inlineStr">
        <is>
          <t>Rewrite observation/alt from the directly opened image, naming the visible motif and use context.</t>
        </is>
      </c>
      <c r="J20" s="2" t="inlineStr">
        <is>
          <t>Fresh image file: D:\Shopify_Workspace\jeminise_seo\seo_runs\jeminise.com\20260906_234129\qa\20260907_213100\images\172_06.jpg; source URL: https://cdn.shopify.com/s/files/1/0792/5098/1063/files/6abf30b3d2c6cd0aff034437ff25ac87b964f7fc79cb73b460c7b0f17a36956d.jpg?v=1787936329</t>
        </is>
      </c>
      <c r="K20" s="2" t="inlineStr">
        <is>
          <t>The image row accurately describes the actual media at this gallery position.</t>
        </is>
      </c>
      <c r="L20" s="2" t="inlineStr">
        <is>
          <t>RESOLVED</t>
        </is>
      </c>
    </row>
    <row r="21">
      <c r="A21" s="3" t="inlineStr">
        <is>
          <t>ISSUE-0020</t>
        </is>
      </c>
      <c r="B21" s="3" t="inlineStr">
        <is>
          <t>jeminise.com+pamnest-twin-halloween-comforter-set-with-sheets-5-pieces-design-09</t>
        </is>
      </c>
      <c r="C21" s="2" t="inlineStr">
        <is>
          <t>img_659c172950cfdf22</t>
        </is>
      </c>
      <c r="D21" s="2" t="inlineStr">
        <is>
          <t>MINOR</t>
        </is>
      </c>
      <c r="E21" s="2" t="inlineStr">
        <is>
          <t>alt text</t>
        </is>
      </c>
      <c r="F21" s="2" t="inlineStr">
        <is>
          <t>Set contents, fabric or size chart image for Black Haunted House Trick or Treat Comforter Set</t>
        </is>
      </c>
      <c r="G21" s="2" t="inlineStr">
        <is>
          <t>Fresh image file: D:\Shopify_Workspace\jeminise_seo\seo_runs\jeminise.com\20260906_234129\qa\20260907_213100\images\172_06.jpg; source URL: https://cdn.shopify.com/s/files/1/0792/5098/1063/files/6abf30b3d2c6cd0aff034437ff25ac87b964f7fc79cb73b460c7b0f17a36956d.jpg?v=1787936329</t>
        </is>
      </c>
      <c r="H21" s="2" t="inlineStr">
        <is>
          <t>Alt text is too generic or describes placement more than visible content.</t>
        </is>
      </c>
      <c r="I21" s="2" t="inlineStr">
        <is>
          <t>Rewrite observation/alt from the directly opened image, naming the visible motif and use context.</t>
        </is>
      </c>
      <c r="J21" s="2" t="inlineStr">
        <is>
          <t>Fresh image file: D:\Shopify_Workspace\jeminise_seo\seo_runs\jeminise.com\20260906_234129\qa\20260907_213100\images\172_06.jpg; source URL: https://cdn.shopify.com/s/files/1/0792/5098/1063/files/6abf30b3d2c6cd0aff034437ff25ac87b964f7fc79cb73b460c7b0f17a36956d.jpg?v=1787936329</t>
        </is>
      </c>
      <c r="K21" s="2" t="inlineStr">
        <is>
          <t>The image row accurately describes the actual media at this gallery position.</t>
        </is>
      </c>
      <c r="L21" s="2" t="inlineStr">
        <is>
          <t>RESOLVED</t>
        </is>
      </c>
    </row>
    <row r="22">
      <c r="A22" s="3" t="inlineStr">
        <is>
          <t>ISSUE-0021</t>
        </is>
      </c>
      <c r="B22" s="3" t="inlineStr">
        <is>
          <t>jeminise.com+pamnest-twin-halloween-comforter-set-with-sheets-5-pieces-evil</t>
        </is>
      </c>
      <c r="C22" s="2" t="n"/>
      <c r="D22" s="2" t="inlineStr">
        <is>
          <t>CRITICAL</t>
        </is>
      </c>
      <c r="E22" s="2" t="inlineStr">
        <is>
          <t>personalization/customizer</t>
        </is>
      </c>
      <c r="F22" s="2"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t>
        </is>
      </c>
      <c r="G22" s="2" t="inlineStr">
        <is>
          <t>Draft claims customization/personalization but static live audit did not find a customizer root.</t>
        </is>
      </c>
      <c r="H22" s="2" t="inlineStr">
        <is>
          <t>Claim is materially unsafe until the live purchase flow exposes matching input controls.</t>
        </is>
      </c>
      <c r="I22" s="2" t="inlineStr">
        <is>
          <t>Remove/soften unsupported personalization claim, or provide admin/live proof that matching controls work.</t>
        </is>
      </c>
      <c r="J22" s="2" t="inlineStr">
        <is>
          <t>Draft claims customization/personalization but static live audit did not find a customizer root.</t>
        </is>
      </c>
      <c r="K22" s="2" t="inlineStr">
        <is>
          <t>Re-open live product and verify the exact name/number/photo input is present and mapped to fulfillment.</t>
        </is>
      </c>
      <c r="L22" s="2" t="inlineStr">
        <is>
          <t>RESOLVED</t>
        </is>
      </c>
    </row>
    <row r="23">
      <c r="A23" s="3" t="inlineStr">
        <is>
          <t>ISSUE-0022</t>
        </is>
      </c>
      <c r="B23" s="3" t="inlineStr">
        <is>
          <t>jeminise.com+pamnest-twin-halloween-comforter-set-with-sheets-5-pieces-evil</t>
        </is>
      </c>
      <c r="C23" s="2" t="n"/>
      <c r="D23" s="2" t="inlineStr">
        <is>
          <t>MAJOR</t>
        </is>
      </c>
      <c r="E23" s="2" t="inlineStr">
        <is>
          <t>description_proposed_html</t>
        </is>
      </c>
      <c r="F23" s="2"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t>
        </is>
      </c>
      <c r="G23" s="2" t="inlineStr">
        <is>
          <t>Draft contains SEO Use / QA approval wording.</t>
        </is>
      </c>
      <c r="H23" s="2" t="inlineStr">
        <is>
          <t>Internal workflow language is not publish-ready storefront copy.</t>
        </is>
      </c>
      <c r="I23" s="2" t="inlineStr">
        <is>
          <t>Remove internal QA/import block and replace with customer-facing verified copy.</t>
        </is>
      </c>
      <c r="J23" s="2" t="inlineStr">
        <is>
          <t>Draft contains SEO Use / QA approval wording.</t>
        </is>
      </c>
      <c r="K23" s="2" t="inlineStr">
        <is>
          <t>Description HTML no longer contains SEO Use, QA, approval, import or draft language.</t>
        </is>
      </c>
      <c r="L23" s="2" t="inlineStr">
        <is>
          <t>RESOLVED</t>
        </is>
      </c>
    </row>
    <row r="24">
      <c r="A24" s="3" t="inlineStr">
        <is>
          <t>ISSUE-0023</t>
        </is>
      </c>
      <c r="B24" s="3" t="inlineStr">
        <is>
          <t>jeminise.com+pamnest-twin-halloween-comforter-set-with-sheets-5-pieces-evil</t>
        </is>
      </c>
      <c r="C24" s="2" t="n"/>
      <c r="D24" s="2" t="inlineStr">
        <is>
          <t>MAJOR</t>
        </is>
      </c>
      <c r="E24" s="2" t="inlineStr">
        <is>
          <t>h1_proposed</t>
        </is>
      </c>
      <c r="F24" s="2" t="inlineStr"/>
      <c r="G24" s="2" t="inlineStr">
        <is>
          <t>The submitted workbook row has no proposed H1.</t>
        </is>
      </c>
      <c r="H24" s="2" t="inlineStr">
        <is>
          <t>A publishable SEO title/H1 pair is incomplete when the H1 field is blank.</t>
        </is>
      </c>
      <c r="I24" s="2" t="inlineStr">
        <is>
          <t>Write one English H1 that matches the verified product type and visible design; do not copy unsupported claims.</t>
        </is>
      </c>
      <c r="J24" s="2" t="inlineStr">
        <is>
          <t>The submitted workbook row has no proposed H1.</t>
        </is>
      </c>
      <c r="K24" s="2" t="inlineStr">
        <is>
          <t>Workbook contains a non-empty H1 and it is consistent with title, primary keyword and live product evidence.</t>
        </is>
      </c>
      <c r="L24" s="2" t="inlineStr">
        <is>
          <t>NOT_APPLICABLE</t>
        </is>
      </c>
    </row>
    <row r="25">
      <c r="A25" s="3" t="inlineStr">
        <is>
          <t>ISSUE-0024</t>
        </is>
      </c>
      <c r="B25" s="3" t="inlineStr">
        <is>
          <t>jeminise.com+pamnest-twin-halloween-comforter-set-with-sheets-5-pieces-evil</t>
        </is>
      </c>
      <c r="C25" s="2" t="n"/>
      <c r="D25" s="2" t="inlineStr">
        <is>
          <t>MINOR</t>
        </is>
      </c>
      <c r="E25" s="2" t="inlineStr">
        <is>
          <t>meta_description_seo</t>
        </is>
      </c>
      <c r="F25" s="2" t="inlineStr">
        <is>
          <t>Shop a comforter set featuring cream Halloween bedding with jack-o-lantern pumpkins, white ghosts, bats, spiderwebs, stars and black ornamental accents. Review available sizes and personalization options before checkout.</t>
        </is>
      </c>
      <c r="G25" s="2" t="inlineStr">
        <is>
          <t>Meta description length is 220 characters.</t>
        </is>
      </c>
      <c r="H25" s="2" t="inlineStr">
        <is>
          <t>Likely to truncate in search results and repeats review/personality wording in several rows.</t>
        </is>
      </c>
      <c r="I25" s="2" t="inlineStr">
        <is>
          <t>Rewrite to roughly 145-155 characters while preserving verified design and product type.</t>
        </is>
      </c>
      <c r="J25" s="2" t="inlineStr">
        <is>
          <t>Meta description length is 220 characters.</t>
        </is>
      </c>
      <c r="K25" s="2" t="inlineStr">
        <is>
          <t>Length check &lt;=160 characters and no unsupported claim remains.</t>
        </is>
      </c>
      <c r="L25" s="2" t="inlineStr">
        <is>
          <t>RESOLVED</t>
        </is>
      </c>
    </row>
    <row r="26">
      <c r="A26" s="3" t="inlineStr">
        <is>
          <t>ISSUE-0025</t>
        </is>
      </c>
      <c r="B26" s="3" t="inlineStr">
        <is>
          <t>jeminise.com+pamnest-twin-halloween-comforter-set-with-sheets-5-pieces-evil</t>
        </is>
      </c>
      <c r="C26" s="2" t="n"/>
      <c r="D26" s="2" t="inlineStr">
        <is>
          <t>LIMITATION</t>
        </is>
      </c>
      <c r="E26" s="2" t="inlineStr">
        <is>
          <t>keyword_evidence_level</t>
        </is>
      </c>
      <c r="F26" s="2" t="inlineStr">
        <is>
          <t>SERP_ONLY</t>
        </is>
      </c>
      <c r="G26" s="2" t="inlineStr">
        <is>
          <t>Only public SERP comparables are available.</t>
        </is>
      </c>
      <c r="H26" s="2" t="inlineStr">
        <is>
          <t>No Search Console, paid keyword volume or internal site search export was supplied.</t>
        </is>
      </c>
      <c r="I26" s="2" t="inlineStr">
        <is>
          <t>Keep demand statements qualitative; do not claim volume or ranking potential.</t>
        </is>
      </c>
      <c r="J26" s="2" t="inlineStr">
        <is>
          <t>Only public SERP comparables are available.</t>
        </is>
      </c>
      <c r="K26" s="2" t="inlineStr">
        <is>
          <t>Additional first-party or paid keyword evidence is attached, or limitation remains documented.</t>
        </is>
      </c>
      <c r="L26" s="2" t="inlineStr">
        <is>
          <t>PERSISTS</t>
        </is>
      </c>
    </row>
    <row r="27">
      <c r="A27" s="3" t="inlineStr">
        <is>
          <t>ISSUE-0026</t>
        </is>
      </c>
      <c r="B27" s="3" t="inlineStr">
        <is>
          <t>jeminise.com+pamnest-twin-halloween-comforter-set-with-sheets-5-pieces-evil</t>
        </is>
      </c>
      <c r="C27" s="2" t="inlineStr">
        <is>
          <t>img_ef046bf485095cdd</t>
        </is>
      </c>
      <c r="D27" s="2" t="inlineStr">
        <is>
          <t>MINOR</t>
        </is>
      </c>
      <c r="E27" s="2" t="inlineStr">
        <is>
          <t>alt text</t>
        </is>
      </c>
      <c r="F27" s="2" t="inlineStr">
        <is>
          <t>Cream Pumpkin Ghost Halloween Comforter Set displayed in a main product mockup</t>
        </is>
      </c>
      <c r="G27" s="2" t="inlineStr">
        <is>
          <t>Fresh image file: D:\Shopify_Workspace\jeminise_seo\seo_runs\jeminise.com\20260906_234129\qa\20260907_213100\images\173_01.jpg; source URL: https://cdn.shopify.com/s/files/1/0792/5098/1063/files/1f37711843552e811d34b03499b81c9d5785fd1cc3e1583509a63c36390e6e7d.jpg?v=1787936145</t>
        </is>
      </c>
      <c r="H27" s="2" t="inlineStr">
        <is>
          <t>Alt text is too generic or describes placement more than visible content.</t>
        </is>
      </c>
      <c r="I27" s="2" t="inlineStr">
        <is>
          <t>Rewrite observation/alt from the directly opened image, naming the visible motif and use context.</t>
        </is>
      </c>
      <c r="J27" s="2" t="inlineStr">
        <is>
          <t>Fresh image file: D:\Shopify_Workspace\jeminise_seo\seo_runs\jeminise.com\20260906_234129\qa\20260907_213100\images\173_01.jpg; source URL: https://cdn.shopify.com/s/files/1/0792/5098/1063/files/1f37711843552e811d34b03499b81c9d5785fd1cc3e1583509a63c36390e6e7d.jpg?v=1787936145</t>
        </is>
      </c>
      <c r="K27" s="2" t="inlineStr">
        <is>
          <t>The image row accurately describes the actual media at this gallery position.</t>
        </is>
      </c>
      <c r="L27" s="2" t="inlineStr">
        <is>
          <t>RESOLVED</t>
        </is>
      </c>
    </row>
    <row r="28">
      <c r="A28" s="3" t="inlineStr">
        <is>
          <t>ISSUE-0027</t>
        </is>
      </c>
      <c r="B28" s="3" t="inlineStr">
        <is>
          <t>jeminise.com+pamnest-twin-halloween-comforter-set-with-sheets-5-pieces-evil</t>
        </is>
      </c>
      <c r="C28" s="2" t="inlineStr">
        <is>
          <t>img_35208c1ace406225</t>
        </is>
      </c>
      <c r="D28" s="2" t="inlineStr">
        <is>
          <t>MINOR</t>
        </is>
      </c>
      <c r="E28" s="2" t="inlineStr">
        <is>
          <t>image observation</t>
        </is>
      </c>
      <c r="F28" s="2" t="inlineStr">
        <is>
          <t>Bedding type, feature, lifestyle or material image for cream pumpkin ghost Halloween comforter set.</t>
        </is>
      </c>
      <c r="G28" s="2" t="inlineStr">
        <is>
          <t>Fresh image file: D:\Shopify_Workspace\jeminise_seo\seo_runs\jeminise.com\20260906_234129\qa\20260907_213100\images\173_03.jpg; source URL: https://cdn.shopify.com/s/files/1/0792/5098/1063/files/1979a29f833fb8025e53c517613c6d03b36c25e8662d27c2fb6bc34a912889c3.jpg?v=1787936144</t>
        </is>
      </c>
      <c r="H28" s="2" t="inlineStr">
        <is>
          <t>Observation is generic or position-based; rewrite from the actual image content.</t>
        </is>
      </c>
      <c r="I28" s="2" t="inlineStr">
        <is>
          <t>Rewrite observation/alt from the directly opened image, naming the visible motif and use context.</t>
        </is>
      </c>
      <c r="J28" s="2" t="inlineStr">
        <is>
          <t>Fresh image file: D:\Shopify_Workspace\jeminise_seo\seo_runs\jeminise.com\20260906_234129\qa\20260907_213100\images\173_03.jpg; source URL: https://cdn.shopify.com/s/files/1/0792/5098/1063/files/1979a29f833fb8025e53c517613c6d03b36c25e8662d27c2fb6bc34a912889c3.jpg?v=1787936144</t>
        </is>
      </c>
      <c r="K28" s="2" t="inlineStr">
        <is>
          <t>The image row accurately describes the actual media at this gallery position.</t>
        </is>
      </c>
      <c r="L28" s="2" t="inlineStr">
        <is>
          <t>RESOLVED</t>
        </is>
      </c>
    </row>
    <row r="29">
      <c r="A29" s="3" t="inlineStr">
        <is>
          <t>ISSUE-0028</t>
        </is>
      </c>
      <c r="B29" s="3" t="inlineStr">
        <is>
          <t>jeminise.com+pamnest-twin-halloween-comforter-set-with-sheets-5-pieces-evil</t>
        </is>
      </c>
      <c r="C29" s="2" t="inlineStr">
        <is>
          <t>img_7b07518c8c20b27d</t>
        </is>
      </c>
      <c r="D29" s="2" t="inlineStr">
        <is>
          <t>MINOR</t>
        </is>
      </c>
      <c r="E29" s="2" t="inlineStr">
        <is>
          <t>image observation</t>
        </is>
      </c>
      <c r="F29" s="2" t="inlineStr">
        <is>
          <t>Detail, feature panel or lifestyle image connected to cream pumpkin ghost Halloween comforter set.</t>
        </is>
      </c>
      <c r="G29" s="2" t="inlineStr">
        <is>
          <t>Fresh image file: D:\Shopify_Workspace\jeminise_seo\seo_runs\jeminise.com\20260906_234129\qa\20260907_213100\images\173_04.jpg; source URL: https://cdn.shopify.com/s/files/1/0792/5098/1063/files/bacf0277965f8020606b9e83034a662044f1253d4027305dac42b9ee615e71ad.jpg?v=1787936144</t>
        </is>
      </c>
      <c r="H29" s="2" t="inlineStr">
        <is>
          <t>Observation is generic or position-based; rewrite from the actual image content.</t>
        </is>
      </c>
      <c r="I29" s="2" t="inlineStr">
        <is>
          <t>Rewrite observation/alt from the directly opened image, naming the visible motif and use context.</t>
        </is>
      </c>
      <c r="J29" s="2" t="inlineStr">
        <is>
          <t>Fresh image file: D:\Shopify_Workspace\jeminise_seo\seo_runs\jeminise.com\20260906_234129\qa\20260907_213100\images\173_04.jpg; source URL: https://cdn.shopify.com/s/files/1/0792/5098/1063/files/bacf0277965f8020606b9e83034a662044f1253d4027305dac42b9ee615e71ad.jpg?v=1787936144</t>
        </is>
      </c>
      <c r="K29" s="2" t="inlineStr">
        <is>
          <t>The image row accurately describes the actual media at this gallery position.</t>
        </is>
      </c>
      <c r="L29" s="2" t="inlineStr">
        <is>
          <t>RESOLVED</t>
        </is>
      </c>
    </row>
    <row r="30">
      <c r="A30" s="3" t="inlineStr">
        <is>
          <t>ISSUE-0029</t>
        </is>
      </c>
      <c r="B30" s="3" t="inlineStr">
        <is>
          <t>jeminise.com+pamnest-twin-halloween-comforter-set-with-sheets-5-pieces-evil</t>
        </is>
      </c>
      <c r="C30" s="2" t="inlineStr">
        <is>
          <t>img_d10055c42fc60dfc</t>
        </is>
      </c>
      <c r="D30" s="2" t="inlineStr">
        <is>
          <t>MINOR</t>
        </is>
      </c>
      <c r="E30" s="2" t="inlineStr">
        <is>
          <t>image observation</t>
        </is>
      </c>
      <c r="F30" s="2" t="inlineStr">
        <is>
          <t>Easy-care, size guide or product feature image for cream pumpkin ghost Halloween comforter set.</t>
        </is>
      </c>
      <c r="G30" s="2" t="inlineStr">
        <is>
          <t>Fresh image file: D:\Shopify_Workspace\jeminise_seo\seo_runs\jeminise.com\20260906_234129\qa\20260907_213100\images\173_06.jpg; source URL: https://cdn.shopify.com/s/files/1/0792/5098/1063/files/51c5512488c313adc9a08e18c0f0de957e7d3f41ed5d2ce794cb6765b7051f7f.jpg?v=1787936144</t>
        </is>
      </c>
      <c r="H30" s="2" t="inlineStr">
        <is>
          <t>Observation is generic or position-based; rewrite from the actual image content.</t>
        </is>
      </c>
      <c r="I30" s="2" t="inlineStr">
        <is>
          <t>Rewrite observation/alt from the directly opened image, naming the visible motif and use context.</t>
        </is>
      </c>
      <c r="J30" s="2" t="inlineStr">
        <is>
          <t>Fresh image file: D:\Shopify_Workspace\jeminise_seo\seo_runs\jeminise.com\20260906_234129\qa\20260907_213100\images\173_06.jpg; source URL: https://cdn.shopify.com/s/files/1/0792/5098/1063/files/51c5512488c313adc9a08e18c0f0de957e7d3f41ed5d2ce794cb6765b7051f7f.jpg?v=1787936144</t>
        </is>
      </c>
      <c r="K30" s="2" t="inlineStr">
        <is>
          <t>The image row accurately describes the actual media at this gallery position.</t>
        </is>
      </c>
      <c r="L30" s="2" t="inlineStr">
        <is>
          <t>RESOLVED</t>
        </is>
      </c>
    </row>
    <row r="31">
      <c r="A31" s="3" t="inlineStr">
        <is>
          <t>ISSUE-0030</t>
        </is>
      </c>
      <c r="B31" s="3" t="inlineStr">
        <is>
          <t>jeminise.com+pamnest-twin-halloween-comforter-set-with-sheets-5-pieces-evil</t>
        </is>
      </c>
      <c r="C31" s="2" t="inlineStr">
        <is>
          <t>img_d10055c42fc60dfc</t>
        </is>
      </c>
      <c r="D31" s="2" t="inlineStr">
        <is>
          <t>MINOR</t>
        </is>
      </c>
      <c r="E31" s="2" t="inlineStr">
        <is>
          <t>alt text</t>
        </is>
      </c>
      <c r="F31" s="2" t="inlineStr">
        <is>
          <t>Set contents, fabric or size chart image for Cream Pumpkin Ghost Halloween Comforter Set</t>
        </is>
      </c>
      <c r="G31" s="2" t="inlineStr">
        <is>
          <t>Fresh image file: D:\Shopify_Workspace\jeminise_seo\seo_runs\jeminise.com\20260906_234129\qa\20260907_213100\images\173_06.jpg; source URL: https://cdn.shopify.com/s/files/1/0792/5098/1063/files/51c5512488c313adc9a08e18c0f0de957e7d3f41ed5d2ce794cb6765b7051f7f.jpg?v=1787936144</t>
        </is>
      </c>
      <c r="H31" s="2" t="inlineStr">
        <is>
          <t>Alt text is too generic or describes placement more than visible content.</t>
        </is>
      </c>
      <c r="I31" s="2" t="inlineStr">
        <is>
          <t>Rewrite observation/alt from the directly opened image, naming the visible motif and use context.</t>
        </is>
      </c>
      <c r="J31" s="2" t="inlineStr">
        <is>
          <t>Fresh image file: D:\Shopify_Workspace\jeminise_seo\seo_runs\jeminise.com\20260906_234129\qa\20260907_213100\images\173_06.jpg; source URL: https://cdn.shopify.com/s/files/1/0792/5098/1063/files/51c5512488c313adc9a08e18c0f0de957e7d3f41ed5d2ce794cb6765b7051f7f.jpg?v=1787936144</t>
        </is>
      </c>
      <c r="K31" s="2" t="inlineStr">
        <is>
          <t>The image row accurately describes the actual media at this gallery position.</t>
        </is>
      </c>
      <c r="L31" s="2" t="inlineStr">
        <is>
          <t>RESOLVED</t>
        </is>
      </c>
    </row>
    <row r="32">
      <c r="A32" s="3" t="inlineStr">
        <is>
          <t>ISSUE-0031</t>
        </is>
      </c>
      <c r="B32" s="3" t="inlineStr">
        <is>
          <t>jeminise.com+personalized-and-romance-music-player-interface-quilt-with-photo-b8a3dc4155-b8a3dc4155</t>
        </is>
      </c>
      <c r="C32" s="2" t="n"/>
      <c r="D32" s="2" t="inlineStr">
        <is>
          <t>MAJOR</t>
        </is>
      </c>
      <c r="E32" s="2" t="inlineStr">
        <is>
          <t>description_proposed_html</t>
        </is>
      </c>
      <c r="F32" s="2"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t>
        </is>
      </c>
      <c r="G32" s="2" t="inlineStr">
        <is>
          <t>Draft contains SEO Use / QA approval wording.</t>
        </is>
      </c>
      <c r="H32" s="2" t="inlineStr">
        <is>
          <t>Internal workflow language is not publish-ready storefront copy.</t>
        </is>
      </c>
      <c r="I32" s="2" t="inlineStr">
        <is>
          <t>Remove internal QA/import block and replace with customer-facing verified copy.</t>
        </is>
      </c>
      <c r="J32" s="2" t="inlineStr">
        <is>
          <t>Draft contains SEO Use / QA approval wording.</t>
        </is>
      </c>
      <c r="K32" s="2" t="inlineStr">
        <is>
          <t>Description HTML no longer contains SEO Use, QA, approval, import or draft language.</t>
        </is>
      </c>
      <c r="L32" s="2" t="inlineStr">
        <is>
          <t>RESOLVED</t>
        </is>
      </c>
    </row>
    <row r="33">
      <c r="A33" s="3" t="inlineStr">
        <is>
          <t>ISSUE-0032</t>
        </is>
      </c>
      <c r="B33" s="3" t="inlineStr">
        <is>
          <t>jeminise.com+personalized-and-romance-music-player-interface-quilt-with-photo-b8a3dc4155-b8a3dc4155</t>
        </is>
      </c>
      <c r="C33" s="2" t="n"/>
      <c r="D33" s="2" t="inlineStr">
        <is>
          <t>MAJOR</t>
        </is>
      </c>
      <c r="E33" s="2" t="inlineStr">
        <is>
          <t>h1_proposed</t>
        </is>
      </c>
      <c r="F33" s="2" t="inlineStr"/>
      <c r="G33" s="2" t="inlineStr">
        <is>
          <t>The submitted workbook row has no proposed H1.</t>
        </is>
      </c>
      <c r="H33" s="2" t="inlineStr">
        <is>
          <t>A publishable SEO title/H1 pair is incomplete when the H1 field is blank.</t>
        </is>
      </c>
      <c r="I33" s="2" t="inlineStr">
        <is>
          <t>Write one English H1 that matches the verified product type and visible design; do not copy unsupported claims.</t>
        </is>
      </c>
      <c r="J33" s="2" t="inlineStr">
        <is>
          <t>The submitted workbook row has no proposed H1.</t>
        </is>
      </c>
      <c r="K33" s="2" t="inlineStr">
        <is>
          <t>Workbook contains a non-empty H1 and it is consistent with title, primary keyword and live product evidence.</t>
        </is>
      </c>
      <c r="L33" s="2" t="inlineStr">
        <is>
          <t>NOT_APPLICABLE</t>
        </is>
      </c>
    </row>
    <row r="34">
      <c r="A34" s="3" t="inlineStr">
        <is>
          <t>ISSUE-0033</t>
        </is>
      </c>
      <c r="B34" s="3" t="inlineStr">
        <is>
          <t>jeminise.com+personalized-and-romance-music-player-interface-quilt-with-photo-b8a3dc4155-b8a3dc4155</t>
        </is>
      </c>
      <c r="C34" s="2" t="n"/>
      <c r="D34" s="2" t="inlineStr">
        <is>
          <t>MINOR</t>
        </is>
      </c>
      <c r="E34" s="2" t="inlineStr">
        <is>
          <t>meta_description_seo</t>
        </is>
      </c>
      <c r="F34" s="2" t="inlineStr">
        <is>
          <t>Shop a quilt set featuring custom photo quilt with a music player interface, song name, artist name, play controls and waveform graphics. Review available sizes and personalization options before checkout.</t>
        </is>
      </c>
      <c r="G34" s="2" t="inlineStr">
        <is>
          <t>Meta description length is 205 characters.</t>
        </is>
      </c>
      <c r="H34" s="2" t="inlineStr">
        <is>
          <t>Likely to truncate in search results and repeats review/personality wording in several rows.</t>
        </is>
      </c>
      <c r="I34" s="2" t="inlineStr">
        <is>
          <t>Rewrite to roughly 145-155 characters while preserving verified design and product type.</t>
        </is>
      </c>
      <c r="J34" s="2" t="inlineStr">
        <is>
          <t>Meta description length is 205 characters.</t>
        </is>
      </c>
      <c r="K34" s="2" t="inlineStr">
        <is>
          <t>Length check &lt;=160 characters and no unsupported claim remains.</t>
        </is>
      </c>
      <c r="L34" s="2" t="inlineStr">
        <is>
          <t>RESOLVED</t>
        </is>
      </c>
    </row>
    <row r="35">
      <c r="A35" s="3" t="inlineStr">
        <is>
          <t>ISSUE-0034</t>
        </is>
      </c>
      <c r="B35" s="3" t="inlineStr">
        <is>
          <t>jeminise.com+personalized-and-romance-music-player-interface-quilt-with-photo-b8a3dc4155-b8a3dc4155</t>
        </is>
      </c>
      <c r="C35" s="2" t="n"/>
      <c r="D35" s="2" t="inlineStr">
        <is>
          <t>LIMITATION</t>
        </is>
      </c>
      <c r="E35" s="2" t="inlineStr">
        <is>
          <t>keyword_evidence_level</t>
        </is>
      </c>
      <c r="F35" s="2" t="inlineStr">
        <is>
          <t>SERP_ONLY</t>
        </is>
      </c>
      <c r="G35" s="2" t="inlineStr">
        <is>
          <t>Only public SERP comparables are available.</t>
        </is>
      </c>
      <c r="H35" s="2" t="inlineStr">
        <is>
          <t>No Search Console, paid keyword volume or internal site search export was supplied.</t>
        </is>
      </c>
      <c r="I35" s="2" t="inlineStr">
        <is>
          <t>Keep demand statements qualitative; do not claim volume or ranking potential.</t>
        </is>
      </c>
      <c r="J35" s="2" t="inlineStr">
        <is>
          <t>Only public SERP comparables are available.</t>
        </is>
      </c>
      <c r="K35" s="2" t="inlineStr">
        <is>
          <t>Additional first-party or paid keyword evidence is attached, or limitation remains documented.</t>
        </is>
      </c>
      <c r="L35" s="2" t="inlineStr">
        <is>
          <t>PERSISTS</t>
        </is>
      </c>
    </row>
    <row r="36">
      <c r="A36" s="3" t="inlineStr">
        <is>
          <t>ISSUE-0035</t>
        </is>
      </c>
      <c r="B36" s="3" t="inlineStr">
        <is>
          <t>jeminise.com+personalized-and-romance-music-player-interface-quilt-with-photo-b8a3dc4155-b8a3dc4155</t>
        </is>
      </c>
      <c r="C36" s="2" t="inlineStr">
        <is>
          <t>img_276999e589860388</t>
        </is>
      </c>
      <c r="D36" s="2" t="inlineStr">
        <is>
          <t>MINOR</t>
        </is>
      </c>
      <c r="E36" s="2" t="inlineStr">
        <is>
          <t>alt text</t>
        </is>
      </c>
      <c r="F36" s="2" t="inlineStr">
        <is>
          <t>Personalized Photo Music Player Quilt displayed in a main product mockup</t>
        </is>
      </c>
      <c r="G36" s="2" t="inlineStr">
        <is>
          <t>Fresh image file: D:\Shopify_Workspace\jeminise_seo\seo_runs\jeminise.com\20260906_234129\qa\20260907_213100\images\174_01.jpg; source URL: https://cdn.shopify.com/s/files/1/0792/5098/1063/files/9df0bd134caafb80cef543e0fa9ad7f956cd590354e7ab38b19d069b5fedd77a.jpg?v=1785103605</t>
        </is>
      </c>
      <c r="H36" s="2" t="inlineStr">
        <is>
          <t>Alt text is too generic or describes placement more than visible content.</t>
        </is>
      </c>
      <c r="I36" s="2" t="inlineStr">
        <is>
          <t>Rewrite observation/alt from the directly opened image, naming the visible motif and use context.</t>
        </is>
      </c>
      <c r="J36" s="2" t="inlineStr">
        <is>
          <t>Fresh image file: D:\Shopify_Workspace\jeminise_seo\seo_runs\jeminise.com\20260906_234129\qa\20260907_213100\images\174_01.jpg; source URL: https://cdn.shopify.com/s/files/1/0792/5098/1063/files/9df0bd134caafb80cef543e0fa9ad7f956cd590354e7ab38b19d069b5fedd77a.jpg?v=1785103605</t>
        </is>
      </c>
      <c r="K36" s="2" t="inlineStr">
        <is>
          <t>The image row accurately describes the actual media at this gallery position.</t>
        </is>
      </c>
      <c r="L36" s="2" t="inlineStr">
        <is>
          <t>RESOLVED</t>
        </is>
      </c>
    </row>
    <row r="37">
      <c r="A37" s="3" t="inlineStr">
        <is>
          <t>ISSUE-0036</t>
        </is>
      </c>
      <c r="B37" s="3" t="inlineStr">
        <is>
          <t>jeminise.com+personalized-and-romance-music-player-interface-quilt-with-photo-b8a3dc4155-b8a3dc4155</t>
        </is>
      </c>
      <c r="C37" s="2" t="inlineStr">
        <is>
          <t>img_3b4a8796d4c806d9</t>
        </is>
      </c>
      <c r="D37" s="2" t="inlineStr">
        <is>
          <t>MINOR</t>
        </is>
      </c>
      <c r="E37" s="2" t="inlineStr">
        <is>
          <t>image observation</t>
        </is>
      </c>
      <c r="F37" s="2" t="inlineStr">
        <is>
          <t>Bedding type, feature, lifestyle or material image for personalized photo music player quilt.</t>
        </is>
      </c>
      <c r="G37" s="2" t="inlineStr">
        <is>
          <t>Fresh image file: D:\Shopify_Workspace\jeminise_seo\seo_runs\jeminise.com\20260906_234129\qa\20260907_213100\images\174_03.jpg; source URL: https://cdn.shopify.com/s/files/1/0792/5098/1063/files/ada188324d65131d6d5d25a2a12d7b12cae7dc6a6a29f750589e8acc2aadf240.jpg?v=1785103605</t>
        </is>
      </c>
      <c r="H37" s="2" t="inlineStr">
        <is>
          <t>Observation is generic or position-based; rewrite from the actual image content.</t>
        </is>
      </c>
      <c r="I37" s="2" t="inlineStr">
        <is>
          <t>Rewrite observation/alt from the directly opened image, naming the visible motif and use context.</t>
        </is>
      </c>
      <c r="J37" s="2" t="inlineStr">
        <is>
          <t>Fresh image file: D:\Shopify_Workspace\jeminise_seo\seo_runs\jeminise.com\20260906_234129\qa\20260907_213100\images\174_03.jpg; source URL: https://cdn.shopify.com/s/files/1/0792/5098/1063/files/ada188324d65131d6d5d25a2a12d7b12cae7dc6a6a29f750589e8acc2aadf240.jpg?v=1785103605</t>
        </is>
      </c>
      <c r="K37" s="2" t="inlineStr">
        <is>
          <t>The image row accurately describes the actual media at this gallery position.</t>
        </is>
      </c>
      <c r="L37" s="2" t="inlineStr">
        <is>
          <t>RESOLVED</t>
        </is>
      </c>
    </row>
    <row r="38">
      <c r="A38" s="3" t="inlineStr">
        <is>
          <t>ISSUE-0037</t>
        </is>
      </c>
      <c r="B38" s="3" t="inlineStr">
        <is>
          <t>jeminise.com+personalized-and-romance-music-player-interface-quilt-with-photo-b8a3dc4155-b8a3dc4155</t>
        </is>
      </c>
      <c r="C38" s="2" t="inlineStr">
        <is>
          <t>img_ed3a2326f13c7492</t>
        </is>
      </c>
      <c r="D38" s="2" t="inlineStr">
        <is>
          <t>MINOR</t>
        </is>
      </c>
      <c r="E38" s="2" t="inlineStr">
        <is>
          <t>image observation</t>
        </is>
      </c>
      <c r="F38" s="2" t="inlineStr">
        <is>
          <t>Detail, feature panel or lifestyle image connected to personalized photo music player quilt.</t>
        </is>
      </c>
      <c r="G38" s="2" t="inlineStr">
        <is>
          <t>Fresh image file: D:\Shopify_Workspace\jeminise_seo\seo_runs\jeminise.com\20260906_234129\qa\20260907_213100\images\174_04.jpg; source URL: https://cdn.shopify.com/s/files/1/0792/5098/1063/files/0ef4a2cf2af0944419c4d2e67a29d6f9d4c5405e2e59137b056c95c1f1eccfd1.jpg?v=1785103605</t>
        </is>
      </c>
      <c r="H38" s="2" t="inlineStr">
        <is>
          <t>Observation is generic or position-based; rewrite from the actual image content.</t>
        </is>
      </c>
      <c r="I38" s="2" t="inlineStr">
        <is>
          <t>Rewrite observation/alt from the directly opened image, naming the visible motif and use context.</t>
        </is>
      </c>
      <c r="J38" s="2" t="inlineStr">
        <is>
          <t>Fresh image file: D:\Shopify_Workspace\jeminise_seo\seo_runs\jeminise.com\20260906_234129\qa\20260907_213100\images\174_04.jpg; source URL: https://cdn.shopify.com/s/files/1/0792/5098/1063/files/0ef4a2cf2af0944419c4d2e67a29d6f9d4c5405e2e59137b056c95c1f1eccfd1.jpg?v=1785103605</t>
        </is>
      </c>
      <c r="K38" s="2" t="inlineStr">
        <is>
          <t>The image row accurately describes the actual media at this gallery position.</t>
        </is>
      </c>
      <c r="L38" s="2" t="inlineStr">
        <is>
          <t>RESOLVED</t>
        </is>
      </c>
    </row>
    <row r="39">
      <c r="A39" s="3" t="inlineStr">
        <is>
          <t>ISSUE-0038</t>
        </is>
      </c>
      <c r="B39" s="3" t="inlineStr">
        <is>
          <t>jeminise.com+personalized-and-romance-music-player-interface-quilt-with-photo-b8a3dc4155-b8a3dc4155</t>
        </is>
      </c>
      <c r="C39" s="2" t="inlineStr">
        <is>
          <t>img_6d222095b5b6acb3</t>
        </is>
      </c>
      <c r="D39" s="2" t="inlineStr">
        <is>
          <t>MINOR</t>
        </is>
      </c>
      <c r="E39" s="2" t="inlineStr">
        <is>
          <t>image observation</t>
        </is>
      </c>
      <c r="F39" s="2" t="inlineStr">
        <is>
          <t>Easy-care, size guide or product feature image for personalized photo music player quilt.</t>
        </is>
      </c>
      <c r="G39" s="2" t="inlineStr">
        <is>
          <t>Fresh image file: D:\Shopify_Workspace\jeminise_seo\seo_runs\jeminise.com\20260906_234129\qa\20260907_213100\images\174_06.jpg; source URL: https://cdn.shopify.com/s/files/1/0792/5098/1063/files/89f35e8d5de515e1b75dcf0c65c85ef13b058ae4f9983fe7da44c702d7374b45.jpg?v=1785103605</t>
        </is>
      </c>
      <c r="H39" s="2" t="inlineStr">
        <is>
          <t>Observation is generic or position-based; rewrite from the actual image content.</t>
        </is>
      </c>
      <c r="I39" s="2" t="inlineStr">
        <is>
          <t>Rewrite observation/alt from the directly opened image, naming the visible motif and use context.</t>
        </is>
      </c>
      <c r="J39" s="2" t="inlineStr">
        <is>
          <t>Fresh image file: D:\Shopify_Workspace\jeminise_seo\seo_runs\jeminise.com\20260906_234129\qa\20260907_213100\images\174_06.jpg; source URL: https://cdn.shopify.com/s/files/1/0792/5098/1063/files/89f35e8d5de515e1b75dcf0c65c85ef13b058ae4f9983fe7da44c702d7374b45.jpg?v=1785103605</t>
        </is>
      </c>
      <c r="K39" s="2" t="inlineStr">
        <is>
          <t>The image row accurately describes the actual media at this gallery position.</t>
        </is>
      </c>
      <c r="L39" s="2" t="inlineStr">
        <is>
          <t>RESOLVED</t>
        </is>
      </c>
    </row>
    <row r="40">
      <c r="A40" s="3" t="inlineStr">
        <is>
          <t>ISSUE-0039</t>
        </is>
      </c>
      <c r="B40" s="3" t="inlineStr">
        <is>
          <t>jeminise.com+personalized-and-romance-music-player-interface-quilt-with-photo-b8a3dc4155-b8a3dc4155</t>
        </is>
      </c>
      <c r="C40" s="2" t="inlineStr">
        <is>
          <t>img_6d222095b5b6acb3</t>
        </is>
      </c>
      <c r="D40" s="2" t="inlineStr">
        <is>
          <t>MINOR</t>
        </is>
      </c>
      <c r="E40" s="2" t="inlineStr">
        <is>
          <t>alt text</t>
        </is>
      </c>
      <c r="F40" s="2" t="inlineStr">
        <is>
          <t>Set contents, fabric or size chart image for Personalized Photo Music Player Quilt</t>
        </is>
      </c>
      <c r="G40" s="2" t="inlineStr">
        <is>
          <t>Fresh image file: D:\Shopify_Workspace\jeminise_seo\seo_runs\jeminise.com\20260906_234129\qa\20260907_213100\images\174_06.jpg; source URL: https://cdn.shopify.com/s/files/1/0792/5098/1063/files/89f35e8d5de515e1b75dcf0c65c85ef13b058ae4f9983fe7da44c702d7374b45.jpg?v=1785103605</t>
        </is>
      </c>
      <c r="H40" s="2" t="inlineStr">
        <is>
          <t>Alt text is too generic or describes placement more than visible content.</t>
        </is>
      </c>
      <c r="I40" s="2" t="inlineStr">
        <is>
          <t>Rewrite observation/alt from the directly opened image, naming the visible motif and use context.</t>
        </is>
      </c>
      <c r="J40" s="2" t="inlineStr">
        <is>
          <t>Fresh image file: D:\Shopify_Workspace\jeminise_seo\seo_runs\jeminise.com\20260906_234129\qa\20260907_213100\images\174_06.jpg; source URL: https://cdn.shopify.com/s/files/1/0792/5098/1063/files/89f35e8d5de515e1b75dcf0c65c85ef13b058ae4f9983fe7da44c702d7374b45.jpg?v=1785103605</t>
        </is>
      </c>
      <c r="K40" s="2" t="inlineStr">
        <is>
          <t>The image row accurately describes the actual media at this gallery position.</t>
        </is>
      </c>
      <c r="L40" s="2" t="inlineStr">
        <is>
          <t>RESOLVED</t>
        </is>
      </c>
    </row>
    <row r="41">
      <c r="A41" s="3" t="inlineStr">
        <is>
          <t>ISSUE-0040</t>
        </is>
      </c>
      <c r="B41" s="3" t="inlineStr">
        <is>
          <t>jeminise.com+personalized-and-romance-music-player-interface-quilt-with-photo-b8a3dc4155-b8a3dc4155</t>
        </is>
      </c>
      <c r="C41" s="2" t="inlineStr">
        <is>
          <t>img_323e80043ab8b29c</t>
        </is>
      </c>
      <c r="D41" s="2" t="inlineStr">
        <is>
          <t>MINOR</t>
        </is>
      </c>
      <c r="E41" s="2" t="inlineStr">
        <is>
          <t>image observation</t>
        </is>
      </c>
      <c r="F41" s="2" t="inlineStr">
        <is>
          <t>Additional lifestyle, feature or product detail image showing personalized photo music player quilt.</t>
        </is>
      </c>
      <c r="G41" s="2" t="inlineStr">
        <is>
          <t>Fresh image file: D:\Shopify_Workspace\jeminise_seo\seo_runs\jeminise.com\20260906_234129\qa\20260907_213100\images\174_07.jpg; source URL: https://cdn.shopify.com/s/files/1/0792/5098/1063/files/ab6a0a01e28e814d8f3cbc64e88430ceb1b8a226c57a04429ff8ee2f9f8470ea.jpg?v=1785103606</t>
        </is>
      </c>
      <c r="H41" s="2" t="inlineStr">
        <is>
          <t>Observation is generic or position-based; rewrite from the actual image content.</t>
        </is>
      </c>
      <c r="I41" s="2" t="inlineStr">
        <is>
          <t>Rewrite observation/alt from the directly opened image, naming the visible motif and use context.</t>
        </is>
      </c>
      <c r="J41" s="2" t="inlineStr">
        <is>
          <t>Fresh image file: D:\Shopify_Workspace\jeminise_seo\seo_runs\jeminise.com\20260906_234129\qa\20260907_213100\images\174_07.jpg; source URL: https://cdn.shopify.com/s/files/1/0792/5098/1063/files/ab6a0a01e28e814d8f3cbc64e88430ceb1b8a226c57a04429ff8ee2f9f8470ea.jpg?v=1785103606</t>
        </is>
      </c>
      <c r="K41" s="2" t="inlineStr">
        <is>
          <t>The image row accurately describes the actual media at this gallery position.</t>
        </is>
      </c>
      <c r="L41" s="2" t="inlineStr">
        <is>
          <t>RESOLVED</t>
        </is>
      </c>
    </row>
    <row r="42">
      <c r="A42" s="3" t="inlineStr">
        <is>
          <t>ISSUE-0041</t>
        </is>
      </c>
      <c r="B42" s="3" t="inlineStr">
        <is>
          <t>jeminise.com+personalized-autumn-tree-of-life-birds-flowers-quilt-sets-radiant</t>
        </is>
      </c>
      <c r="C42" s="2" t="n"/>
      <c r="D42" s="2" t="inlineStr">
        <is>
          <t>MAJOR</t>
        </is>
      </c>
      <c r="E42" s="2" t="inlineStr">
        <is>
          <t>description_proposed_html</t>
        </is>
      </c>
      <c r="F42" s="2"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t>
        </is>
      </c>
      <c r="G42" s="2" t="inlineStr">
        <is>
          <t>Draft contains SEO Use / QA approval wording.</t>
        </is>
      </c>
      <c r="H42" s="2" t="inlineStr">
        <is>
          <t>Internal workflow language is not publish-ready storefront copy.</t>
        </is>
      </c>
      <c r="I42" s="2" t="inlineStr">
        <is>
          <t>Remove internal QA/import block and replace with customer-facing verified copy.</t>
        </is>
      </c>
      <c r="J42" s="2" t="inlineStr">
        <is>
          <t>Draft contains SEO Use / QA approval wording.</t>
        </is>
      </c>
      <c r="K42" s="2" t="inlineStr">
        <is>
          <t>Description HTML no longer contains SEO Use, QA, approval, import or draft language.</t>
        </is>
      </c>
      <c r="L42" s="2" t="inlineStr">
        <is>
          <t>RESOLVED</t>
        </is>
      </c>
    </row>
    <row r="43">
      <c r="A43" s="3" t="inlineStr">
        <is>
          <t>ISSUE-0042</t>
        </is>
      </c>
      <c r="B43" s="3" t="inlineStr">
        <is>
          <t>jeminise.com+personalized-autumn-tree-of-life-birds-flowers-quilt-sets-radiant</t>
        </is>
      </c>
      <c r="C43" s="2" t="n"/>
      <c r="D43" s="2" t="inlineStr">
        <is>
          <t>MAJOR</t>
        </is>
      </c>
      <c r="E43" s="2" t="inlineStr">
        <is>
          <t>h1_proposed</t>
        </is>
      </c>
      <c r="F43" s="2" t="inlineStr"/>
      <c r="G43" s="2" t="inlineStr">
        <is>
          <t>The submitted workbook row has no proposed H1.</t>
        </is>
      </c>
      <c r="H43" s="2" t="inlineStr">
        <is>
          <t>A publishable SEO title/H1 pair is incomplete when the H1 field is blank.</t>
        </is>
      </c>
      <c r="I43" s="2" t="inlineStr">
        <is>
          <t>Write one English H1 that matches the verified product type and visible design; do not copy unsupported claims.</t>
        </is>
      </c>
      <c r="J43" s="2" t="inlineStr">
        <is>
          <t>The submitted workbook row has no proposed H1.</t>
        </is>
      </c>
      <c r="K43" s="2" t="inlineStr">
        <is>
          <t>Workbook contains a non-empty H1 and it is consistent with title, primary keyword and live product evidence.</t>
        </is>
      </c>
      <c r="L43" s="2" t="inlineStr">
        <is>
          <t>NOT_APPLICABLE</t>
        </is>
      </c>
    </row>
    <row r="44">
      <c r="A44" s="3" t="inlineStr">
        <is>
          <t>ISSUE-0043</t>
        </is>
      </c>
      <c r="B44" s="3" t="inlineStr">
        <is>
          <t>jeminise.com+personalized-autumn-tree-of-life-birds-flowers-quilt-sets-radiant</t>
        </is>
      </c>
      <c r="C44" s="2" t="n"/>
      <c r="D44" s="2" t="inlineStr">
        <is>
          <t>MAJOR</t>
        </is>
      </c>
      <c r="E44" s="2" t="inlineStr">
        <is>
          <t>description_proposed_html</t>
        </is>
      </c>
      <c r="F44" s="2"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t>
        </is>
      </c>
      <c r="G44" s="2" t="inlineStr">
        <is>
          <t>The proposed description uses a repeated audience list (for example, animal rooms/faith gifts/nature-inspired decor) that is not specific to this product.</t>
        </is>
      </c>
      <c r="H44" s="2" t="inlineStr">
        <is>
          <t>Generic audience wording can be irrelevant or contradictory to the visible motif and is not evidence-led storefront copy.</t>
        </is>
      </c>
      <c r="I44" s="2" t="inlineStr">
        <is>
          <t>Replace it with concise English customer-facing copy tied only to the verified motif, product type, size/pillowcase choices and supported customizer control.</t>
        </is>
      </c>
      <c r="J44" s="2" t="inlineStr">
        <is>
          <t>The proposed description uses a repeated audience list (for example, animal rooms/faith gifts/nature-inspired decor) that is not specific to this product.</t>
        </is>
      </c>
      <c r="K44" s="2" t="inlineStr">
        <is>
          <t>Description contains no irrelevant template audience list and every remaining claim is supported by live/snapshot evidence.</t>
        </is>
      </c>
      <c r="L44" s="2" t="inlineStr">
        <is>
          <t>RESOLVED</t>
        </is>
      </c>
    </row>
    <row r="45">
      <c r="A45" s="3" t="inlineStr">
        <is>
          <t>ISSUE-0044</t>
        </is>
      </c>
      <c r="B45" s="3" t="inlineStr">
        <is>
          <t>jeminise.com+personalized-autumn-tree-of-life-birds-flowers-quilt-sets-radiant</t>
        </is>
      </c>
      <c r="C45" s="2" t="n"/>
      <c r="D45" s="2" t="inlineStr">
        <is>
          <t>MINOR</t>
        </is>
      </c>
      <c r="E45" s="2" t="inlineStr">
        <is>
          <t>meta_description_seo</t>
        </is>
      </c>
      <c r="F45" s="2" t="inlineStr">
        <is>
          <t>Shop a quilt set featuring radiant autumn Tree of Life artwork with orange foliage, blue birds, exposed roots, colorful flowers and matching shams. Review available sizes and personalization options before checkout.</t>
        </is>
      </c>
      <c r="G45" s="2" t="inlineStr">
        <is>
          <t>Meta description length is 215 characters.</t>
        </is>
      </c>
      <c r="H45" s="2" t="inlineStr">
        <is>
          <t>Likely to truncate in search results and repeats review/personality wording in several rows.</t>
        </is>
      </c>
      <c r="I45" s="2" t="inlineStr">
        <is>
          <t>Rewrite to roughly 145-155 characters while preserving verified design and product type.</t>
        </is>
      </c>
      <c r="J45" s="2" t="inlineStr">
        <is>
          <t>Meta description length is 215 characters.</t>
        </is>
      </c>
      <c r="K45" s="2" t="inlineStr">
        <is>
          <t>Length check &lt;=160 characters and no unsupported claim remains.</t>
        </is>
      </c>
      <c r="L45" s="2" t="inlineStr">
        <is>
          <t>RESOLVED</t>
        </is>
      </c>
    </row>
    <row r="46">
      <c r="A46" s="3" t="inlineStr">
        <is>
          <t>ISSUE-0045</t>
        </is>
      </c>
      <c r="B46" s="3" t="inlineStr">
        <is>
          <t>jeminise.com+personalized-autumn-tree-of-life-birds-flowers-quilt-sets-radiant</t>
        </is>
      </c>
      <c r="C46" s="2" t="n"/>
      <c r="D46" s="2" t="inlineStr">
        <is>
          <t>LIMITATION</t>
        </is>
      </c>
      <c r="E46" s="2" t="inlineStr">
        <is>
          <t>keyword_evidence_level</t>
        </is>
      </c>
      <c r="F46" s="2" t="inlineStr">
        <is>
          <t>SERP_ONLY</t>
        </is>
      </c>
      <c r="G46" s="2" t="inlineStr">
        <is>
          <t>Only public SERP comparables are available.</t>
        </is>
      </c>
      <c r="H46" s="2" t="inlineStr">
        <is>
          <t>No Search Console, paid keyword volume or internal site search export was supplied.</t>
        </is>
      </c>
      <c r="I46" s="2" t="inlineStr">
        <is>
          <t>Keep demand statements qualitative; do not claim volume or ranking potential.</t>
        </is>
      </c>
      <c r="J46" s="2" t="inlineStr">
        <is>
          <t>Only public SERP comparables are available.</t>
        </is>
      </c>
      <c r="K46" s="2" t="inlineStr">
        <is>
          <t>Additional first-party or paid keyword evidence is attached, or limitation remains documented.</t>
        </is>
      </c>
      <c r="L46" s="2" t="inlineStr">
        <is>
          <t>PERSISTS</t>
        </is>
      </c>
    </row>
    <row r="47">
      <c r="A47" s="3" t="inlineStr">
        <is>
          <t>ISSUE-0046</t>
        </is>
      </c>
      <c r="B47" s="3" t="inlineStr">
        <is>
          <t>jeminise.com+personalized-autumn-tree-of-life-birds-flowers-quilt-sets-radiant</t>
        </is>
      </c>
      <c r="C47" s="2" t="inlineStr">
        <is>
          <t>img_f4027e4dfe8ce19b</t>
        </is>
      </c>
      <c r="D47" s="2" t="inlineStr">
        <is>
          <t>MINOR</t>
        </is>
      </c>
      <c r="E47" s="2" t="inlineStr">
        <is>
          <t>alt text</t>
        </is>
      </c>
      <c r="F47" s="2" t="inlineStr">
        <is>
          <t>Autumn Tree of Life Birds and Flowers Quilt displayed in a main product mockup</t>
        </is>
      </c>
      <c r="G47" s="2" t="inlineStr">
        <is>
          <t>Fresh image file: D:\Shopify_Workspace\jeminise_seo\seo_runs\jeminise.com\20260906_234129\qa\20260907_213100\images\175_01.jpg; source URL: https://cdn.shopify.com/s/files/1/0792/5098/1063/files/76e83bca36e7d6cbe9d52534b537497ba2da302985d2500484b04ef5c13e86f1.jpg?v=1786569190</t>
        </is>
      </c>
      <c r="H47" s="2" t="inlineStr">
        <is>
          <t>Alt text is too generic or describes placement more than visible content.</t>
        </is>
      </c>
      <c r="I47" s="2" t="inlineStr">
        <is>
          <t>Rewrite observation/alt from the directly opened image, naming the visible motif and use context.</t>
        </is>
      </c>
      <c r="J47" s="2" t="inlineStr">
        <is>
          <t>Fresh image file: D:\Shopify_Workspace\jeminise_seo\seo_runs\jeminise.com\20260906_234129\qa\20260907_213100\images\175_01.jpg; source URL: https://cdn.shopify.com/s/files/1/0792/5098/1063/files/76e83bca36e7d6cbe9d52534b537497ba2da302985d2500484b04ef5c13e86f1.jpg?v=1786569190</t>
        </is>
      </c>
      <c r="K47" s="2" t="inlineStr">
        <is>
          <t>The image row accurately describes the actual media at this gallery position.</t>
        </is>
      </c>
      <c r="L47" s="2" t="inlineStr">
        <is>
          <t>RESOLVED</t>
        </is>
      </c>
    </row>
    <row r="48">
      <c r="A48" s="3" t="inlineStr">
        <is>
          <t>ISSUE-0047</t>
        </is>
      </c>
      <c r="B48" s="3" t="inlineStr">
        <is>
          <t>jeminise.com+personalized-autumn-tree-of-life-birds-flowers-quilt-sets-radiant</t>
        </is>
      </c>
      <c r="C48" s="2" t="inlineStr">
        <is>
          <t>img_5dc0930c0a34735a</t>
        </is>
      </c>
      <c r="D48" s="2" t="inlineStr">
        <is>
          <t>MINOR</t>
        </is>
      </c>
      <c r="E48" s="2" t="inlineStr">
        <is>
          <t>image observation</t>
        </is>
      </c>
      <c r="F48" s="2" t="inlineStr">
        <is>
          <t>Bedding type, feature, lifestyle or material image for autumn tree of life birds flowers quilt.</t>
        </is>
      </c>
      <c r="G48" s="2" t="inlineStr">
        <is>
          <t>Fresh image file: D:\Shopify_Workspace\jeminise_seo\seo_runs\jeminise.com\20260906_234129\qa\20260907_213100\images\175_03.jpg; source URL: https://cdn.shopify.com/s/files/1/0792/5098/1063/files/14fdab197c2fb28af22fc3dad45c9f6e647085505ad1d22079f42b99ff4512c9.jpg?v=1786569190</t>
        </is>
      </c>
      <c r="H48" s="2" t="inlineStr">
        <is>
          <t>Observation is generic or position-based; rewrite from the actual image content.</t>
        </is>
      </c>
      <c r="I48" s="2" t="inlineStr">
        <is>
          <t>Rewrite observation/alt from the directly opened image, naming the visible motif and use context.</t>
        </is>
      </c>
      <c r="J48" s="2" t="inlineStr">
        <is>
          <t>Fresh image file: D:\Shopify_Workspace\jeminise_seo\seo_runs\jeminise.com\20260906_234129\qa\20260907_213100\images\175_03.jpg; source URL: https://cdn.shopify.com/s/files/1/0792/5098/1063/files/14fdab197c2fb28af22fc3dad45c9f6e647085505ad1d22079f42b99ff4512c9.jpg?v=1786569190</t>
        </is>
      </c>
      <c r="K48" s="2" t="inlineStr">
        <is>
          <t>The image row accurately describes the actual media at this gallery position.</t>
        </is>
      </c>
      <c r="L48" s="2" t="inlineStr">
        <is>
          <t>RESOLVED</t>
        </is>
      </c>
    </row>
    <row r="49">
      <c r="A49" s="3" t="inlineStr">
        <is>
          <t>ISSUE-0048</t>
        </is>
      </c>
      <c r="B49" s="3" t="inlineStr">
        <is>
          <t>jeminise.com+personalized-autumn-tree-of-life-birds-flowers-quilt-sets-radiant</t>
        </is>
      </c>
      <c r="C49" s="2" t="inlineStr">
        <is>
          <t>img_666dc62742244c34</t>
        </is>
      </c>
      <c r="D49" s="2" t="inlineStr">
        <is>
          <t>MINOR</t>
        </is>
      </c>
      <c r="E49" s="2" t="inlineStr">
        <is>
          <t>image observation</t>
        </is>
      </c>
      <c r="F49" s="2" t="inlineStr">
        <is>
          <t>Detail, feature panel or lifestyle image connected to autumn tree of life birds flowers quilt.</t>
        </is>
      </c>
      <c r="G49" s="2" t="inlineStr">
        <is>
          <t>Fresh image file: D:\Shopify_Workspace\jeminise_seo\seo_runs\jeminise.com\20260906_234129\qa\20260907_213100\images\175_04.jpg; source URL: https://cdn.shopify.com/s/files/1/0792/5098/1063/files/75a8841341082afa024eccaf666cc50689cb0804b1b5c6121a143f1ad7fd0f5c.jpg?v=1786569190</t>
        </is>
      </c>
      <c r="H49" s="2" t="inlineStr">
        <is>
          <t>Observation is generic or position-based; rewrite from the actual image content.</t>
        </is>
      </c>
      <c r="I49" s="2" t="inlineStr">
        <is>
          <t>Rewrite observation/alt from the directly opened image, naming the visible motif and use context.</t>
        </is>
      </c>
      <c r="J49" s="2" t="inlineStr">
        <is>
          <t>Fresh image file: D:\Shopify_Workspace\jeminise_seo\seo_runs\jeminise.com\20260906_234129\qa\20260907_213100\images\175_04.jpg; source URL: https://cdn.shopify.com/s/files/1/0792/5098/1063/files/75a8841341082afa024eccaf666cc50689cb0804b1b5c6121a143f1ad7fd0f5c.jpg?v=1786569190</t>
        </is>
      </c>
      <c r="K49" s="2" t="inlineStr">
        <is>
          <t>The image row accurately describes the actual media at this gallery position.</t>
        </is>
      </c>
      <c r="L49" s="2" t="inlineStr">
        <is>
          <t>RESOLVED</t>
        </is>
      </c>
    </row>
    <row r="50">
      <c r="A50" s="3" t="inlineStr">
        <is>
          <t>ISSUE-0049</t>
        </is>
      </c>
      <c r="B50" s="3" t="inlineStr">
        <is>
          <t>jeminise.com+personalized-autumn-tree-of-life-birds-flowers-quilt-sets-radiant</t>
        </is>
      </c>
      <c r="C50" s="2" t="inlineStr">
        <is>
          <t>img_160776f07e0e57b2</t>
        </is>
      </c>
      <c r="D50" s="2" t="inlineStr">
        <is>
          <t>MINOR</t>
        </is>
      </c>
      <c r="E50" s="2" t="inlineStr">
        <is>
          <t>image observation</t>
        </is>
      </c>
      <c r="F50" s="2" t="inlineStr">
        <is>
          <t>Easy-care, size guide or product feature image for autumn tree of life birds flowers quilt.</t>
        </is>
      </c>
      <c r="G50" s="2" t="inlineStr">
        <is>
          <t>Fresh image file: D:\Shopify_Workspace\jeminise_seo\seo_runs\jeminise.com\20260906_234129\qa\20260907_213100\images\175_06.jpg; source URL: https://cdn.shopify.com/s/files/1/0792/5098/1063/files/4e3bd5db7f8f32bc843c373deb779457b0bc909907e444f3fd479b1487f44f0c.jpg?v=1786569190</t>
        </is>
      </c>
      <c r="H50" s="2" t="inlineStr">
        <is>
          <t>Observation is generic or position-based; rewrite from the actual image content.</t>
        </is>
      </c>
      <c r="I50" s="2" t="inlineStr">
        <is>
          <t>Rewrite observation/alt from the directly opened image, naming the visible motif and use context.</t>
        </is>
      </c>
      <c r="J50" s="2" t="inlineStr">
        <is>
          <t>Fresh image file: D:\Shopify_Workspace\jeminise_seo\seo_runs\jeminise.com\20260906_234129\qa\20260907_213100\images\175_06.jpg; source URL: https://cdn.shopify.com/s/files/1/0792/5098/1063/files/4e3bd5db7f8f32bc843c373deb779457b0bc909907e444f3fd479b1487f44f0c.jpg?v=1786569190</t>
        </is>
      </c>
      <c r="K50" s="2" t="inlineStr">
        <is>
          <t>The image row accurately describes the actual media at this gallery position.</t>
        </is>
      </c>
      <c r="L50" s="2" t="inlineStr">
        <is>
          <t>RESOLVED</t>
        </is>
      </c>
    </row>
    <row r="51">
      <c r="A51" s="3" t="inlineStr">
        <is>
          <t>ISSUE-0050</t>
        </is>
      </c>
      <c r="B51" s="3" t="inlineStr">
        <is>
          <t>jeminise.com+personalized-autumn-tree-of-life-birds-flowers-quilt-sets-radiant</t>
        </is>
      </c>
      <c r="C51" s="2" t="inlineStr">
        <is>
          <t>img_160776f07e0e57b2</t>
        </is>
      </c>
      <c r="D51" s="2" t="inlineStr">
        <is>
          <t>MINOR</t>
        </is>
      </c>
      <c r="E51" s="2" t="inlineStr">
        <is>
          <t>alt text</t>
        </is>
      </c>
      <c r="F51" s="2" t="inlineStr">
        <is>
          <t>Set contents, fabric or size chart image for Autumn Tree of Life Birds and Flowers Quilt</t>
        </is>
      </c>
      <c r="G51" s="2" t="inlineStr">
        <is>
          <t>Fresh image file: D:\Shopify_Workspace\jeminise_seo\seo_runs\jeminise.com\20260906_234129\qa\20260907_213100\images\175_06.jpg; source URL: https://cdn.shopify.com/s/files/1/0792/5098/1063/files/4e3bd5db7f8f32bc843c373deb779457b0bc909907e444f3fd479b1487f44f0c.jpg?v=1786569190</t>
        </is>
      </c>
      <c r="H51" s="2" t="inlineStr">
        <is>
          <t>Alt text is too generic or describes placement more than visible content.</t>
        </is>
      </c>
      <c r="I51" s="2" t="inlineStr">
        <is>
          <t>Rewrite observation/alt from the directly opened image, naming the visible motif and use context.</t>
        </is>
      </c>
      <c r="J51" s="2" t="inlineStr">
        <is>
          <t>Fresh image file: D:\Shopify_Workspace\jeminise_seo\seo_runs\jeminise.com\20260906_234129\qa\20260907_213100\images\175_06.jpg; source URL: https://cdn.shopify.com/s/files/1/0792/5098/1063/files/4e3bd5db7f8f32bc843c373deb779457b0bc909907e444f3fd479b1487f44f0c.jpg?v=1786569190</t>
        </is>
      </c>
      <c r="K51" s="2" t="inlineStr">
        <is>
          <t>The image row accurately describes the actual media at this gallery position.</t>
        </is>
      </c>
      <c r="L51" s="2" t="inlineStr">
        <is>
          <t>RESOLVED</t>
        </is>
      </c>
    </row>
    <row r="52">
      <c r="A52" s="3" t="inlineStr">
        <is>
          <t>ISSUE-0051</t>
        </is>
      </c>
      <c r="B52" s="3" t="inlineStr">
        <is>
          <t>jeminise.com+personalized-autumn-tree-of-life-birds-flowers-quilt-sets-radiant</t>
        </is>
      </c>
      <c r="C52" s="2" t="inlineStr">
        <is>
          <t>img_738a291d0306aba3</t>
        </is>
      </c>
      <c r="D52" s="2" t="inlineStr">
        <is>
          <t>MINOR</t>
        </is>
      </c>
      <c r="E52" s="2" t="inlineStr">
        <is>
          <t>image observation</t>
        </is>
      </c>
      <c r="F52" s="2" t="inlineStr">
        <is>
          <t>Additional lifestyle, feature or product detail image showing autumn tree of life birds flowers quilt.</t>
        </is>
      </c>
      <c r="G52" s="2" t="inlineStr">
        <is>
          <t>Fresh image file: D:\Shopify_Workspace\jeminise_seo\seo_runs\jeminise.com\20260906_234129\qa\20260907_213100\images\175_07.jpg; source URL: https://cdn.shopify.com/s/files/1/0792/5098/1063/files/1ac440907b13bbfe69aa9df8b823b1b2403e9b7593955f0dc4a32ec79c5ad5dd.jpg?v=1786569191</t>
        </is>
      </c>
      <c r="H52" s="2" t="inlineStr">
        <is>
          <t>Observation is generic or position-based; rewrite from the actual image content.</t>
        </is>
      </c>
      <c r="I52" s="2" t="inlineStr">
        <is>
          <t>Rewrite observation/alt from the directly opened image, naming the visible motif and use context.</t>
        </is>
      </c>
      <c r="J52" s="2" t="inlineStr">
        <is>
          <t>Fresh image file: D:\Shopify_Workspace\jeminise_seo\seo_runs\jeminise.com\20260906_234129\qa\20260907_213100\images\175_07.jpg; source URL: https://cdn.shopify.com/s/files/1/0792/5098/1063/files/1ac440907b13bbfe69aa9df8b823b1b2403e9b7593955f0dc4a32ec79c5ad5dd.jpg?v=1786569191</t>
        </is>
      </c>
      <c r="K52" s="2" t="inlineStr">
        <is>
          <t>The image row accurately describes the actual media at this gallery position.</t>
        </is>
      </c>
      <c r="L52" s="2" t="inlineStr">
        <is>
          <t>RESOLVED</t>
        </is>
      </c>
    </row>
    <row r="53">
      <c r="A53" s="3" t="inlineStr">
        <is>
          <t>ISSUE-0052</t>
        </is>
      </c>
      <c r="B53" s="3" t="inlineStr">
        <is>
          <t>jeminise.com+personalized-baseball-bedding-full-size-flag-custom-name-d-design-01</t>
        </is>
      </c>
      <c r="C53" s="2" t="n"/>
      <c r="D53" s="2" t="inlineStr">
        <is>
          <t>MAJOR</t>
        </is>
      </c>
      <c r="E53" s="2" t="inlineStr">
        <is>
          <t>description_proposed_html</t>
        </is>
      </c>
      <c r="F53" s="2"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t>
        </is>
      </c>
      <c r="G53" s="2" t="inlineStr">
        <is>
          <t>Draft contains SEO Use / QA approval wording.</t>
        </is>
      </c>
      <c r="H53" s="2" t="inlineStr">
        <is>
          <t>Internal workflow language is not publish-ready storefront copy.</t>
        </is>
      </c>
      <c r="I53" s="2" t="inlineStr">
        <is>
          <t>Remove internal QA/import block and replace with customer-facing verified copy.</t>
        </is>
      </c>
      <c r="J53" s="2" t="inlineStr">
        <is>
          <t>Draft contains SEO Use / QA approval wording.</t>
        </is>
      </c>
      <c r="K53" s="2" t="inlineStr">
        <is>
          <t>Description HTML no longer contains SEO Use, QA, approval, import or draft language.</t>
        </is>
      </c>
      <c r="L53" s="2" t="inlineStr">
        <is>
          <t>RESOLVED</t>
        </is>
      </c>
    </row>
    <row r="54">
      <c r="A54" s="3" t="inlineStr">
        <is>
          <t>ISSUE-0053</t>
        </is>
      </c>
      <c r="B54" s="3" t="inlineStr">
        <is>
          <t>jeminise.com+personalized-baseball-bedding-full-size-flag-custom-name-d-design-01</t>
        </is>
      </c>
      <c r="C54" s="2" t="n"/>
      <c r="D54" s="2" t="inlineStr">
        <is>
          <t>MAJOR</t>
        </is>
      </c>
      <c r="E54" s="2" t="inlineStr">
        <is>
          <t>h1_proposed</t>
        </is>
      </c>
      <c r="F54" s="2" t="inlineStr"/>
      <c r="G54" s="2" t="inlineStr">
        <is>
          <t>The submitted workbook row has no proposed H1.</t>
        </is>
      </c>
      <c r="H54" s="2" t="inlineStr">
        <is>
          <t>A publishable SEO title/H1 pair is incomplete when the H1 field is blank.</t>
        </is>
      </c>
      <c r="I54" s="2" t="inlineStr">
        <is>
          <t>Write one English H1 that matches the verified product type and visible design; do not copy unsupported claims.</t>
        </is>
      </c>
      <c r="J54" s="2" t="inlineStr">
        <is>
          <t>The submitted workbook row has no proposed H1.</t>
        </is>
      </c>
      <c r="K54" s="2" t="inlineStr">
        <is>
          <t>Workbook contains a non-empty H1 and it is consistent with title, primary keyword and live product evidence.</t>
        </is>
      </c>
      <c r="L54" s="2" t="inlineStr">
        <is>
          <t>NOT_APPLICABLE</t>
        </is>
      </c>
    </row>
    <row r="55">
      <c r="A55" s="3" t="inlineStr">
        <is>
          <t>ISSUE-0054</t>
        </is>
      </c>
      <c r="B55" s="3" t="inlineStr">
        <is>
          <t>jeminise.com+personalized-baseball-bedding-full-size-flag-custom-name-d-design-01</t>
        </is>
      </c>
      <c r="C55" s="2" t="n"/>
      <c r="D55" s="2" t="inlineStr">
        <is>
          <t>MINOR</t>
        </is>
      </c>
      <c r="E55" s="2" t="inlineStr">
        <is>
          <t>meta_description_seo</t>
        </is>
      </c>
      <c r="F55" s="2" t="inlineStr">
        <is>
          <t>Shop a comforter set featuring American flag baseball bedding with large baseballs, red white and blue stripes, stars and vertical custom name text. Review available sizes and personalization options before checkout.</t>
        </is>
      </c>
      <c r="G55" s="2" t="inlineStr">
        <is>
          <t>Meta description length is 216 characters.</t>
        </is>
      </c>
      <c r="H55" s="2" t="inlineStr">
        <is>
          <t>Likely to truncate in search results and repeats review/personality wording in several rows.</t>
        </is>
      </c>
      <c r="I55" s="2" t="inlineStr">
        <is>
          <t>Rewrite to roughly 145-155 characters while preserving verified design and product type.</t>
        </is>
      </c>
      <c r="J55" s="2" t="inlineStr">
        <is>
          <t>Meta description length is 216 characters.</t>
        </is>
      </c>
      <c r="K55" s="2" t="inlineStr">
        <is>
          <t>Length check &lt;=160 characters and no unsupported claim remains.</t>
        </is>
      </c>
      <c r="L55" s="2" t="inlineStr">
        <is>
          <t>RESOLVED</t>
        </is>
      </c>
    </row>
    <row r="56">
      <c r="A56" s="3" t="inlineStr">
        <is>
          <t>ISSUE-0055</t>
        </is>
      </c>
      <c r="B56" s="3" t="inlineStr">
        <is>
          <t>jeminise.com+personalized-baseball-bedding-full-size-flag-custom-name-d-design-01</t>
        </is>
      </c>
      <c r="C56" s="2" t="n"/>
      <c r="D56" s="2" t="inlineStr">
        <is>
          <t>LIMITATION</t>
        </is>
      </c>
      <c r="E56" s="2" t="inlineStr">
        <is>
          <t>keyword_evidence_level</t>
        </is>
      </c>
      <c r="F56" s="2" t="inlineStr">
        <is>
          <t>SERP_ONLY</t>
        </is>
      </c>
      <c r="G56" s="2" t="inlineStr">
        <is>
          <t>Only public SERP comparables are available.</t>
        </is>
      </c>
      <c r="H56" s="2" t="inlineStr">
        <is>
          <t>No Search Console, paid keyword volume or internal site search export was supplied.</t>
        </is>
      </c>
      <c r="I56" s="2" t="inlineStr">
        <is>
          <t>Keep demand statements qualitative; do not claim volume or ranking potential.</t>
        </is>
      </c>
      <c r="J56" s="2" t="inlineStr">
        <is>
          <t>Only public SERP comparables are available.</t>
        </is>
      </c>
      <c r="K56" s="2" t="inlineStr">
        <is>
          <t>Additional first-party or paid keyword evidence is attached, or limitation remains documented.</t>
        </is>
      </c>
      <c r="L56" s="2" t="inlineStr">
        <is>
          <t>PERSISTS</t>
        </is>
      </c>
    </row>
    <row r="57">
      <c r="A57" s="3" t="inlineStr">
        <is>
          <t>ISSUE-0056</t>
        </is>
      </c>
      <c r="B57" s="3" t="inlineStr">
        <is>
          <t>jeminise.com+personalized-baseball-bedding-full-size-flag-custom-name-d-design-01</t>
        </is>
      </c>
      <c r="C57" s="2" t="inlineStr">
        <is>
          <t>img_047651ad480d6508</t>
        </is>
      </c>
      <c r="D57" s="2" t="inlineStr">
        <is>
          <t>MINOR</t>
        </is>
      </c>
      <c r="E57" s="2" t="inlineStr">
        <is>
          <t>alt text</t>
        </is>
      </c>
      <c r="F57" s="2" t="inlineStr">
        <is>
          <t>Personalized Baseball American Flag Bedding displayed in a main product mockup</t>
        </is>
      </c>
      <c r="G57" s="2" t="inlineStr">
        <is>
          <t>Fresh image file: D:\Shopify_Workspace\jeminise_seo\seo_runs\jeminise.com\20260906_234129\qa\20260907_213100\images\176_01.jpg; source URL: https://cdn.shopify.com/s/files/1/0792/5098/1063/files/7b5c51aa3d8e7b0ede2b944964c9def4c11bee595091e278a8a03e64c42de41e.jpg?v=1787242220</t>
        </is>
      </c>
      <c r="H57" s="2" t="inlineStr">
        <is>
          <t>Alt text is too generic or describes placement more than visible content.</t>
        </is>
      </c>
      <c r="I57" s="2" t="inlineStr">
        <is>
          <t>Rewrite observation/alt from the directly opened image, naming the visible motif and use context.</t>
        </is>
      </c>
      <c r="J57" s="2" t="inlineStr">
        <is>
          <t>Fresh image file: D:\Shopify_Workspace\jeminise_seo\seo_runs\jeminise.com\20260906_234129\qa\20260907_213100\images\176_01.jpg; source URL: https://cdn.shopify.com/s/files/1/0792/5098/1063/files/7b5c51aa3d8e7b0ede2b944964c9def4c11bee595091e278a8a03e64c42de41e.jpg?v=1787242220</t>
        </is>
      </c>
      <c r="K57" s="2" t="inlineStr">
        <is>
          <t>The image row accurately describes the actual media at this gallery position.</t>
        </is>
      </c>
      <c r="L57" s="2" t="inlineStr">
        <is>
          <t>RESOLVED</t>
        </is>
      </c>
    </row>
    <row r="58">
      <c r="A58" s="3" t="inlineStr">
        <is>
          <t>ISSUE-0057</t>
        </is>
      </c>
      <c r="B58" s="3" t="inlineStr">
        <is>
          <t>jeminise.com+personalized-baseball-bedding-full-size-flag-custom-name-d-design-01</t>
        </is>
      </c>
      <c r="C58" s="2" t="inlineStr">
        <is>
          <t>img_bcd6b7a223c511a0</t>
        </is>
      </c>
      <c r="D58" s="2" t="inlineStr">
        <is>
          <t>MINOR</t>
        </is>
      </c>
      <c r="E58" s="2" t="inlineStr">
        <is>
          <t>image observation</t>
        </is>
      </c>
      <c r="F58" s="2" t="inlineStr">
        <is>
          <t>Bedding type, feature, lifestyle or material image for personalized baseball American flag bedding with vertical name.</t>
        </is>
      </c>
      <c r="G58" s="2" t="inlineStr">
        <is>
          <t>Fresh image file: D:\Shopify_Workspace\jeminise_seo\seo_runs\jeminise.com\20260906_234129\qa\20260907_213100\images\176_03.jpg; source URL: https://cdn.shopify.com/s/files/1/0792/5098/1063/files/b495d9b37eafdceff5caf3643256f7b3a83de826d49a14bdc531b13424296018_88164598-e9f4-4928-b053-76791a3a0dcf.jpg?v=1787242220</t>
        </is>
      </c>
      <c r="H58" s="2" t="inlineStr">
        <is>
          <t>Observation is generic or position-based; rewrite from the actual image content.</t>
        </is>
      </c>
      <c r="I58" s="2" t="inlineStr">
        <is>
          <t>Rewrite observation/alt from the directly opened image, naming the visible motif and use context.</t>
        </is>
      </c>
      <c r="J58" s="2" t="inlineStr">
        <is>
          <t>Fresh image file: D:\Shopify_Workspace\jeminise_seo\seo_runs\jeminise.com\20260906_234129\qa\20260907_213100\images\176_03.jpg; source URL: https://cdn.shopify.com/s/files/1/0792/5098/1063/files/b495d9b37eafdceff5caf3643256f7b3a83de826d49a14bdc531b13424296018_88164598-e9f4-4928-b053-76791a3a0dcf.jpg?v=1787242220</t>
        </is>
      </c>
      <c r="K58" s="2" t="inlineStr">
        <is>
          <t>The image row accurately describes the actual media at this gallery position.</t>
        </is>
      </c>
      <c r="L58" s="2" t="inlineStr">
        <is>
          <t>RESOLVED</t>
        </is>
      </c>
    </row>
    <row r="59">
      <c r="A59" s="3" t="inlineStr">
        <is>
          <t>ISSUE-0058</t>
        </is>
      </c>
      <c r="B59" s="3" t="inlineStr">
        <is>
          <t>jeminise.com+personalized-baseball-bedding-full-size-flag-custom-name-d-design-01</t>
        </is>
      </c>
      <c r="C59" s="2" t="inlineStr">
        <is>
          <t>img_7286b889f5907e8b</t>
        </is>
      </c>
      <c r="D59" s="2" t="inlineStr">
        <is>
          <t>MINOR</t>
        </is>
      </c>
      <c r="E59" s="2" t="inlineStr">
        <is>
          <t>image observation</t>
        </is>
      </c>
      <c r="F59" s="2" t="inlineStr">
        <is>
          <t>Detail, feature panel or lifestyle image connected to personalized baseball American flag bedding with vertical name.</t>
        </is>
      </c>
      <c r="G59" s="2" t="inlineStr">
        <is>
          <t>Fresh image file: D:\Shopify_Workspace\jeminise_seo\seo_runs\jeminise.com\20260906_234129\qa\20260907_213100\images\176_04.jpg; source URL: https://cdn.shopify.com/s/files/1/0792/5098/1063/files/d51e3360a3e4b984af63b01c4b53d517484ca3d6cb1beeea158bcf59acab9ed4_987bc884-03f1-4194-a3cf-9a2acfe15561.jpg?v=1787242220</t>
        </is>
      </c>
      <c r="H59" s="2" t="inlineStr">
        <is>
          <t>Observation is generic or position-based; rewrite from the actual image content.</t>
        </is>
      </c>
      <c r="I59" s="2" t="inlineStr">
        <is>
          <t>Rewrite observation/alt from the directly opened image, naming the visible motif and use context.</t>
        </is>
      </c>
      <c r="J59" s="2" t="inlineStr">
        <is>
          <t>Fresh image file: D:\Shopify_Workspace\jeminise_seo\seo_runs\jeminise.com\20260906_234129\qa\20260907_213100\images\176_04.jpg; source URL: https://cdn.shopify.com/s/files/1/0792/5098/1063/files/d51e3360a3e4b984af63b01c4b53d517484ca3d6cb1beeea158bcf59acab9ed4_987bc884-03f1-4194-a3cf-9a2acfe15561.jpg?v=1787242220</t>
        </is>
      </c>
      <c r="K59" s="2" t="inlineStr">
        <is>
          <t>The image row accurately describes the actual media at this gallery position.</t>
        </is>
      </c>
      <c r="L59" s="2" t="inlineStr">
        <is>
          <t>RESOLVED</t>
        </is>
      </c>
    </row>
    <row r="60">
      <c r="A60" s="3" t="inlineStr">
        <is>
          <t>ISSUE-0059</t>
        </is>
      </c>
      <c r="B60" s="3" t="inlineStr">
        <is>
          <t>jeminise.com+personalized-baseball-bedding-full-size-flag-custom-name-d-design-02</t>
        </is>
      </c>
      <c r="C60" s="2" t="n"/>
      <c r="D60" s="2" t="inlineStr">
        <is>
          <t>MAJOR</t>
        </is>
      </c>
      <c r="E60" s="2" t="inlineStr">
        <is>
          <t>description_proposed_html</t>
        </is>
      </c>
      <c r="F60" s="2"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t>
        </is>
      </c>
      <c r="G60" s="2" t="inlineStr">
        <is>
          <t>Draft contains SEO Use / QA approval wording.</t>
        </is>
      </c>
      <c r="H60" s="2" t="inlineStr">
        <is>
          <t>Internal workflow language is not publish-ready storefront copy.</t>
        </is>
      </c>
      <c r="I60" s="2" t="inlineStr">
        <is>
          <t>Remove internal QA/import block and replace with customer-facing verified copy.</t>
        </is>
      </c>
      <c r="J60" s="2" t="inlineStr">
        <is>
          <t>Draft contains SEO Use / QA approval wording.</t>
        </is>
      </c>
      <c r="K60" s="2" t="inlineStr">
        <is>
          <t>Description HTML no longer contains SEO Use, QA, approval, import or draft language.</t>
        </is>
      </c>
      <c r="L60" s="2" t="inlineStr">
        <is>
          <t>RESOLVED</t>
        </is>
      </c>
    </row>
    <row r="61">
      <c r="A61" s="3" t="inlineStr">
        <is>
          <t>ISSUE-0060</t>
        </is>
      </c>
      <c r="B61" s="3" t="inlineStr">
        <is>
          <t>jeminise.com+personalized-baseball-bedding-full-size-flag-custom-name-d-design-02</t>
        </is>
      </c>
      <c r="C61" s="2" t="n"/>
      <c r="D61" s="2" t="inlineStr">
        <is>
          <t>MAJOR</t>
        </is>
      </c>
      <c r="E61" s="2" t="inlineStr">
        <is>
          <t>h1_proposed</t>
        </is>
      </c>
      <c r="F61" s="2" t="inlineStr"/>
      <c r="G61" s="2" t="inlineStr">
        <is>
          <t>The submitted workbook row has no proposed H1.</t>
        </is>
      </c>
      <c r="H61" s="2" t="inlineStr">
        <is>
          <t>A publishable SEO title/H1 pair is incomplete when the H1 field is blank.</t>
        </is>
      </c>
      <c r="I61" s="2" t="inlineStr">
        <is>
          <t>Write one English H1 that matches the verified product type and visible design; do not copy unsupported claims.</t>
        </is>
      </c>
      <c r="J61" s="2" t="inlineStr">
        <is>
          <t>The submitted workbook row has no proposed H1.</t>
        </is>
      </c>
      <c r="K61" s="2" t="inlineStr">
        <is>
          <t>Workbook contains a non-empty H1 and it is consistent with title, primary keyword and live product evidence.</t>
        </is>
      </c>
      <c r="L61" s="2" t="inlineStr">
        <is>
          <t>NOT_APPLICABLE</t>
        </is>
      </c>
    </row>
    <row r="62">
      <c r="A62" s="3" t="inlineStr">
        <is>
          <t>ISSUE-0061</t>
        </is>
      </c>
      <c r="B62" s="3" t="inlineStr">
        <is>
          <t>jeminise.com+personalized-baseball-bedding-full-size-flag-custom-name-d-design-02</t>
        </is>
      </c>
      <c r="C62" s="2" t="n"/>
      <c r="D62" s="2" t="inlineStr">
        <is>
          <t>MINOR</t>
        </is>
      </c>
      <c r="E62" s="2" t="inlineStr">
        <is>
          <t>meta_description_seo</t>
        </is>
      </c>
      <c r="F62" s="2" t="inlineStr">
        <is>
          <t>Shop a comforter set featuring black baseball bedding with glove, bat, ball artwork and script custom name placement. Review available sizes and personalization options before checkout.</t>
        </is>
      </c>
      <c r="G62" s="2" t="inlineStr">
        <is>
          <t>Meta description length is 185 characters.</t>
        </is>
      </c>
      <c r="H62" s="2" t="inlineStr">
        <is>
          <t>Likely to truncate in search results and repeats review/personality wording in several rows.</t>
        </is>
      </c>
      <c r="I62" s="2" t="inlineStr">
        <is>
          <t>Rewrite to roughly 145-155 characters while preserving verified design and product type.</t>
        </is>
      </c>
      <c r="J62" s="2" t="inlineStr">
        <is>
          <t>Meta description length is 185 characters.</t>
        </is>
      </c>
      <c r="K62" s="2" t="inlineStr">
        <is>
          <t>Length check &lt;=160 characters and no unsupported claim remains.</t>
        </is>
      </c>
      <c r="L62" s="2" t="inlineStr">
        <is>
          <t>RESOLVED</t>
        </is>
      </c>
    </row>
    <row r="63">
      <c r="A63" s="3" t="inlineStr">
        <is>
          <t>ISSUE-0062</t>
        </is>
      </c>
      <c r="B63" s="3" t="inlineStr">
        <is>
          <t>jeminise.com+personalized-baseball-bedding-full-size-flag-custom-name-d-design-02</t>
        </is>
      </c>
      <c r="C63" s="2" t="n"/>
      <c r="D63" s="2" t="inlineStr">
        <is>
          <t>LIMITATION</t>
        </is>
      </c>
      <c r="E63" s="2" t="inlineStr">
        <is>
          <t>keyword_evidence_level</t>
        </is>
      </c>
      <c r="F63" s="2" t="inlineStr">
        <is>
          <t>SERP_ONLY</t>
        </is>
      </c>
      <c r="G63" s="2" t="inlineStr">
        <is>
          <t>Only public SERP comparables are available.</t>
        </is>
      </c>
      <c r="H63" s="2" t="inlineStr">
        <is>
          <t>No Search Console, paid keyword volume or internal site search export was supplied.</t>
        </is>
      </c>
      <c r="I63" s="2" t="inlineStr">
        <is>
          <t>Keep demand statements qualitative; do not claim volume or ranking potential.</t>
        </is>
      </c>
      <c r="J63" s="2" t="inlineStr">
        <is>
          <t>Only public SERP comparables are available.</t>
        </is>
      </c>
      <c r="K63" s="2" t="inlineStr">
        <is>
          <t>Additional first-party or paid keyword evidence is attached, or limitation remains documented.</t>
        </is>
      </c>
      <c r="L63" s="2" t="inlineStr">
        <is>
          <t>PERSISTS</t>
        </is>
      </c>
    </row>
    <row r="64">
      <c r="A64" s="3" t="inlineStr">
        <is>
          <t>ISSUE-0063</t>
        </is>
      </c>
      <c r="B64" s="3" t="inlineStr">
        <is>
          <t>jeminise.com+personalized-baseball-bedding-full-size-flag-custom-name-d-design-02</t>
        </is>
      </c>
      <c r="C64" s="2" t="inlineStr">
        <is>
          <t>img_2382cbb554221fe7</t>
        </is>
      </c>
      <c r="D64" s="2" t="inlineStr">
        <is>
          <t>MINOR</t>
        </is>
      </c>
      <c r="E64" s="2" t="inlineStr">
        <is>
          <t>alt text</t>
        </is>
      </c>
      <c r="F64" s="2" t="inlineStr">
        <is>
          <t>Personalized Black Baseball Glove Bedding displayed in a main product mockup</t>
        </is>
      </c>
      <c r="G64" s="2" t="inlineStr">
        <is>
          <t>Fresh image file: D:\Shopify_Workspace\jeminise_seo\seo_runs\jeminise.com\20260906_234129\qa\20260907_213100\images\177_01.jpg; source URL: https://cdn.shopify.com/s/files/1/0792/5098/1063/files/6f4d49a4f378e1d847ce6c5fba523fd3e99a8eb747a9dd8bc23b8fd0282b9151.jpg?v=1787242229</t>
        </is>
      </c>
      <c r="H64" s="2" t="inlineStr">
        <is>
          <t>Alt text is too generic or describes placement more than visible content.</t>
        </is>
      </c>
      <c r="I64" s="2" t="inlineStr">
        <is>
          <t>Rewrite observation/alt from the directly opened image, naming the visible motif and use context.</t>
        </is>
      </c>
      <c r="J64" s="2" t="inlineStr">
        <is>
          <t>Fresh image file: D:\Shopify_Workspace\jeminise_seo\seo_runs\jeminise.com\20260906_234129\qa\20260907_213100\images\177_01.jpg; source URL: https://cdn.shopify.com/s/files/1/0792/5098/1063/files/6f4d49a4f378e1d847ce6c5fba523fd3e99a8eb747a9dd8bc23b8fd0282b9151.jpg?v=1787242229</t>
        </is>
      </c>
      <c r="K64" s="2" t="inlineStr">
        <is>
          <t>The image row accurately describes the actual media at this gallery position.</t>
        </is>
      </c>
      <c r="L64" s="2" t="inlineStr">
        <is>
          <t>RESOLVED</t>
        </is>
      </c>
    </row>
    <row r="65">
      <c r="A65" s="3" t="inlineStr">
        <is>
          <t>ISSUE-0064</t>
        </is>
      </c>
      <c r="B65" s="3" t="inlineStr">
        <is>
          <t>jeminise.com+personalized-baseball-bedding-full-size-flag-custom-name-d-design-02</t>
        </is>
      </c>
      <c r="C65" s="2" t="inlineStr">
        <is>
          <t>img_64501c296000c987</t>
        </is>
      </c>
      <c r="D65" s="2" t="inlineStr">
        <is>
          <t>MINOR</t>
        </is>
      </c>
      <c r="E65" s="2" t="inlineStr">
        <is>
          <t>image observation</t>
        </is>
      </c>
      <c r="F65" s="2" t="inlineStr">
        <is>
          <t>Bedding type, feature, lifestyle or material image for personalized black baseball glove bedding.</t>
        </is>
      </c>
      <c r="G65" s="2" t="inlineStr">
        <is>
          <t>Fresh image file: D:\Shopify_Workspace\jeminise_seo\seo_runs\jeminise.com\20260906_234129\qa\20260907_213100\images\177_03.jpg; source URL: https://cdn.shopify.com/s/files/1/0792/5098/1063/files/b495d9b37eafdceff5caf3643256f7b3a83de826d49a14bdc531b13424296018_dfb03393-cd58-4da6-9667-2c2debadf87d.jpg?v=1787242229</t>
        </is>
      </c>
      <c r="H65" s="2" t="inlineStr">
        <is>
          <t>Observation is generic or position-based; rewrite from the actual image content.</t>
        </is>
      </c>
      <c r="I65" s="2" t="inlineStr">
        <is>
          <t>Rewrite observation/alt from the directly opened image, naming the visible motif and use context.</t>
        </is>
      </c>
      <c r="J65" s="2" t="inlineStr">
        <is>
          <t>Fresh image file: D:\Shopify_Workspace\jeminise_seo\seo_runs\jeminise.com\20260906_234129\qa\20260907_213100\images\177_03.jpg; source URL: https://cdn.shopify.com/s/files/1/0792/5098/1063/files/b495d9b37eafdceff5caf3643256f7b3a83de826d49a14bdc531b13424296018_dfb03393-cd58-4da6-9667-2c2debadf87d.jpg?v=1787242229</t>
        </is>
      </c>
      <c r="K65" s="2" t="inlineStr">
        <is>
          <t>The image row accurately describes the actual media at this gallery position.</t>
        </is>
      </c>
      <c r="L65" s="2" t="inlineStr">
        <is>
          <t>RESOLVED</t>
        </is>
      </c>
    </row>
    <row r="66">
      <c r="A66" s="3" t="inlineStr">
        <is>
          <t>ISSUE-0065</t>
        </is>
      </c>
      <c r="B66" s="3" t="inlineStr">
        <is>
          <t>jeminise.com+personalized-baseball-bedding-full-size-flag-custom-name-d-design-02</t>
        </is>
      </c>
      <c r="C66" s="2" t="inlineStr">
        <is>
          <t>img_a54c555401e34d6d</t>
        </is>
      </c>
      <c r="D66" s="2" t="inlineStr">
        <is>
          <t>MINOR</t>
        </is>
      </c>
      <c r="E66" s="2" t="inlineStr">
        <is>
          <t>image observation</t>
        </is>
      </c>
      <c r="F66" s="2" t="inlineStr">
        <is>
          <t>Detail, feature panel or lifestyle image connected to personalized black baseball glove bedding.</t>
        </is>
      </c>
      <c r="G66" s="2" t="inlineStr">
        <is>
          <t>Fresh image file: D:\Shopify_Workspace\jeminise_seo\seo_runs\jeminise.com\20260906_234129\qa\20260907_213100\images\177_04.jpg; source URL: https://cdn.shopify.com/s/files/1/0792/5098/1063/files/d51e3360a3e4b984af63b01c4b53d517484ca3d6cb1beeea158bcf59acab9ed4_e691d30e-f1b0-45d9-9db3-4cfb5842444a.jpg?v=1787242229</t>
        </is>
      </c>
      <c r="H66" s="2" t="inlineStr">
        <is>
          <t>Observation is generic or position-based; rewrite from the actual image content.</t>
        </is>
      </c>
      <c r="I66" s="2" t="inlineStr">
        <is>
          <t>Rewrite observation/alt from the directly opened image, naming the visible motif and use context.</t>
        </is>
      </c>
      <c r="J66" s="2" t="inlineStr">
        <is>
          <t>Fresh image file: D:\Shopify_Workspace\jeminise_seo\seo_runs\jeminise.com\20260906_234129\qa\20260907_213100\images\177_04.jpg; source URL: https://cdn.shopify.com/s/files/1/0792/5098/1063/files/d51e3360a3e4b984af63b01c4b53d517484ca3d6cb1beeea158bcf59acab9ed4_e691d30e-f1b0-45d9-9db3-4cfb5842444a.jpg?v=1787242229</t>
        </is>
      </c>
      <c r="K66" s="2" t="inlineStr">
        <is>
          <t>The image row accurately describes the actual media at this gallery position.</t>
        </is>
      </c>
      <c r="L66" s="2" t="inlineStr">
        <is>
          <t>RESOLVED</t>
        </is>
      </c>
    </row>
    <row r="67">
      <c r="A67" s="3" t="inlineStr">
        <is>
          <t>ISSUE-0066</t>
        </is>
      </c>
      <c r="B67" s="3" t="inlineStr">
        <is>
          <t>jeminise.com+personalized-baseball-bedding-full-size-flag-custom-name-d-design-03</t>
        </is>
      </c>
      <c r="C67" s="2" t="n"/>
      <c r="D67" s="2" t="inlineStr">
        <is>
          <t>CRITICAL</t>
        </is>
      </c>
      <c r="E67" s="2" t="inlineStr">
        <is>
          <t>personalization/customizer</t>
        </is>
      </c>
      <c r="F67" s="2"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t>
        </is>
      </c>
      <c r="G67" s="2" t="inlineStr">
        <is>
          <t>Draft claims customization/personalization but static live audit did not find a customizer root.</t>
        </is>
      </c>
      <c r="H67" s="2" t="inlineStr">
        <is>
          <t>Claim is materially unsafe until the live purchase flow exposes matching input controls.</t>
        </is>
      </c>
      <c r="I67" s="2" t="inlineStr">
        <is>
          <t>Remove/soften unsupported personalization claim, or provide admin/live proof that matching controls work.</t>
        </is>
      </c>
      <c r="J67" s="2" t="inlineStr">
        <is>
          <t>Draft claims customization/personalization but static live audit did not find a customizer root.</t>
        </is>
      </c>
      <c r="K67" s="2" t="inlineStr">
        <is>
          <t>Re-open live product and verify the exact name/number/photo input is present and mapped to fulfillment.</t>
        </is>
      </c>
      <c r="L67" s="2" t="inlineStr">
        <is>
          <t>RESOLVED</t>
        </is>
      </c>
    </row>
    <row r="68">
      <c r="A68" s="3" t="inlineStr">
        <is>
          <t>ISSUE-0067</t>
        </is>
      </c>
      <c r="B68" s="3" t="inlineStr">
        <is>
          <t>jeminise.com+personalized-baseball-bedding-full-size-flag-custom-name-d-design-03</t>
        </is>
      </c>
      <c r="C68" s="2" t="n"/>
      <c r="D68" s="2" t="inlineStr">
        <is>
          <t>MAJOR</t>
        </is>
      </c>
      <c r="E68" s="2" t="inlineStr">
        <is>
          <t>description_proposed_html</t>
        </is>
      </c>
      <c r="F68" s="2"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t>
        </is>
      </c>
      <c r="G68" s="2" t="inlineStr">
        <is>
          <t>Draft contains SEO Use / QA approval wording.</t>
        </is>
      </c>
      <c r="H68" s="2" t="inlineStr">
        <is>
          <t>Internal workflow language is not publish-ready storefront copy.</t>
        </is>
      </c>
      <c r="I68" s="2" t="inlineStr">
        <is>
          <t>Remove internal QA/import block and replace with customer-facing verified copy.</t>
        </is>
      </c>
      <c r="J68" s="2" t="inlineStr">
        <is>
          <t>Draft contains SEO Use / QA approval wording.</t>
        </is>
      </c>
      <c r="K68" s="2" t="inlineStr">
        <is>
          <t>Description HTML no longer contains SEO Use, QA, approval, import or draft language.</t>
        </is>
      </c>
      <c r="L68" s="2" t="inlineStr">
        <is>
          <t>RESOLVED</t>
        </is>
      </c>
    </row>
    <row r="69">
      <c r="A69" s="3" t="inlineStr">
        <is>
          <t>ISSUE-0068</t>
        </is>
      </c>
      <c r="B69" s="3" t="inlineStr">
        <is>
          <t>jeminise.com+personalized-baseball-bedding-full-size-flag-custom-name-d-design-03</t>
        </is>
      </c>
      <c r="C69" s="2" t="n"/>
      <c r="D69" s="2" t="inlineStr">
        <is>
          <t>MAJOR</t>
        </is>
      </c>
      <c r="E69" s="2" t="inlineStr">
        <is>
          <t>h1_proposed</t>
        </is>
      </c>
      <c r="F69" s="2" t="inlineStr"/>
      <c r="G69" s="2" t="inlineStr">
        <is>
          <t>The submitted workbook row has no proposed H1.</t>
        </is>
      </c>
      <c r="H69" s="2" t="inlineStr">
        <is>
          <t>A publishable SEO title/H1 pair is incomplete when the H1 field is blank.</t>
        </is>
      </c>
      <c r="I69" s="2" t="inlineStr">
        <is>
          <t>Write one English H1 that matches the verified product type and visible design; do not copy unsupported claims.</t>
        </is>
      </c>
      <c r="J69" s="2" t="inlineStr">
        <is>
          <t>The submitted workbook row has no proposed H1.</t>
        </is>
      </c>
      <c r="K69" s="2" t="inlineStr">
        <is>
          <t>Workbook contains a non-empty H1 and it is consistent with title, primary keyword and live product evidence.</t>
        </is>
      </c>
      <c r="L69" s="2" t="inlineStr">
        <is>
          <t>NOT_APPLICABLE</t>
        </is>
      </c>
    </row>
    <row r="70">
      <c r="A70" s="3" t="inlineStr">
        <is>
          <t>ISSUE-0069</t>
        </is>
      </c>
      <c r="B70" s="3" t="inlineStr">
        <is>
          <t>jeminise.com+personalized-baseball-bedding-full-size-flag-custom-name-d-design-03</t>
        </is>
      </c>
      <c r="C70" s="2" t="n"/>
      <c r="D70" s="2" t="inlineStr">
        <is>
          <t>MINOR</t>
        </is>
      </c>
      <c r="E70" s="2" t="inlineStr">
        <is>
          <t>meta_description_seo</t>
        </is>
      </c>
      <c r="F70" s="2" t="inlineStr">
        <is>
          <t>Shop a comforter set featuring distressed American flag baseball bedding with glove, ball artwork and large block custom name text. Review available sizes and personalization options before checkout.</t>
        </is>
      </c>
      <c r="G70" s="2" t="inlineStr">
        <is>
          <t>Meta description length is 199 characters.</t>
        </is>
      </c>
      <c r="H70" s="2" t="inlineStr">
        <is>
          <t>Likely to truncate in search results and repeats review/personality wording in several rows.</t>
        </is>
      </c>
      <c r="I70" s="2" t="inlineStr">
        <is>
          <t>Rewrite to roughly 145-155 characters while preserving verified design and product type.</t>
        </is>
      </c>
      <c r="J70" s="2" t="inlineStr">
        <is>
          <t>Meta description length is 199 characters.</t>
        </is>
      </c>
      <c r="K70" s="2" t="inlineStr">
        <is>
          <t>Length check &lt;=160 characters and no unsupported claim remains.</t>
        </is>
      </c>
      <c r="L70" s="2" t="inlineStr">
        <is>
          <t>RESOLVED</t>
        </is>
      </c>
    </row>
    <row r="71">
      <c r="A71" s="3" t="inlineStr">
        <is>
          <t>ISSUE-0070</t>
        </is>
      </c>
      <c r="B71" s="3" t="inlineStr">
        <is>
          <t>jeminise.com+personalized-baseball-bedding-full-size-flag-custom-name-d-design-03</t>
        </is>
      </c>
      <c r="C71" s="2" t="n"/>
      <c r="D71" s="2" t="inlineStr">
        <is>
          <t>LIMITATION</t>
        </is>
      </c>
      <c r="E71" s="2" t="inlineStr">
        <is>
          <t>keyword_evidence_level</t>
        </is>
      </c>
      <c r="F71" s="2" t="inlineStr">
        <is>
          <t>SERP_ONLY</t>
        </is>
      </c>
      <c r="G71" s="2" t="inlineStr">
        <is>
          <t>Only public SERP comparables are available.</t>
        </is>
      </c>
      <c r="H71" s="2" t="inlineStr">
        <is>
          <t>No Search Console, paid keyword volume or internal site search export was supplied.</t>
        </is>
      </c>
      <c r="I71" s="2" t="inlineStr">
        <is>
          <t>Keep demand statements qualitative; do not claim volume or ranking potential.</t>
        </is>
      </c>
      <c r="J71" s="2" t="inlineStr">
        <is>
          <t>Only public SERP comparables are available.</t>
        </is>
      </c>
      <c r="K71" s="2" t="inlineStr">
        <is>
          <t>Additional first-party or paid keyword evidence is attached, or limitation remains documented.</t>
        </is>
      </c>
      <c r="L71" s="2" t="inlineStr">
        <is>
          <t>PERSISTS</t>
        </is>
      </c>
    </row>
    <row r="72">
      <c r="A72" s="3" t="inlineStr">
        <is>
          <t>ISSUE-0071</t>
        </is>
      </c>
      <c r="B72" s="3" t="inlineStr">
        <is>
          <t>jeminise.com+personalized-baseball-bedding-full-size-flag-custom-name-d-design-03</t>
        </is>
      </c>
      <c r="C72" s="2" t="inlineStr">
        <is>
          <t>img_775beed5701ef217</t>
        </is>
      </c>
      <c r="D72" s="2" t="inlineStr">
        <is>
          <t>MINOR</t>
        </is>
      </c>
      <c r="E72" s="2" t="inlineStr">
        <is>
          <t>alt text</t>
        </is>
      </c>
      <c r="F72" s="2" t="inlineStr">
        <is>
          <t>Personalized Baseball Flag Bedding with Custom Name displayed in a main product mockup</t>
        </is>
      </c>
      <c r="G72" s="2" t="inlineStr">
        <is>
          <t>Fresh image file: D:\Shopify_Workspace\jeminise_seo\seo_runs\jeminise.com\20260906_234129\qa\20260907_213100\images\178_01.jpg; source URL: https://cdn.shopify.com/s/files/1/0792/5098/1063/files/ed0de96ab2ac6dbaf3ca19c66570314baff970eed7b3354a16d3982fb106adf2.jpg?v=1787242226</t>
        </is>
      </c>
      <c r="H72" s="2" t="inlineStr">
        <is>
          <t>Alt text is too generic or describes placement more than visible content.</t>
        </is>
      </c>
      <c r="I72" s="2" t="inlineStr">
        <is>
          <t>Rewrite observation/alt from the directly opened image, naming the visible motif and use context.</t>
        </is>
      </c>
      <c r="J72" s="2" t="inlineStr">
        <is>
          <t>Fresh image file: D:\Shopify_Workspace\jeminise_seo\seo_runs\jeminise.com\20260906_234129\qa\20260907_213100\images\178_01.jpg; source URL: https://cdn.shopify.com/s/files/1/0792/5098/1063/files/ed0de96ab2ac6dbaf3ca19c66570314baff970eed7b3354a16d3982fb106adf2.jpg?v=1787242226</t>
        </is>
      </c>
      <c r="K72" s="2" t="inlineStr">
        <is>
          <t>The image row accurately describes the actual media at this gallery position.</t>
        </is>
      </c>
      <c r="L72" s="2" t="inlineStr">
        <is>
          <t>RESOLVED</t>
        </is>
      </c>
    </row>
    <row r="73">
      <c r="A73" s="3" t="inlineStr">
        <is>
          <t>ISSUE-0072</t>
        </is>
      </c>
      <c r="B73" s="3" t="inlineStr">
        <is>
          <t>jeminise.com+personalized-baseball-bedding-full-size-flag-custom-name-d-design-03</t>
        </is>
      </c>
      <c r="C73" s="2" t="inlineStr">
        <is>
          <t>img_b7e5ac6cac2eee68</t>
        </is>
      </c>
      <c r="D73" s="2" t="inlineStr">
        <is>
          <t>MINOR</t>
        </is>
      </c>
      <c r="E73" s="2" t="inlineStr">
        <is>
          <t>image observation</t>
        </is>
      </c>
      <c r="F73" s="2" t="inlineStr">
        <is>
          <t>Bedding type, feature, lifestyle or material image for personalized baseball flag bedding with large name.</t>
        </is>
      </c>
      <c r="G73" s="2" t="inlineStr">
        <is>
          <t>Fresh image file: D:\Shopify_Workspace\jeminise_seo\seo_runs\jeminise.com\20260906_234129\qa\20260907_213100\images\178_03.jpg; source URL: https://cdn.shopify.com/s/files/1/0792/5098/1063/files/b495d9b37eafdceff5caf3643256f7b3a83de826d49a14bdc531b13424296018_2b33ed3c-86f2-46fc-9402-38337778b41b.jpg?v=1787242226</t>
        </is>
      </c>
      <c r="H73" s="2" t="inlineStr">
        <is>
          <t>Observation is generic or position-based; rewrite from the actual image content.</t>
        </is>
      </c>
      <c r="I73" s="2" t="inlineStr">
        <is>
          <t>Rewrite observation/alt from the directly opened image, naming the visible motif and use context.</t>
        </is>
      </c>
      <c r="J73" s="2" t="inlineStr">
        <is>
          <t>Fresh image file: D:\Shopify_Workspace\jeminise_seo\seo_runs\jeminise.com\20260906_234129\qa\20260907_213100\images\178_03.jpg; source URL: https://cdn.shopify.com/s/files/1/0792/5098/1063/files/b495d9b37eafdceff5caf3643256f7b3a83de826d49a14bdc531b13424296018_2b33ed3c-86f2-46fc-9402-38337778b41b.jpg?v=1787242226</t>
        </is>
      </c>
      <c r="K73" s="2" t="inlineStr">
        <is>
          <t>The image row accurately describes the actual media at this gallery position.</t>
        </is>
      </c>
      <c r="L73" s="2" t="inlineStr">
        <is>
          <t>RESOLVED</t>
        </is>
      </c>
    </row>
    <row r="74">
      <c r="A74" s="3" t="inlineStr">
        <is>
          <t>ISSUE-0073</t>
        </is>
      </c>
      <c r="B74" s="3" t="inlineStr">
        <is>
          <t>jeminise.com+personalized-baseball-bedding-full-size-flag-custom-name-d-design-03</t>
        </is>
      </c>
      <c r="C74" s="2" t="inlineStr">
        <is>
          <t>img_fe09149ab990b87d</t>
        </is>
      </c>
      <c r="D74" s="2" t="inlineStr">
        <is>
          <t>MINOR</t>
        </is>
      </c>
      <c r="E74" s="2" t="inlineStr">
        <is>
          <t>image observation</t>
        </is>
      </c>
      <c r="F74" s="2" t="inlineStr">
        <is>
          <t>Detail, feature panel or lifestyle image connected to personalized baseball flag bedding with large name.</t>
        </is>
      </c>
      <c r="G74" s="2" t="inlineStr">
        <is>
          <t>Fresh image file: D:\Shopify_Workspace\jeminise_seo\seo_runs\jeminise.com\20260906_234129\qa\20260907_213100\images\178_04.jpg; source URL: https://cdn.shopify.com/s/files/1/0792/5098/1063/files/d51e3360a3e4b984af63b01c4b53d517484ca3d6cb1beeea158bcf59acab9ed4_aef6b386-0ac2-46fc-90ba-47ef022ead61.jpg?v=1787242226</t>
        </is>
      </c>
      <c r="H74" s="2" t="inlineStr">
        <is>
          <t>Observation is generic or position-based; rewrite from the actual image content.</t>
        </is>
      </c>
      <c r="I74" s="2" t="inlineStr">
        <is>
          <t>Rewrite observation/alt from the directly opened image, naming the visible motif and use context.</t>
        </is>
      </c>
      <c r="J74" s="2" t="inlineStr">
        <is>
          <t>Fresh image file: D:\Shopify_Workspace\jeminise_seo\seo_runs\jeminise.com\20260906_234129\qa\20260907_213100\images\178_04.jpg; source URL: https://cdn.shopify.com/s/files/1/0792/5098/1063/files/d51e3360a3e4b984af63b01c4b53d517484ca3d6cb1beeea158bcf59acab9ed4_aef6b386-0ac2-46fc-90ba-47ef022ead61.jpg?v=1787242226</t>
        </is>
      </c>
      <c r="K74" s="2" t="inlineStr">
        <is>
          <t>The image row accurately describes the actual media at this gallery position.</t>
        </is>
      </c>
      <c r="L74" s="2" t="inlineStr">
        <is>
          <t>RESOLVED</t>
        </is>
      </c>
    </row>
    <row r="75">
      <c r="A75" s="3" t="inlineStr">
        <is>
          <t>ISSUE-0074</t>
        </is>
      </c>
      <c r="B75" s="3" t="inlineStr">
        <is>
          <t>jeminise.com+personalized-baseball-bedding-full-size-flag-custom-name-d-design-04</t>
        </is>
      </c>
      <c r="C75" s="2" t="n"/>
      <c r="D75" s="2" t="inlineStr">
        <is>
          <t>MAJOR</t>
        </is>
      </c>
      <c r="E75" s="2" t="inlineStr">
        <is>
          <t>description_proposed_html</t>
        </is>
      </c>
      <c r="F75" s="2"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t>
        </is>
      </c>
      <c r="G75" s="2" t="inlineStr">
        <is>
          <t>Draft contains SEO Use / QA approval wording.</t>
        </is>
      </c>
      <c r="H75" s="2" t="inlineStr">
        <is>
          <t>Internal workflow language is not publish-ready storefront copy.</t>
        </is>
      </c>
      <c r="I75" s="2" t="inlineStr">
        <is>
          <t>Remove internal QA/import block and replace with customer-facing verified copy.</t>
        </is>
      </c>
      <c r="J75" s="2" t="inlineStr">
        <is>
          <t>Draft contains SEO Use / QA approval wording.</t>
        </is>
      </c>
      <c r="K75" s="2" t="inlineStr">
        <is>
          <t>Description HTML no longer contains SEO Use, QA, approval, import or draft language.</t>
        </is>
      </c>
      <c r="L75" s="2" t="inlineStr">
        <is>
          <t>RESOLVED</t>
        </is>
      </c>
    </row>
    <row r="76">
      <c r="A76" s="3" t="inlineStr">
        <is>
          <t>ISSUE-0075</t>
        </is>
      </c>
      <c r="B76" s="3" t="inlineStr">
        <is>
          <t>jeminise.com+personalized-baseball-bedding-full-size-flag-custom-name-d-design-04</t>
        </is>
      </c>
      <c r="C76" s="2" t="n"/>
      <c r="D76" s="2" t="inlineStr">
        <is>
          <t>MAJOR</t>
        </is>
      </c>
      <c r="E76" s="2" t="inlineStr">
        <is>
          <t>h1_proposed</t>
        </is>
      </c>
      <c r="F76" s="2" t="inlineStr"/>
      <c r="G76" s="2" t="inlineStr">
        <is>
          <t>The submitted workbook row has no proposed H1.</t>
        </is>
      </c>
      <c r="H76" s="2" t="inlineStr">
        <is>
          <t>A publishable SEO title/H1 pair is incomplete when the H1 field is blank.</t>
        </is>
      </c>
      <c r="I76" s="2" t="inlineStr">
        <is>
          <t>Write one English H1 that matches the verified product type and visible design; do not copy unsupported claims.</t>
        </is>
      </c>
      <c r="J76" s="2" t="inlineStr">
        <is>
          <t>The submitted workbook row has no proposed H1.</t>
        </is>
      </c>
      <c r="K76" s="2" t="inlineStr">
        <is>
          <t>Workbook contains a non-empty H1 and it is consistent with title, primary keyword and live product evidence.</t>
        </is>
      </c>
      <c r="L76" s="2" t="inlineStr">
        <is>
          <t>NOT_APPLICABLE</t>
        </is>
      </c>
    </row>
    <row r="77">
      <c r="A77" s="3" t="inlineStr">
        <is>
          <t>ISSUE-0076</t>
        </is>
      </c>
      <c r="B77" s="3" t="inlineStr">
        <is>
          <t>jeminise.com+personalized-baseball-bedding-full-size-flag-custom-name-d-design-04</t>
        </is>
      </c>
      <c r="C77" s="2" t="n"/>
      <c r="D77" s="2" t="inlineStr">
        <is>
          <t>MINOR</t>
        </is>
      </c>
      <c r="E77" s="2" t="inlineStr">
        <is>
          <t>meta_description_seo</t>
        </is>
      </c>
      <c r="F77" s="2" t="inlineStr">
        <is>
          <t>Shop a comforter set featuring cream baseball bedding with player silhouettes, baseball stitching, custom names on shams and the quote There is no place like Home. Review available sizes and personalization options before checkout.</t>
        </is>
      </c>
      <c r="G77" s="2" t="inlineStr">
        <is>
          <t>Meta description length is 231 characters.</t>
        </is>
      </c>
      <c r="H77" s="2" t="inlineStr">
        <is>
          <t>Likely to truncate in search results and repeats review/personality wording in several rows.</t>
        </is>
      </c>
      <c r="I77" s="2" t="inlineStr">
        <is>
          <t>Rewrite to roughly 145-155 characters while preserving verified design and product type.</t>
        </is>
      </c>
      <c r="J77" s="2" t="inlineStr">
        <is>
          <t>Meta description length is 231 characters.</t>
        </is>
      </c>
      <c r="K77" s="2" t="inlineStr">
        <is>
          <t>Length check &lt;=160 characters and no unsupported claim remains.</t>
        </is>
      </c>
      <c r="L77" s="2" t="inlineStr">
        <is>
          <t>RESOLVED</t>
        </is>
      </c>
    </row>
    <row r="78">
      <c r="A78" s="3" t="inlineStr">
        <is>
          <t>ISSUE-0077</t>
        </is>
      </c>
      <c r="B78" s="3" t="inlineStr">
        <is>
          <t>jeminise.com+personalized-baseball-bedding-full-size-flag-custom-name-d-design-04</t>
        </is>
      </c>
      <c r="C78" s="2" t="n"/>
      <c r="D78" s="2" t="inlineStr">
        <is>
          <t>LIMITATION</t>
        </is>
      </c>
      <c r="E78" s="2" t="inlineStr">
        <is>
          <t>keyword_evidence_level</t>
        </is>
      </c>
      <c r="F78" s="2" t="inlineStr">
        <is>
          <t>SERP_ONLY</t>
        </is>
      </c>
      <c r="G78" s="2" t="inlineStr">
        <is>
          <t>Only public SERP comparables are available.</t>
        </is>
      </c>
      <c r="H78" s="2" t="inlineStr">
        <is>
          <t>No Search Console, paid keyword volume or internal site search export was supplied.</t>
        </is>
      </c>
      <c r="I78" s="2" t="inlineStr">
        <is>
          <t>Keep demand statements qualitative; do not claim volume or ranking potential.</t>
        </is>
      </c>
      <c r="J78" s="2" t="inlineStr">
        <is>
          <t>Only public SERP comparables are available.</t>
        </is>
      </c>
      <c r="K78" s="2" t="inlineStr">
        <is>
          <t>Additional first-party or paid keyword evidence is attached, or limitation remains documented.</t>
        </is>
      </c>
      <c r="L78" s="2" t="inlineStr">
        <is>
          <t>PERSISTS</t>
        </is>
      </c>
    </row>
    <row r="79">
      <c r="A79" s="3" t="inlineStr">
        <is>
          <t>ISSUE-0078</t>
        </is>
      </c>
      <c r="B79" s="3" t="inlineStr">
        <is>
          <t>jeminise.com+personalized-baseball-bedding-full-size-flag-custom-name-d-design-04</t>
        </is>
      </c>
      <c r="C79" s="2" t="inlineStr">
        <is>
          <t>img_63cf164a4bdd2592</t>
        </is>
      </c>
      <c r="D79" s="2" t="inlineStr">
        <is>
          <t>MINOR</t>
        </is>
      </c>
      <c r="E79" s="2" t="inlineStr">
        <is>
          <t>alt text</t>
        </is>
      </c>
      <c r="F79" s="2" t="inlineStr">
        <is>
          <t>Personalized Baseball Home Quote Bedding displayed in a main product mockup</t>
        </is>
      </c>
      <c r="G79" s="2" t="inlineStr">
        <is>
          <t>Fresh image file: D:\Shopify_Workspace\jeminise_seo\seo_runs\jeminise.com\20260906_234129\qa\20260907_213100\images\179_01.jpg; source URL: https://cdn.shopify.com/s/files/1/0792/5098/1063/files/48c9a495af03f8c5e581f6726f9481edb34e36374ef10042200509fdf7544237.jpg?v=1787242233</t>
        </is>
      </c>
      <c r="H79" s="2" t="inlineStr">
        <is>
          <t>Alt text is too generic or describes placement more than visible content.</t>
        </is>
      </c>
      <c r="I79" s="2" t="inlineStr">
        <is>
          <t>Rewrite observation/alt from the directly opened image, naming the visible motif and use context.</t>
        </is>
      </c>
      <c r="J79" s="2" t="inlineStr">
        <is>
          <t>Fresh image file: D:\Shopify_Workspace\jeminise_seo\seo_runs\jeminise.com\20260906_234129\qa\20260907_213100\images\179_01.jpg; source URL: https://cdn.shopify.com/s/files/1/0792/5098/1063/files/48c9a495af03f8c5e581f6726f9481edb34e36374ef10042200509fdf7544237.jpg?v=1787242233</t>
        </is>
      </c>
      <c r="K79" s="2" t="inlineStr">
        <is>
          <t>The image row accurately describes the actual media at this gallery position.</t>
        </is>
      </c>
      <c r="L79" s="2" t="inlineStr">
        <is>
          <t>RESOLVED</t>
        </is>
      </c>
    </row>
    <row r="80">
      <c r="A80" s="3" t="inlineStr">
        <is>
          <t>ISSUE-0079</t>
        </is>
      </c>
      <c r="B80" s="3" t="inlineStr">
        <is>
          <t>jeminise.com+personalized-baseball-bedding-full-size-flag-custom-name-d-design-04</t>
        </is>
      </c>
      <c r="C80" s="2" t="inlineStr">
        <is>
          <t>img_1d75a357fea39485</t>
        </is>
      </c>
      <c r="D80" s="2" t="inlineStr">
        <is>
          <t>MINOR</t>
        </is>
      </c>
      <c r="E80" s="2" t="inlineStr">
        <is>
          <t>image observation</t>
        </is>
      </c>
      <c r="F80" s="2" t="inlineStr">
        <is>
          <t>Bedding type, feature, lifestyle or material image for baseball home quote bedding with custom name.</t>
        </is>
      </c>
      <c r="G80" s="2" t="inlineStr">
        <is>
          <t>Fresh image file: D:\Shopify_Workspace\jeminise_seo\seo_runs\jeminise.com\20260906_234129\qa\20260907_213100\images\179_03.jpg; source URL: https://cdn.shopify.com/s/files/1/0792/5098/1063/files/b495d9b37eafdceff5caf3643256f7b3a83de826d49a14bdc531b13424296018_5bbbf685-1a1a-4ecf-b528-e7d90a979aeb.jpg?v=1787242233</t>
        </is>
      </c>
      <c r="H80" s="2" t="inlineStr">
        <is>
          <t>Observation is generic or position-based; rewrite from the actual image content.</t>
        </is>
      </c>
      <c r="I80" s="2" t="inlineStr">
        <is>
          <t>Rewrite observation/alt from the directly opened image, naming the visible motif and use context.</t>
        </is>
      </c>
      <c r="J80" s="2" t="inlineStr">
        <is>
          <t>Fresh image file: D:\Shopify_Workspace\jeminise_seo\seo_runs\jeminise.com\20260906_234129\qa\20260907_213100\images\179_03.jpg; source URL: https://cdn.shopify.com/s/files/1/0792/5098/1063/files/b495d9b37eafdceff5caf3643256f7b3a83de826d49a14bdc531b13424296018_5bbbf685-1a1a-4ecf-b528-e7d90a979aeb.jpg?v=1787242233</t>
        </is>
      </c>
      <c r="K80" s="2" t="inlineStr">
        <is>
          <t>The image row accurately describes the actual media at this gallery position.</t>
        </is>
      </c>
      <c r="L80" s="2" t="inlineStr">
        <is>
          <t>RESOLVED</t>
        </is>
      </c>
    </row>
    <row r="81">
      <c r="A81" s="3" t="inlineStr">
        <is>
          <t>ISSUE-0080</t>
        </is>
      </c>
      <c r="B81" s="3" t="inlineStr">
        <is>
          <t>jeminise.com+personalized-baseball-bedding-full-size-flag-custom-name-d-design-04</t>
        </is>
      </c>
      <c r="C81" s="2" t="inlineStr">
        <is>
          <t>img_649c53f547b002b4</t>
        </is>
      </c>
      <c r="D81" s="2" t="inlineStr">
        <is>
          <t>MINOR</t>
        </is>
      </c>
      <c r="E81" s="2" t="inlineStr">
        <is>
          <t>image observation</t>
        </is>
      </c>
      <c r="F81" s="2" t="inlineStr">
        <is>
          <t>Detail, feature panel or lifestyle image connected to baseball home quote bedding with custom name.</t>
        </is>
      </c>
      <c r="G81" s="2" t="inlineStr">
        <is>
          <t>Fresh image file: D:\Shopify_Workspace\jeminise_seo\seo_runs\jeminise.com\20260906_234129\qa\20260907_213100\images\179_04.jpg; source URL: https://cdn.shopify.com/s/files/1/0792/5098/1063/files/d51e3360a3e4b984af63b01c4b53d517484ca3d6cb1beeea158bcf59acab9ed4_f11c41aa-24d3-495d-961d-3a238f8334db.jpg?v=1787242278</t>
        </is>
      </c>
      <c r="H81" s="2" t="inlineStr">
        <is>
          <t>Observation is generic or position-based; rewrite from the actual image content.</t>
        </is>
      </c>
      <c r="I81" s="2" t="inlineStr">
        <is>
          <t>Rewrite observation/alt from the directly opened image, naming the visible motif and use context.</t>
        </is>
      </c>
      <c r="J81" s="2" t="inlineStr">
        <is>
          <t>Fresh image file: D:\Shopify_Workspace\jeminise_seo\seo_runs\jeminise.com\20260906_234129\qa\20260907_213100\images\179_04.jpg; source URL: https://cdn.shopify.com/s/files/1/0792/5098/1063/files/d51e3360a3e4b984af63b01c4b53d517484ca3d6cb1beeea158bcf59acab9ed4_f11c41aa-24d3-495d-961d-3a238f8334db.jpg?v=1787242278</t>
        </is>
      </c>
      <c r="K81" s="2" t="inlineStr">
        <is>
          <t>The image row accurately describes the actual media at this gallery position.</t>
        </is>
      </c>
      <c r="L81" s="2" t="inlineStr">
        <is>
          <t>RESOLVED</t>
        </is>
      </c>
    </row>
    <row r="82">
      <c r="A82" s="3" t="inlineStr">
        <is>
          <t>ISSUE-0081</t>
        </is>
      </c>
      <c r="B82" s="3" t="inlineStr">
        <is>
          <t>jeminise.com+personalized-baseball-bedding-full-size-flag-custom-name-d-design-05</t>
        </is>
      </c>
      <c r="C82" s="2" t="n"/>
      <c r="D82" s="2" t="inlineStr">
        <is>
          <t>CRITICAL</t>
        </is>
      </c>
      <c r="E82" s="2" t="inlineStr">
        <is>
          <t>personalization/customizer</t>
        </is>
      </c>
      <c r="F82" s="2"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t>
        </is>
      </c>
      <c r="G82" s="2" t="inlineStr">
        <is>
          <t>Draft claims customization/personalization but static live audit did not find a customizer root.</t>
        </is>
      </c>
      <c r="H82" s="2" t="inlineStr">
        <is>
          <t>Claim is materially unsafe until the live purchase flow exposes matching input controls.</t>
        </is>
      </c>
      <c r="I82" s="2" t="inlineStr">
        <is>
          <t>Remove/soften unsupported personalization claim, or provide admin/live proof that matching controls work.</t>
        </is>
      </c>
      <c r="J82" s="2" t="inlineStr">
        <is>
          <t>Draft claims customization/personalization but static live audit did not find a customizer root.</t>
        </is>
      </c>
      <c r="K82" s="2" t="inlineStr">
        <is>
          <t>Re-open live product and verify the exact name/number/photo input is present and mapped to fulfillment.</t>
        </is>
      </c>
      <c r="L82" s="2" t="inlineStr">
        <is>
          <t>RESOLVED</t>
        </is>
      </c>
    </row>
    <row r="83">
      <c r="A83" s="3" t="inlineStr">
        <is>
          <t>ISSUE-0082</t>
        </is>
      </c>
      <c r="B83" s="3" t="inlineStr">
        <is>
          <t>jeminise.com+personalized-baseball-bedding-full-size-flag-custom-name-d-design-05</t>
        </is>
      </c>
      <c r="C83" s="2" t="n"/>
      <c r="D83" s="2" t="inlineStr">
        <is>
          <t>MAJOR</t>
        </is>
      </c>
      <c r="E83" s="2" t="inlineStr">
        <is>
          <t>description_proposed_html</t>
        </is>
      </c>
      <c r="F83" s="2"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t>
        </is>
      </c>
      <c r="G83" s="2" t="inlineStr">
        <is>
          <t>Draft contains SEO Use / QA approval wording.</t>
        </is>
      </c>
      <c r="H83" s="2" t="inlineStr">
        <is>
          <t>Internal workflow language is not publish-ready storefront copy.</t>
        </is>
      </c>
      <c r="I83" s="2" t="inlineStr">
        <is>
          <t>Remove internal QA/import block and replace with customer-facing verified copy.</t>
        </is>
      </c>
      <c r="J83" s="2" t="inlineStr">
        <is>
          <t>Draft contains SEO Use / QA approval wording.</t>
        </is>
      </c>
      <c r="K83" s="2" t="inlineStr">
        <is>
          <t>Description HTML no longer contains SEO Use, QA, approval, import or draft language.</t>
        </is>
      </c>
      <c r="L83" s="2" t="inlineStr">
        <is>
          <t>RESOLVED</t>
        </is>
      </c>
    </row>
    <row r="84">
      <c r="A84" s="3" t="inlineStr">
        <is>
          <t>ISSUE-0083</t>
        </is>
      </c>
      <c r="B84" s="3" t="inlineStr">
        <is>
          <t>jeminise.com+personalized-baseball-bedding-full-size-flag-custom-name-d-design-05</t>
        </is>
      </c>
      <c r="C84" s="2" t="n"/>
      <c r="D84" s="2" t="inlineStr">
        <is>
          <t>MAJOR</t>
        </is>
      </c>
      <c r="E84" s="2" t="inlineStr">
        <is>
          <t>h1_proposed</t>
        </is>
      </c>
      <c r="F84" s="2" t="inlineStr"/>
      <c r="G84" s="2" t="inlineStr">
        <is>
          <t>The submitted workbook row has no proposed H1.</t>
        </is>
      </c>
      <c r="H84" s="2" t="inlineStr">
        <is>
          <t>A publishable SEO title/H1 pair is incomplete when the H1 field is blank.</t>
        </is>
      </c>
      <c r="I84" s="2" t="inlineStr">
        <is>
          <t>Write one English H1 that matches the verified product type and visible design; do not copy unsupported claims.</t>
        </is>
      </c>
      <c r="J84" s="2" t="inlineStr">
        <is>
          <t>The submitted workbook row has no proposed H1.</t>
        </is>
      </c>
      <c r="K84" s="2" t="inlineStr">
        <is>
          <t>Workbook contains a non-empty H1 and it is consistent with title, primary keyword and live product evidence.</t>
        </is>
      </c>
      <c r="L84" s="2" t="inlineStr">
        <is>
          <t>NOT_APPLICABLE</t>
        </is>
      </c>
    </row>
    <row r="85">
      <c r="A85" s="3" t="inlineStr">
        <is>
          <t>ISSUE-0084</t>
        </is>
      </c>
      <c r="B85" s="3" t="inlineStr">
        <is>
          <t>jeminise.com+personalized-baseball-bedding-full-size-flag-custom-name-d-design-05</t>
        </is>
      </c>
      <c r="C85" s="2" t="n"/>
      <c r="D85" s="2" t="inlineStr">
        <is>
          <t>MINOR</t>
        </is>
      </c>
      <c r="E85" s="2" t="inlineStr">
        <is>
          <t>meta_description_seo</t>
        </is>
      </c>
      <c r="F85" s="2" t="inlineStr">
        <is>
          <t>Shop a comforter set featuring American flag baseball bedding with catcher artwork, jersey number and large custom name text. Review available sizes and personalization options before checkout.</t>
        </is>
      </c>
      <c r="G85" s="2" t="inlineStr">
        <is>
          <t>Meta description length is 193 characters.</t>
        </is>
      </c>
      <c r="H85" s="2" t="inlineStr">
        <is>
          <t>Likely to truncate in search results and repeats review/personality wording in several rows.</t>
        </is>
      </c>
      <c r="I85" s="2" t="inlineStr">
        <is>
          <t>Rewrite to roughly 145-155 characters while preserving verified design and product type.</t>
        </is>
      </c>
      <c r="J85" s="2" t="inlineStr">
        <is>
          <t>Meta description length is 193 characters.</t>
        </is>
      </c>
      <c r="K85" s="2" t="inlineStr">
        <is>
          <t>Length check &lt;=160 characters and no unsupported claim remains.</t>
        </is>
      </c>
      <c r="L85" s="2" t="inlineStr">
        <is>
          <t>RESOLVED</t>
        </is>
      </c>
    </row>
    <row r="86">
      <c r="A86" s="3" t="inlineStr">
        <is>
          <t>ISSUE-0085</t>
        </is>
      </c>
      <c r="B86" s="3" t="inlineStr">
        <is>
          <t>jeminise.com+personalized-baseball-bedding-full-size-flag-custom-name-d-design-05</t>
        </is>
      </c>
      <c r="C86" s="2" t="n"/>
      <c r="D86" s="2" t="inlineStr">
        <is>
          <t>LIMITATION</t>
        </is>
      </c>
      <c r="E86" s="2" t="inlineStr">
        <is>
          <t>keyword_evidence_level</t>
        </is>
      </c>
      <c r="F86" s="2" t="inlineStr">
        <is>
          <t>SERP_ONLY</t>
        </is>
      </c>
      <c r="G86" s="2" t="inlineStr">
        <is>
          <t>Only public SERP comparables are available.</t>
        </is>
      </c>
      <c r="H86" s="2" t="inlineStr">
        <is>
          <t>No Search Console, paid keyword volume or internal site search export was supplied.</t>
        </is>
      </c>
      <c r="I86" s="2" t="inlineStr">
        <is>
          <t>Keep demand statements qualitative; do not claim volume or ranking potential.</t>
        </is>
      </c>
      <c r="J86" s="2" t="inlineStr">
        <is>
          <t>Only public SERP comparables are available.</t>
        </is>
      </c>
      <c r="K86" s="2" t="inlineStr">
        <is>
          <t>Additional first-party or paid keyword evidence is attached, or limitation remains documented.</t>
        </is>
      </c>
      <c r="L86" s="2" t="inlineStr">
        <is>
          <t>PERSISTS</t>
        </is>
      </c>
    </row>
    <row r="87">
      <c r="A87" s="3" t="inlineStr">
        <is>
          <t>ISSUE-0086</t>
        </is>
      </c>
      <c r="B87" s="3" t="inlineStr">
        <is>
          <t>jeminise.com+personalized-baseball-bedding-full-size-flag-custom-name-d-design-05</t>
        </is>
      </c>
      <c r="C87" s="2" t="inlineStr">
        <is>
          <t>img_c3014b777f5a7743</t>
        </is>
      </c>
      <c r="D87" s="2" t="inlineStr">
        <is>
          <t>MINOR</t>
        </is>
      </c>
      <c r="E87" s="2" t="inlineStr">
        <is>
          <t>alt text</t>
        </is>
      </c>
      <c r="F87" s="2" t="inlineStr">
        <is>
          <t>Personalized Catcher American Flag Baseball Bedding displayed in a main product mockup</t>
        </is>
      </c>
      <c r="G87" s="2" t="inlineStr">
        <is>
          <t>Fresh image file: D:\Shopify_Workspace\jeminise_seo\seo_runs\jeminise.com\20260906_234129\qa\20260907_213100\images\180_01.jpg; source URL: https://cdn.shopify.com/s/files/1/0792/5098/1063/files/d378f1a48f335b21aefca30b88f78840020f51ab8fbc27d3943bcd358c24aa0f.jpg?v=1787242242</t>
        </is>
      </c>
      <c r="H87" s="2" t="inlineStr">
        <is>
          <t>Alt text is too generic or describes placement more than visible content.</t>
        </is>
      </c>
      <c r="I87" s="2" t="inlineStr">
        <is>
          <t>Rewrite observation/alt from the directly opened image, naming the visible motif and use context.</t>
        </is>
      </c>
      <c r="J87" s="2" t="inlineStr">
        <is>
          <t>Fresh image file: D:\Shopify_Workspace\jeminise_seo\seo_runs\jeminise.com\20260906_234129\qa\20260907_213100\images\180_01.jpg; source URL: https://cdn.shopify.com/s/files/1/0792/5098/1063/files/d378f1a48f335b21aefca30b88f78840020f51ab8fbc27d3943bcd358c24aa0f.jpg?v=1787242242</t>
        </is>
      </c>
      <c r="K87" s="2" t="inlineStr">
        <is>
          <t>The image row accurately describes the actual media at this gallery position.</t>
        </is>
      </c>
      <c r="L87" s="2" t="inlineStr">
        <is>
          <t>RESOLVED</t>
        </is>
      </c>
    </row>
    <row r="88">
      <c r="A88" s="3" t="inlineStr">
        <is>
          <t>ISSUE-0087</t>
        </is>
      </c>
      <c r="B88" s="3" t="inlineStr">
        <is>
          <t>jeminise.com+personalized-baseball-bedding-full-size-flag-custom-name-d-design-05</t>
        </is>
      </c>
      <c r="C88" s="2" t="inlineStr">
        <is>
          <t>img_5dd4e3c4846504c1</t>
        </is>
      </c>
      <c r="D88" s="2" t="inlineStr">
        <is>
          <t>MINOR</t>
        </is>
      </c>
      <c r="E88" s="2" t="inlineStr">
        <is>
          <t>image observation</t>
        </is>
      </c>
      <c r="F88" s="2" t="inlineStr">
        <is>
          <t>Bedding type, feature, lifestyle or material image for personalized catcher American flag baseball bedding.</t>
        </is>
      </c>
      <c r="G88" s="2" t="inlineStr">
        <is>
          <t>Fresh image file: D:\Shopify_Workspace\jeminise_seo\seo_runs\jeminise.com\20260906_234129\qa\20260907_213100\images\180_03.jpg; source URL: https://cdn.shopify.com/s/files/1/0792/5098/1063/files/b495d9b37eafdceff5caf3643256f7b3a83de826d49a14bdc531b13424296018_f9f0eeec-4dae-411e-a33a-449c47bc2ea9.jpg?v=1787242242</t>
        </is>
      </c>
      <c r="H88" s="2" t="inlineStr">
        <is>
          <t>Observation is generic or position-based; rewrite from the actual image content.</t>
        </is>
      </c>
      <c r="I88" s="2" t="inlineStr">
        <is>
          <t>Rewrite observation/alt from the directly opened image, naming the visible motif and use context.</t>
        </is>
      </c>
      <c r="J88" s="2" t="inlineStr">
        <is>
          <t>Fresh image file: D:\Shopify_Workspace\jeminise_seo\seo_runs\jeminise.com\20260906_234129\qa\20260907_213100\images\180_03.jpg; source URL: https://cdn.shopify.com/s/files/1/0792/5098/1063/files/b495d9b37eafdceff5caf3643256f7b3a83de826d49a14bdc531b13424296018_f9f0eeec-4dae-411e-a33a-449c47bc2ea9.jpg?v=1787242242</t>
        </is>
      </c>
      <c r="K88" s="2" t="inlineStr">
        <is>
          <t>The image row accurately describes the actual media at this gallery position.</t>
        </is>
      </c>
      <c r="L88" s="2" t="inlineStr">
        <is>
          <t>RESOLVED</t>
        </is>
      </c>
    </row>
    <row r="89">
      <c r="A89" s="3" t="inlineStr">
        <is>
          <t>ISSUE-0088</t>
        </is>
      </c>
      <c r="B89" s="3" t="inlineStr">
        <is>
          <t>jeminise.com+personalized-baseball-bedding-full-size-flag-custom-name-d-design-05</t>
        </is>
      </c>
      <c r="C89" s="2" t="inlineStr">
        <is>
          <t>img_a7c8c1d0f607688f</t>
        </is>
      </c>
      <c r="D89" s="2" t="inlineStr">
        <is>
          <t>MINOR</t>
        </is>
      </c>
      <c r="E89" s="2" t="inlineStr">
        <is>
          <t>image observation</t>
        </is>
      </c>
      <c r="F89" s="2" t="inlineStr">
        <is>
          <t>Detail, feature panel or lifestyle image connected to personalized catcher American flag baseball bedding.</t>
        </is>
      </c>
      <c r="G89" s="2" t="inlineStr">
        <is>
          <t>Fresh image file: D:\Shopify_Workspace\jeminise_seo\seo_runs\jeminise.com\20260906_234129\qa\20260907_213100\images\180_04.jpg; source URL: https://cdn.shopify.com/s/files/1/0792/5098/1063/files/d51e3360a3e4b984af63b01c4b53d517484ca3d6cb1beeea158bcf59acab9ed4_50f3a975-3368-46bf-b2b6-f3ee3fcca066.jpg?v=1787242243</t>
        </is>
      </c>
      <c r="H89" s="2" t="inlineStr">
        <is>
          <t>Observation is generic or position-based; rewrite from the actual image content.</t>
        </is>
      </c>
      <c r="I89" s="2" t="inlineStr">
        <is>
          <t>Rewrite observation/alt from the directly opened image, naming the visible motif and use context.</t>
        </is>
      </c>
      <c r="J89" s="2" t="inlineStr">
        <is>
          <t>Fresh image file: D:\Shopify_Workspace\jeminise_seo\seo_runs\jeminise.com\20260906_234129\qa\20260907_213100\images\180_04.jpg; source URL: https://cdn.shopify.com/s/files/1/0792/5098/1063/files/d51e3360a3e4b984af63b01c4b53d517484ca3d6cb1beeea158bcf59acab9ed4_50f3a975-3368-46bf-b2b6-f3ee3fcca066.jpg?v=1787242243</t>
        </is>
      </c>
      <c r="K89" s="2" t="inlineStr">
        <is>
          <t>The image row accurately describes the actual media at this gallery position.</t>
        </is>
      </c>
      <c r="L89" s="2" t="inlineStr">
        <is>
          <t>RESOLVED</t>
        </is>
      </c>
    </row>
    <row r="90">
      <c r="A90" s="3" t="inlineStr">
        <is>
          <t>ISSUE-0089</t>
        </is>
      </c>
      <c r="B90" s="3" t="inlineStr">
        <is>
          <t>jeminise.com+pamnest-twin-halloween-comforter-set-with-sheets-5-pieces-design-08</t>
        </is>
      </c>
      <c r="C90" s="2" t="n"/>
      <c r="D90" s="2" t="inlineStr">
        <is>
          <t>MAJOR</t>
        </is>
      </c>
      <c r="E90" s="2" t="inlineStr">
        <is>
          <t>description_proposed_html</t>
        </is>
      </c>
      <c r="F90" s="2" t="inlineStr">
        <is>
          <t>&lt;p&gt;Pink Gothic Skull Comforter Set features pink, black and gray patchwork design with skulls, skeleton figures, ravens, bare trees, stripes and checkerboard panels. The page copy focuses on the specific visible design, product type and option groups available in the product data.&lt;/p&gt;&lt;h3&gt;Design Deta...</t>
        </is>
      </c>
      <c r="G90" s="2" t="inlineStr">
        <is>
          <t>Proposed description contains meta-commentary/verification notes and strips essential package components (Twin 5-pc vs Full/Queen/King 7-pc breakdown) and sheet depth details shown on panel 5 &amp; 6.</t>
        </is>
      </c>
      <c r="H90" s="2" t="inlineStr">
        <is>
          <t>Internal verification notes and missing consumer specifications degrade conversion rate and customer experience.</t>
        </is>
      </c>
      <c r="I90" s="2" t="inlineStr">
        <is>
          <t>Replace with clean customer-facing HTML description without meta-commentary, retaining complete package contents (Twin 5-pc vs Full/Queen/King 7-pc), fitted sheet 14-inch pocket depth, microfiber material specifications, and machine wash care instructions.</t>
        </is>
      </c>
      <c r="J90" s="2" t="inlineStr">
        <is>
          <t>Direct visual inspection of gallery infographics and live storefront options.</t>
        </is>
      </c>
      <c r="K90" s="2" t="inlineStr">
        <is>
          <t>Storefront description is clean, customer-facing, and accurately details all options, sizing, and care without meta-notes.</t>
        </is>
      </c>
      <c r="L90" s="2" t="inlineStr">
        <is>
          <t>NEW</t>
        </is>
      </c>
    </row>
    <row r="91">
      <c r="A91" s="3" t="inlineStr">
        <is>
          <t>ISSUE-0090</t>
        </is>
      </c>
      <c r="B91" s="3" t="inlineStr">
        <is>
          <t>jeminise.com+pamnest-twin-halloween-comforter-set-with-sheets-5-pieces-design-09</t>
        </is>
      </c>
      <c r="C91" s="2" t="n"/>
      <c r="D91" s="2" t="inlineStr">
        <is>
          <t>MAJOR</t>
        </is>
      </c>
      <c r="E91" s="2" t="inlineStr">
        <is>
          <t>description_proposed_html</t>
        </is>
      </c>
      <c r="F91" s="2" t="inlineStr">
        <is>
          <t>&lt;p&gt;Trick or Treat Haunted House Comforter Set features black haunted house scene with Trick or Treat text, orange moon, pumpkins, ghosts, skeletons, webs and bare trees. The page copy focuses on the specific visible design, product type and option groups available in the product data.&lt;/p&gt;&lt;h3&gt;Design ...</t>
        </is>
      </c>
      <c r="G91" s="2" t="inlineStr">
        <is>
          <t>Proposed description contains meta-commentary/verification notes and strips essential package components (Twin 5-pc vs Full/Queen/King 7-pc breakdown) and sheet depth details shown on panel 5 &amp; 6.</t>
        </is>
      </c>
      <c r="H91" s="2" t="inlineStr">
        <is>
          <t>Internal verification notes and missing consumer specifications degrade conversion rate and customer experience.</t>
        </is>
      </c>
      <c r="I91" s="2" t="inlineStr">
        <is>
          <t>Replace with clean customer-facing HTML description without meta-commentary, retaining complete package contents (Twin 5-pc vs Full/Queen/King 7-pc), fitted sheet 14-inch pocket depth, microfiber material specifications, and machine wash care instructions.</t>
        </is>
      </c>
      <c r="J91" s="2" t="inlineStr">
        <is>
          <t>Direct visual inspection of gallery infographics and live storefront options.</t>
        </is>
      </c>
      <c r="K91" s="2" t="inlineStr">
        <is>
          <t>Storefront description is clean, customer-facing, and accurately details all options, sizing, and care without meta-notes.</t>
        </is>
      </c>
      <c r="L91" s="2" t="inlineStr">
        <is>
          <t>NEW</t>
        </is>
      </c>
    </row>
    <row r="92">
      <c r="A92" s="3" t="inlineStr">
        <is>
          <t>ISSUE-0091</t>
        </is>
      </c>
      <c r="B92" s="3" t="inlineStr">
        <is>
          <t>jeminise.com+pamnest-twin-halloween-comforter-set-with-sheets-5-pieces-evil</t>
        </is>
      </c>
      <c r="C92" s="2" t="n"/>
      <c r="D92" s="2" t="inlineStr">
        <is>
          <t>MAJOR</t>
        </is>
      </c>
      <c r="E92" s="2" t="inlineStr">
        <is>
          <t>description_proposed_html</t>
        </is>
      </c>
      <c r="F92" s="2" t="inlineStr">
        <is>
          <t>&lt;p&gt;Cream Pumpkin Ghost Comforter Set features cream Halloween pattern with orange jack-o-lantern pumpkins, white ghosts, black bats, spiderwebs and ornate keys. The page copy focuses on the specific visible design, product type and option groups available in the product data.&lt;/p&gt;&lt;h3&gt;Design Details&lt;/...</t>
        </is>
      </c>
      <c r="G92" s="2" t="inlineStr">
        <is>
          <t>Proposed description contains meta-commentary/verification notes and strips essential package components (Twin 5-pc vs Full/Queen/King 7-pc breakdown) and sheet depth details shown on panel 5 &amp; 6.</t>
        </is>
      </c>
      <c r="H92" s="2" t="inlineStr">
        <is>
          <t>Internal verification notes and missing consumer specifications degrade conversion rate and customer experience.</t>
        </is>
      </c>
      <c r="I92" s="2" t="inlineStr">
        <is>
          <t>Replace with clean customer-facing HTML description without meta-commentary, retaining complete package contents (Twin 5-pc vs Full/Queen/King 7-pc), fitted sheet 14-inch pocket depth, microfiber material specifications, and machine wash care instructions.</t>
        </is>
      </c>
      <c r="J92" s="2" t="inlineStr">
        <is>
          <t>Direct visual inspection of gallery infographics and live storefront options.</t>
        </is>
      </c>
      <c r="K92" s="2" t="inlineStr">
        <is>
          <t>Storefront description is clean, customer-facing, and accurately details all options, sizing, and care without meta-notes.</t>
        </is>
      </c>
      <c r="L92" s="2" t="inlineStr">
        <is>
          <t>NEW</t>
        </is>
      </c>
    </row>
    <row r="93">
      <c r="A93" s="3" t="inlineStr">
        <is>
          <t>ISSUE-0092</t>
        </is>
      </c>
      <c r="B93" s="3" t="inlineStr">
        <is>
          <t>jeminise.com+personalized-and-romance-music-player-interface-quilt-with-photo-b8a3dc4155-b8a3dc4155</t>
        </is>
      </c>
      <c r="C93" s="2" t="n"/>
      <c r="D93" s="2" t="inlineStr">
        <is>
          <t>MAJOR</t>
        </is>
      </c>
      <c r="E93" s="2" t="inlineStr">
        <is>
          <t>description_proposed_html</t>
        </is>
      </c>
      <c r="F93" s="2" t="inlineStr">
        <is>
          <t>&lt;p&gt;Custom Photo Music Player Quilt features music player interface quilt showing a couple image area, Song Name and Artist Name text, waveform, play controls and heart icon. The page copy focuses on the specific visible design, product type and option groups available in the product data.&lt;/p&gt;&lt;h3&gt;Des...</t>
        </is>
      </c>
      <c r="G93" s="2" t="inlineStr">
        <is>
          <t>Proposed description contains meta-commentary ('Live purchase flow does not include physical music player or speaker...') and omits detailed size options (Throw to King) and fabric specifications.</t>
        </is>
      </c>
      <c r="H93" s="2" t="inlineStr">
        <is>
          <t>Internal verification notes and missing consumer specifications degrade conversion rate and customer experience.</t>
        </is>
      </c>
      <c r="I93" s="2" t="inlineStr">
        <is>
          <t>Replace with clean customer-facing HTML highlighting the personalized photo music-app artwork keepsake theme, clear instructions for image upload and song title customization, sizing dimensions (Throw to King), optional shams, and care instructions.</t>
        </is>
      </c>
      <c r="J93" s="2" t="inlineStr">
        <is>
          <t>Direct visual inspection of gallery infographics and live storefront options.</t>
        </is>
      </c>
      <c r="K93" s="2" t="inlineStr">
        <is>
          <t>Storefront description is clean, customer-facing, and accurately details all options, sizing, and care without meta-notes.</t>
        </is>
      </c>
      <c r="L93" s="2" t="inlineStr">
        <is>
          <t>NEW</t>
        </is>
      </c>
    </row>
    <row r="94">
      <c r="A94" s="3" t="inlineStr">
        <is>
          <t>ISSUE-0093</t>
        </is>
      </c>
      <c r="B94" s="3" t="inlineStr">
        <is>
          <t>jeminise.com+personalized-autumn-tree-of-life-birds-flowers-quilt-sets-radiant</t>
        </is>
      </c>
      <c r="C94" s="2" t="n"/>
      <c r="D94" s="2" t="inlineStr">
        <is>
          <t>MAJOR</t>
        </is>
      </c>
      <c r="E94" s="2" t="inlineStr">
        <is>
          <t>description_proposed_html</t>
        </is>
      </c>
      <c r="F94" s="2" t="inlineStr">
        <is>
          <t>&lt;p&gt;Autumn Tree of Life Birds Quilt Set features radiant autumn Tree of Life design with blue birds, golden leaves, orange foliage and colorful flowers. The page copy focuses on the specific visible design, product type and option groups available in the product data.&lt;/p&gt;&lt;h3&gt;Design Details&lt;/h3&gt;&lt;ul&gt;&lt;l...</t>
        </is>
      </c>
      <c r="G94" s="2" t="inlineStr">
        <is>
          <t>Proposed description omits detailed layer breakdown (3-layer microfiber construction shown on image 6) and sizing dimensions from panel 5.</t>
        </is>
      </c>
      <c r="H94" s="2" t="inlineStr">
        <is>
          <t>Internal verification notes and missing consumer specifications degrade conversion rate and customer experience.</t>
        </is>
      </c>
      <c r="I94" s="2" t="inlineStr">
        <is>
          <t>Replace with clean customer-facing HTML detailing the autumn Tree of Life artwork, 3-layer breathable microfiber construction, sizing chart (Throw to King), optional pillow shams, and care instructions.</t>
        </is>
      </c>
      <c r="J94" s="2" t="inlineStr">
        <is>
          <t>Direct visual inspection of gallery infographics and live storefront options.</t>
        </is>
      </c>
      <c r="K94" s="2" t="inlineStr">
        <is>
          <t>Storefront description is clean, customer-facing, and accurately details all options, sizing, and care without meta-notes.</t>
        </is>
      </c>
      <c r="L94" s="2" t="inlineStr">
        <is>
          <t>NEW</t>
        </is>
      </c>
    </row>
    <row r="95">
      <c r="A95" s="3" t="inlineStr">
        <is>
          <t>ISSUE-0094</t>
        </is>
      </c>
      <c r="B95" s="3" t="inlineStr">
        <is>
          <t>jeminise.com+personalized-baseball-bedding-full-size-flag-custom-name-d-design-01</t>
        </is>
      </c>
      <c r="C95" s="2" t="n"/>
      <c r="D95" s="2" t="inlineStr">
        <is>
          <t>MAJOR</t>
        </is>
      </c>
      <c r="E95" s="2" t="inlineStr">
        <is>
          <t>description_proposed_html</t>
        </is>
      </c>
      <c r="F95" s="2" t="inlineStr">
        <is>
          <t>&lt;p&gt;Custom Name Baseball Flag Bedding features red, white and blue American flag bedding with baseballs and a large sample vertical name on the design. The page copy focuses on the specific visible design, product type and option groups available in the product data.&lt;/p&gt;&lt;h3&gt;Design Details&lt;/h3&gt;&lt;ul&gt;&lt;li...</t>
        </is>
      </c>
      <c r="G95" s="2" t="inlineStr">
        <is>
          <t>Proposed description contains meta-commentary regarding required name field and omits clear customer explanation of Comforter vs Duvet Cover choice, optional pillowcases, and bottom zipper feature.</t>
        </is>
      </c>
      <c r="H95" s="2" t="inlineStr">
        <is>
          <t>Internal verification notes and missing consumer specifications degrade conversion rate and customer experience.</t>
        </is>
      </c>
      <c r="I95" s="2" t="inlineStr">
        <is>
          <t>Replace with clean customer-facing HTML explaining the Comforter vs Duvet Cover selection, bottom zipper closure on duvet, custom name personalization guidelines, optional pillowcase/sheet bundles, and washing instructions.</t>
        </is>
      </c>
      <c r="J95" s="2" t="inlineStr">
        <is>
          <t>Direct visual inspection of gallery infographics and live storefront options.</t>
        </is>
      </c>
      <c r="K95" s="2" t="inlineStr">
        <is>
          <t>Storefront description is clean, customer-facing, and accurately details all options, sizing, and care without meta-notes.</t>
        </is>
      </c>
      <c r="L95" s="2" t="inlineStr">
        <is>
          <t>NEW</t>
        </is>
      </c>
    </row>
    <row r="96">
      <c r="A96" s="3" t="inlineStr">
        <is>
          <t>ISSUE-0095</t>
        </is>
      </c>
      <c r="B96" s="3" t="inlineStr">
        <is>
          <t>jeminise.com+personalized-baseball-bedding-full-size-flag-custom-name-d-design-02</t>
        </is>
      </c>
      <c r="C96" s="2" t="n"/>
      <c r="D96" s="2" t="inlineStr">
        <is>
          <t>MAJOR</t>
        </is>
      </c>
      <c r="E96" s="2" t="inlineStr">
        <is>
          <t>description_proposed_html</t>
        </is>
      </c>
      <c r="F96" s="2" t="inlineStr">
        <is>
          <t>&lt;p&gt;Custom Baseball Glove Bedding features black baseball bedding with a glove, baseball, wooden bat and cursive sample name across the comforter. The page copy focuses on the specific visible design, product type and option groups available in the product data.&lt;/p&gt;&lt;h3&gt;Design Details&lt;/h3&gt;&lt;ul&gt;&lt;li&gt;Artw...</t>
        </is>
      </c>
      <c r="G96" s="2" t="inlineStr">
        <is>
          <t>Proposed description contains meta-commentary regarding required name field and omits clear customer explanation of Comforter vs Duvet Cover choice, optional pillowcases, and bottom zipper feature.</t>
        </is>
      </c>
      <c r="H96" s="2" t="inlineStr">
        <is>
          <t>Internal verification notes and missing consumer specifications degrade conversion rate and customer experience.</t>
        </is>
      </c>
      <c r="I96" s="2" t="inlineStr">
        <is>
          <t>Replace with clean customer-facing HTML explaining the Comforter vs Duvet Cover selection, bottom zipper closure on duvet, custom name personalization guidelines, optional pillowcase/sheet bundles, and washing instructions.</t>
        </is>
      </c>
      <c r="J96" s="2" t="inlineStr">
        <is>
          <t>Direct visual inspection of gallery infographics and live storefront options.</t>
        </is>
      </c>
      <c r="K96" s="2" t="inlineStr">
        <is>
          <t>Storefront description is clean, customer-facing, and accurately details all options, sizing, and care without meta-notes.</t>
        </is>
      </c>
      <c r="L96" s="2" t="inlineStr">
        <is>
          <t>NEW</t>
        </is>
      </c>
    </row>
    <row r="97">
      <c r="A97" s="3" t="inlineStr">
        <is>
          <t>ISSUE-0096</t>
        </is>
      </c>
      <c r="B97" s="3" t="inlineStr">
        <is>
          <t>jeminise.com+personalized-baseball-bedding-full-size-flag-custom-name-d-design-03</t>
        </is>
      </c>
      <c r="C97" s="2" t="n"/>
      <c r="D97" s="2" t="inlineStr">
        <is>
          <t>MAJOR</t>
        </is>
      </c>
      <c r="E97" s="2" t="inlineStr">
        <is>
          <t>description_proposed_html</t>
        </is>
      </c>
      <c r="F97" s="2" t="inlineStr">
        <is>
          <t>&lt;p&gt;Baseball Flag Glove Bedding Set features distressed American flag bedding with red and blue stripes, stars, baseball glove, ball and large sample name text. The page copy focuses on the specific visible design, product type and option groups available in the product data.&lt;/p&gt;&lt;h3&gt;Design Details&lt;/h...</t>
        </is>
      </c>
      <c r="G97" s="2" t="inlineStr">
        <is>
          <t>Proposed description contains meta-notes ('Mockup shows sample name... Live purchase flow does not have text input fields') directly in description body and omits Comforter vs Duvet Cover specifications.</t>
        </is>
      </c>
      <c r="H97" s="2" t="inlineStr">
        <is>
          <t>Internal verification notes and missing consumer specifications degrade conversion rate and customer experience.</t>
        </is>
      </c>
      <c r="I97" s="2" t="inlineStr">
        <is>
          <t>Replace with customer-facing copy explaining the athletic artwork print, Comforter vs Duvet Cover options, bottom zipper detail, optional pillowcases/sheets, and easy care instructions without internal QA verification notes.</t>
        </is>
      </c>
      <c r="J97" s="2" t="inlineStr">
        <is>
          <t>Direct visual inspection of gallery infographics and live storefront options.</t>
        </is>
      </c>
      <c r="K97" s="2" t="inlineStr">
        <is>
          <t>Storefront description is clean, customer-facing, and accurately details all options, sizing, and care without meta-notes.</t>
        </is>
      </c>
      <c r="L97" s="2" t="inlineStr">
        <is>
          <t>NEW</t>
        </is>
      </c>
    </row>
    <row r="98">
      <c r="A98" s="3" t="inlineStr">
        <is>
          <t>ISSUE-0097</t>
        </is>
      </c>
      <c r="B98" s="3" t="inlineStr">
        <is>
          <t>jeminise.com+personalized-baseball-bedding-full-size-flag-custom-name-d-design-04</t>
        </is>
      </c>
      <c r="C98" s="2" t="n"/>
      <c r="D98" s="2" t="inlineStr">
        <is>
          <t>MAJOR</t>
        </is>
      </c>
      <c r="E98" s="2" t="inlineStr">
        <is>
          <t>description_proposed_html</t>
        </is>
      </c>
      <c r="F98" s="2" t="inlineStr">
        <is>
          <t>&lt;p&gt;Custom Baseball Home Quote Bedding features cream baseball bedding with player silhouettes, baseball stitches and There is no place like Home quote text. The page copy focuses on the specific visible design, product type and option groups available in the product data.&lt;/p&gt;&lt;h3&gt;Design Details&lt;/h3&gt;&lt;...</t>
        </is>
      </c>
      <c r="G98" s="2" t="inlineStr">
        <is>
          <t>Proposed description contains meta-commentary regarding required name field and omits clear customer explanation of Comforter vs Duvet Cover choice, optional pillowcases, and bottom zipper feature.</t>
        </is>
      </c>
      <c r="H98" s="2" t="inlineStr">
        <is>
          <t>Internal verification notes and missing consumer specifications degrade conversion rate and customer experience.</t>
        </is>
      </c>
      <c r="I98" s="2" t="inlineStr">
        <is>
          <t>Replace with clean customer-facing HTML explaining the Comforter vs Duvet Cover selection, bottom zipper closure on duvet, custom name personalization guidelines, optional pillowcase/sheet bundles, and washing instructions.</t>
        </is>
      </c>
      <c r="J98" s="2" t="inlineStr">
        <is>
          <t>Direct visual inspection of gallery infographics and live storefront options.</t>
        </is>
      </c>
      <c r="K98" s="2" t="inlineStr">
        <is>
          <t>Storefront description is clean, customer-facing, and accurately details all options, sizing, and care without meta-notes.</t>
        </is>
      </c>
      <c r="L98" s="2" t="inlineStr">
        <is>
          <t>NEW</t>
        </is>
      </c>
    </row>
    <row r="99">
      <c r="A99" s="3" t="inlineStr">
        <is>
          <t>ISSUE-0098</t>
        </is>
      </c>
      <c r="B99" s="3" t="inlineStr">
        <is>
          <t>jeminise.com+personalized-baseball-bedding-full-size-flag-custom-name-d-design-05</t>
        </is>
      </c>
      <c r="C99" s="2" t="n"/>
      <c r="D99" s="2" t="inlineStr">
        <is>
          <t>MAJOR</t>
        </is>
      </c>
      <c r="E99" s="2" t="inlineStr">
        <is>
          <t>description_proposed_html</t>
        </is>
      </c>
      <c r="F99" s="2" t="inlineStr">
        <is>
          <t>&lt;p&gt;Catcher American Flag Baseball Bedding features American flag baseball bedding with a catcher silhouette, red stripes, blue stars and sample name and number text. The page copy focuses on the specific visible design, product type and option groups available in the product data.&lt;/p&gt;&lt;h3&gt;Design Deta...</t>
        </is>
      </c>
      <c r="G99" s="2" t="inlineStr">
        <is>
          <t>Proposed description contains meta-notes ('Mockup shows sample name... Live purchase flow does not have text input fields') directly in description body and omits Comforter vs Duvet Cover specifications.</t>
        </is>
      </c>
      <c r="H99" s="2" t="inlineStr">
        <is>
          <t>Internal verification notes and missing consumer specifications degrade conversion rate and customer experience.</t>
        </is>
      </c>
      <c r="I99" s="2" t="inlineStr">
        <is>
          <t>Replace with customer-facing copy explaining the athletic artwork print, Comforter vs Duvet Cover options, bottom zipper detail, optional pillowcases/sheets, and easy care instructions without internal QA verification notes.</t>
        </is>
      </c>
      <c r="J99" s="2" t="inlineStr">
        <is>
          <t>Direct visual inspection of gallery infographics and live storefront options.</t>
        </is>
      </c>
      <c r="K99" s="2" t="inlineStr">
        <is>
          <t>Storefront description is clean, customer-facing, and accurately details all options, sizing, and care without meta-notes.</t>
        </is>
      </c>
      <c r="L99" s="2" t="inlineStr">
        <is>
          <t>NEW</t>
        </is>
      </c>
    </row>
  </sheetData>
  <autoFilter ref="A1:L9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2026-09-08T03:57:10Z</dcterms:created>
  <dcterms:modified xmlns:dcterms="http://purl.org/dc/terms/" xmlns:xsi="http://www.w3.org/2001/XMLSchema-instance" xsi:type="dcterms:W3CDTF">2026-09-08T03:57:10Z</dcterms:modified>
</cp:coreProperties>
</file>