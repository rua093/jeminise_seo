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'QA_Images'!$A$1:$X$63</definedName>
    <definedName name="_xlnm.Print_Titles" localSheetId="3">'QA_Images'!$1:$1</definedName>
    <definedName name="_xlnm._FilterDatabase" localSheetId="4" hidden="1">'QA_Issues'!$A$1:$K$5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norse-mythology-raven-within-celtic-knot-frame-quilt-906ee24d68-906ee24d68" TargetMode="External" Id="rId1"/><Relationship Type="http://schemas.openxmlformats.org/officeDocument/2006/relationships/hyperlink" Target="https://jeminise.com/products/norse-mythology-viking-shield-with-crossed-axes-quilt-ca630a284e-ca630a284e" TargetMode="External" Id="rId2"/><Relationship Type="http://schemas.openxmlformats.org/officeDocument/2006/relationships/hyperlink" Target="https://jeminise.com/products/owl-patchwork-pattern-quilt-set-animals-quilt-set-style-owl-nights" TargetMode="External" Id="rId3"/><Relationship Type="http://schemas.openxmlformats.org/officeDocument/2006/relationships/hyperlink" Target="https://jeminise.com/products/pamnest-twin-halloween-comforter-set-with-sheets-5-pieces-design-01" TargetMode="External" Id="rId4"/><Relationship Type="http://schemas.openxmlformats.org/officeDocument/2006/relationships/hyperlink" Target="https://jeminise.com/products/pamnest-twin-halloween-comforter-set-with-sheets-5-pieces-design-02" TargetMode="External" Id="rId5"/><Relationship Type="http://schemas.openxmlformats.org/officeDocument/2006/relationships/hyperlink" Target="https://jeminise.com/products/pamnest-twin-halloween-comforter-set-with-sheets-5-pieces-design-03" TargetMode="External" Id="rId6"/><Relationship Type="http://schemas.openxmlformats.org/officeDocument/2006/relationships/hyperlink" Target="https://jeminise.com/products/pamnest-twin-halloween-comforter-set-with-sheets-5-pieces-design-04" TargetMode="External" Id="rId7"/><Relationship Type="http://schemas.openxmlformats.org/officeDocument/2006/relationships/hyperlink" Target="https://jeminise.com/products/pamnest-twin-halloween-comforter-set-with-sheets-5-pieces-design-05" TargetMode="External" Id="rId8"/><Relationship Type="http://schemas.openxmlformats.org/officeDocument/2006/relationships/hyperlink" Target="https://jeminise.com/products/pamnest-twin-halloween-comforter-set-with-sheets-5-pieces-design-06" TargetMode="External" Id="rId9"/><Relationship Type="http://schemas.openxmlformats.org/officeDocument/2006/relationships/hyperlink" Target="https://jeminise.com/products/pamnest-twin-halloween-comforter-set-with-sheets-5-pieces-design-07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f5df6ea5afdf042e566b7af241d22bd6929357120dcb00f0bc65a8916d20bdd1.jpg?v=1785104402" TargetMode="External" Id="rId1"/><Relationship Type="http://schemas.openxmlformats.org/officeDocument/2006/relationships/hyperlink" Target="https://cdn.shopify.com/s/files/1/0792/5098/1063/files/f5df6ea5afdf042e566b7af241d22bd6929357120dcb00f0bc65a8916d20bdd1.jpg?v=1785104402" TargetMode="External" Id="rId2"/><Relationship Type="http://schemas.openxmlformats.org/officeDocument/2006/relationships/hyperlink" Target="https://cdn.shopify.com/s/files/1/0792/5098/1063/files/bbce88f2a66fabf46529458b35db7d33399da290b604d17e49b58d179adc7c2a.jpg?v=1785104402" TargetMode="External" Id="rId3"/><Relationship Type="http://schemas.openxmlformats.org/officeDocument/2006/relationships/hyperlink" Target="https://cdn.shopify.com/s/files/1/0792/5098/1063/files/bbce88f2a66fabf46529458b35db7d33399da290b604d17e49b58d179adc7c2a.jpg?v=1785104402" TargetMode="External" Id="rId4"/><Relationship Type="http://schemas.openxmlformats.org/officeDocument/2006/relationships/hyperlink" Target="https://cdn.shopify.com/s/files/1/0792/5098/1063/files/27dd51b6fe9a32b87ac804b19987fb134fc4570b327d844efdae0740d4303aab.jpg?v=1785104402" TargetMode="External" Id="rId5"/><Relationship Type="http://schemas.openxmlformats.org/officeDocument/2006/relationships/hyperlink" Target="https://cdn.shopify.com/s/files/1/0792/5098/1063/files/27dd51b6fe9a32b87ac804b19987fb134fc4570b327d844efdae0740d4303aab.jpg?v=1785104402" TargetMode="External" Id="rId6"/><Relationship Type="http://schemas.openxmlformats.org/officeDocument/2006/relationships/hyperlink" Target="https://cdn.shopify.com/s/files/1/0792/5098/1063/files/c63b8bede4de84261bd2bc195d98188fb288eba460ea7d07b0ef625dba18ed45.jpg?v=1785104402" TargetMode="External" Id="rId7"/><Relationship Type="http://schemas.openxmlformats.org/officeDocument/2006/relationships/hyperlink" Target="https://cdn.shopify.com/s/files/1/0792/5098/1063/files/c63b8bede4de84261bd2bc195d98188fb288eba460ea7d07b0ef625dba18ed45.jpg?v=1785104402" TargetMode="External" Id="rId8"/><Relationship Type="http://schemas.openxmlformats.org/officeDocument/2006/relationships/hyperlink" Target="https://cdn.shopify.com/s/files/1/0792/5098/1063/files/bbe527fc7f68c31328261559b7b766ec905010bb91f9515c6d557dd1b085f14b.jpg?v=1785104402" TargetMode="External" Id="rId9"/><Relationship Type="http://schemas.openxmlformats.org/officeDocument/2006/relationships/hyperlink" Target="https://cdn.shopify.com/s/files/1/0792/5098/1063/files/bbe527fc7f68c31328261559b7b766ec905010bb91f9515c6d557dd1b085f14b.jpg?v=1785104402" TargetMode="External" Id="rId10"/><Relationship Type="http://schemas.openxmlformats.org/officeDocument/2006/relationships/hyperlink" Target="https://cdn.shopify.com/s/files/1/0792/5098/1063/files/5cc9f4f96bdb0280d8a3c4b98775690e61d79ad5625e9f20a101536548fe3b0e.jpg?v=1785104402" TargetMode="External" Id="rId11"/><Relationship Type="http://schemas.openxmlformats.org/officeDocument/2006/relationships/hyperlink" Target="https://cdn.shopify.com/s/files/1/0792/5098/1063/files/5cc9f4f96bdb0280d8a3c4b98775690e61d79ad5625e9f20a101536548fe3b0e.jpg?v=1785104402" TargetMode="External" Id="rId12"/><Relationship Type="http://schemas.openxmlformats.org/officeDocument/2006/relationships/hyperlink" Target="https://cdn.shopify.com/s/files/1/0792/5098/1063/files/31facc27e0d676d03e5239357f2912111f3e0640688af1ac241589e99b6705fb.jpg?v=1785104402" TargetMode="External" Id="rId13"/><Relationship Type="http://schemas.openxmlformats.org/officeDocument/2006/relationships/hyperlink" Target="https://cdn.shopify.com/s/files/1/0792/5098/1063/files/31facc27e0d676d03e5239357f2912111f3e0640688af1ac241589e99b6705fb.jpg?v=1785104402" TargetMode="External" Id="rId14"/><Relationship Type="http://schemas.openxmlformats.org/officeDocument/2006/relationships/hyperlink" Target="https://cdn.shopify.com/s/files/1/0792/5098/1063/files/a0bb7b2e86bb5a07b6f85d9046b813c1954eadf01e22807354afd66a9ebfdea6.jpg?v=1785104553" TargetMode="External" Id="rId15"/><Relationship Type="http://schemas.openxmlformats.org/officeDocument/2006/relationships/hyperlink" Target="https://cdn.shopify.com/s/files/1/0792/5098/1063/files/a0bb7b2e86bb5a07b6f85d9046b813c1954eadf01e22807354afd66a9ebfdea6.jpg?v=1785104553" TargetMode="External" Id="rId16"/><Relationship Type="http://schemas.openxmlformats.org/officeDocument/2006/relationships/hyperlink" Target="https://cdn.shopify.com/s/files/1/0792/5098/1063/files/cdc35c826f340b6635063d4154a0b5dfe33f71c7ea05f07fdfc6546f09c22e28.jpg?v=1785104553" TargetMode="External" Id="rId17"/><Relationship Type="http://schemas.openxmlformats.org/officeDocument/2006/relationships/hyperlink" Target="https://cdn.shopify.com/s/files/1/0792/5098/1063/files/cdc35c826f340b6635063d4154a0b5dfe33f71c7ea05f07fdfc6546f09c22e28.jpg?v=1785104553" TargetMode="External" Id="rId18"/><Relationship Type="http://schemas.openxmlformats.org/officeDocument/2006/relationships/hyperlink" Target="https://cdn.shopify.com/s/files/1/0792/5098/1063/files/7127a02e884cad7c5184ce1b2946ac662960d39acad6edb3b8a21f844cc7fb83.jpg?v=1785104553" TargetMode="External" Id="rId19"/><Relationship Type="http://schemas.openxmlformats.org/officeDocument/2006/relationships/hyperlink" Target="https://cdn.shopify.com/s/files/1/0792/5098/1063/files/7127a02e884cad7c5184ce1b2946ac662960d39acad6edb3b8a21f844cc7fb83.jpg?v=1785104553" TargetMode="External" Id="rId20"/><Relationship Type="http://schemas.openxmlformats.org/officeDocument/2006/relationships/hyperlink" Target="https://cdn.shopify.com/s/files/1/0792/5098/1063/files/e1bca6ad0b85bcfa2b85d2a0322d79680fde7448a15adec1757a81eb07c4bf6f.jpg?v=1785104553" TargetMode="External" Id="rId21"/><Relationship Type="http://schemas.openxmlformats.org/officeDocument/2006/relationships/hyperlink" Target="https://cdn.shopify.com/s/files/1/0792/5098/1063/files/e1bca6ad0b85bcfa2b85d2a0322d79680fde7448a15adec1757a81eb07c4bf6f.jpg?v=1785104553" TargetMode="External" Id="rId22"/><Relationship Type="http://schemas.openxmlformats.org/officeDocument/2006/relationships/hyperlink" Target="https://cdn.shopify.com/s/files/1/0792/5098/1063/files/77fb3f8c371cf27dd16588f3cf56fb24c12deaa2922c16412de893b0e53890dd.jpg?v=1785104553" TargetMode="External" Id="rId23"/><Relationship Type="http://schemas.openxmlformats.org/officeDocument/2006/relationships/hyperlink" Target="https://cdn.shopify.com/s/files/1/0792/5098/1063/files/77fb3f8c371cf27dd16588f3cf56fb24c12deaa2922c16412de893b0e53890dd.jpg?v=1785104553" TargetMode="External" Id="rId24"/><Relationship Type="http://schemas.openxmlformats.org/officeDocument/2006/relationships/hyperlink" Target="https://cdn.shopify.com/s/files/1/0792/5098/1063/files/ca05f793ad1004a8bcf1b14bc5f968c4664bf701819e6903e275f14d034862a6.jpg?v=1785104553" TargetMode="External" Id="rId25"/><Relationship Type="http://schemas.openxmlformats.org/officeDocument/2006/relationships/hyperlink" Target="https://cdn.shopify.com/s/files/1/0792/5098/1063/files/ca05f793ad1004a8bcf1b14bc5f968c4664bf701819e6903e275f14d034862a6.jpg?v=1785104553" TargetMode="External" Id="rId26"/><Relationship Type="http://schemas.openxmlformats.org/officeDocument/2006/relationships/hyperlink" Target="https://cdn.shopify.com/s/files/1/0792/5098/1063/files/b002678b1b933df28fb349bc6ff5667b37b28acab3f3e263980071a114b93302.jpg?v=1785104552" TargetMode="External" Id="rId27"/><Relationship Type="http://schemas.openxmlformats.org/officeDocument/2006/relationships/hyperlink" Target="https://cdn.shopify.com/s/files/1/0792/5098/1063/files/b002678b1b933df28fb349bc6ff5667b37b28acab3f3e263980071a114b93302.jpg?v=1785104552" TargetMode="External" Id="rId28"/><Relationship Type="http://schemas.openxmlformats.org/officeDocument/2006/relationships/hyperlink" Target="https://cdn.shopify.com/s/files/1/0792/5098/1063/files/b12b5b630d5361e095b70248a7029d44aa83474cedccaae8a99938e5a82aa9e5.jpg?v=1787233687" TargetMode="External" Id="rId29"/><Relationship Type="http://schemas.openxmlformats.org/officeDocument/2006/relationships/hyperlink" Target="https://cdn.shopify.com/s/files/1/0792/5098/1063/files/b12b5b630d5361e095b70248a7029d44aa83474cedccaae8a99938e5a82aa9e5.jpg?v=1787233687" TargetMode="External" Id="rId30"/><Relationship Type="http://schemas.openxmlformats.org/officeDocument/2006/relationships/hyperlink" Target="https://cdn.shopify.com/s/files/1/0792/5098/1063/files/41113dc58569ae2adc6d3dde435731253d18a0408ae05d7000f8517dee0c01a4.jpg?v=1787233687" TargetMode="External" Id="rId31"/><Relationship Type="http://schemas.openxmlformats.org/officeDocument/2006/relationships/hyperlink" Target="https://cdn.shopify.com/s/files/1/0792/5098/1063/files/41113dc58569ae2adc6d3dde435731253d18a0408ae05d7000f8517dee0c01a4.jpg?v=1787233687" TargetMode="External" Id="rId32"/><Relationship Type="http://schemas.openxmlformats.org/officeDocument/2006/relationships/hyperlink" Target="https://cdn.shopify.com/s/files/1/0792/5098/1063/files/fd5e9ddd0678c2d4c24c4bd3dfda693b589b9dd151f9f214cdc48d107b8e6592.jpg?v=1787233688" TargetMode="External" Id="rId33"/><Relationship Type="http://schemas.openxmlformats.org/officeDocument/2006/relationships/hyperlink" Target="https://cdn.shopify.com/s/files/1/0792/5098/1063/files/fd5e9ddd0678c2d4c24c4bd3dfda693b589b9dd151f9f214cdc48d107b8e6592.jpg?v=1787233688" TargetMode="External" Id="rId34"/><Relationship Type="http://schemas.openxmlformats.org/officeDocument/2006/relationships/hyperlink" Target="https://cdn.shopify.com/s/files/1/0792/5098/1063/files/ce286ca93c0b88510ca875a37e7b75b32cb61e52da352d95c54cd2628b51fbf3.jpg?v=1787233687" TargetMode="External" Id="rId35"/><Relationship Type="http://schemas.openxmlformats.org/officeDocument/2006/relationships/hyperlink" Target="https://cdn.shopify.com/s/files/1/0792/5098/1063/files/ce286ca93c0b88510ca875a37e7b75b32cb61e52da352d95c54cd2628b51fbf3.jpg?v=1787233687" TargetMode="External" Id="rId36"/><Relationship Type="http://schemas.openxmlformats.org/officeDocument/2006/relationships/hyperlink" Target="https://cdn.shopify.com/s/files/1/0792/5098/1063/files/dac8033ccef3e1ff953003c53d9a62b59fa1e74b2ab002ec0c056348688e6569.jpg?v=1787233688" TargetMode="External" Id="rId37"/><Relationship Type="http://schemas.openxmlformats.org/officeDocument/2006/relationships/hyperlink" Target="https://cdn.shopify.com/s/files/1/0792/5098/1063/files/dac8033ccef3e1ff953003c53d9a62b59fa1e74b2ab002ec0c056348688e6569.jpg?v=1787233688" TargetMode="External" Id="rId38"/><Relationship Type="http://schemas.openxmlformats.org/officeDocument/2006/relationships/hyperlink" Target="https://cdn.shopify.com/s/files/1/0792/5098/1063/files/f095089ab7e2322f9d282beb998fa6a7ca93bd23ffea553618ab9ab073cac9e5.jpg?v=1787233687" TargetMode="External" Id="rId39"/><Relationship Type="http://schemas.openxmlformats.org/officeDocument/2006/relationships/hyperlink" Target="https://cdn.shopify.com/s/files/1/0792/5098/1063/files/f095089ab7e2322f9d282beb998fa6a7ca93bd23ffea553618ab9ab073cac9e5.jpg?v=1787233687" TargetMode="External" Id="rId40"/><Relationship Type="http://schemas.openxmlformats.org/officeDocument/2006/relationships/hyperlink" Target="https://cdn.shopify.com/s/files/1/0792/5098/1063/files/4274176e594f473f9f9517f8df32a36888e067f66081c7c7ac33d02f839dab17.jpg?v=1787233688" TargetMode="External" Id="rId41"/><Relationship Type="http://schemas.openxmlformats.org/officeDocument/2006/relationships/hyperlink" Target="https://cdn.shopify.com/s/files/1/0792/5098/1063/files/4274176e594f473f9f9517f8df32a36888e067f66081c7c7ac33d02f839dab17.jpg?v=1787233688" TargetMode="External" Id="rId42"/><Relationship Type="http://schemas.openxmlformats.org/officeDocument/2006/relationships/hyperlink" Target="https://cdn.shopify.com/s/files/1/0792/5098/1063/files/78a96e41092763591645a0417450b0227ec7a4e31e21df8a327fb2d2f9428605.jpg?v=1787936155" TargetMode="External" Id="rId43"/><Relationship Type="http://schemas.openxmlformats.org/officeDocument/2006/relationships/hyperlink" Target="https://cdn.shopify.com/s/files/1/0792/5098/1063/files/78a96e41092763591645a0417450b0227ec7a4e31e21df8a327fb2d2f9428605.jpg?v=1787936155" TargetMode="External" Id="rId44"/><Relationship Type="http://schemas.openxmlformats.org/officeDocument/2006/relationships/hyperlink" Target="https://cdn.shopify.com/s/files/1/0792/5098/1063/files/8496cc324b64f4d38b8aec3e807b5b59dc024527330b8859a4ebd9c1c43313ff.jpg?v=1787936155" TargetMode="External" Id="rId45"/><Relationship Type="http://schemas.openxmlformats.org/officeDocument/2006/relationships/hyperlink" Target="https://cdn.shopify.com/s/files/1/0792/5098/1063/files/8496cc324b64f4d38b8aec3e807b5b59dc024527330b8859a4ebd9c1c43313ff.jpg?v=1787936155" TargetMode="External" Id="rId46"/><Relationship Type="http://schemas.openxmlformats.org/officeDocument/2006/relationships/hyperlink" Target="https://cdn.shopify.com/s/files/1/0792/5098/1063/files/3a0f47e9dcbafab9191ddf7aa843e8572e2cec872b35c6521dc7218921e61123.jpg?v=1787936155" TargetMode="External" Id="rId47"/><Relationship Type="http://schemas.openxmlformats.org/officeDocument/2006/relationships/hyperlink" Target="https://cdn.shopify.com/s/files/1/0792/5098/1063/files/3a0f47e9dcbafab9191ddf7aa843e8572e2cec872b35c6521dc7218921e61123.jpg?v=1787936155" TargetMode="External" Id="rId48"/><Relationship Type="http://schemas.openxmlformats.org/officeDocument/2006/relationships/hyperlink" Target="https://cdn.shopify.com/s/files/1/0792/5098/1063/files/1719f23b3d46b7c6722a21c797b77ed0780f9bbd492bf1c7f1046cc658013293.jpg?v=1787936155" TargetMode="External" Id="rId49"/><Relationship Type="http://schemas.openxmlformats.org/officeDocument/2006/relationships/hyperlink" Target="https://cdn.shopify.com/s/files/1/0792/5098/1063/files/1719f23b3d46b7c6722a21c797b77ed0780f9bbd492bf1c7f1046cc658013293.jpg?v=1787936155" TargetMode="External" Id="rId50"/><Relationship Type="http://schemas.openxmlformats.org/officeDocument/2006/relationships/hyperlink" Target="https://cdn.shopify.com/s/files/1/0792/5098/1063/files/f05b5b4966cbfbf6e7138bce62a10e8d53a6554d2095ee522f5577dc8f19de13.jpg?v=1787936155" TargetMode="External" Id="rId51"/><Relationship Type="http://schemas.openxmlformats.org/officeDocument/2006/relationships/hyperlink" Target="https://cdn.shopify.com/s/files/1/0792/5098/1063/files/f05b5b4966cbfbf6e7138bce62a10e8d53a6554d2095ee522f5577dc8f19de13.jpg?v=1787936155" TargetMode="External" Id="rId52"/><Relationship Type="http://schemas.openxmlformats.org/officeDocument/2006/relationships/hyperlink" Target="https://cdn.shopify.com/s/files/1/0792/5098/1063/files/29f57080b218682bc1f4e3c223af89a66eef5bc96e3704046ce51202cb67c670.jpg?v=1787936155" TargetMode="External" Id="rId53"/><Relationship Type="http://schemas.openxmlformats.org/officeDocument/2006/relationships/hyperlink" Target="https://cdn.shopify.com/s/files/1/0792/5098/1063/files/29f57080b218682bc1f4e3c223af89a66eef5bc96e3704046ce51202cb67c670.jpg?v=1787936155" TargetMode="External" Id="rId54"/><Relationship Type="http://schemas.openxmlformats.org/officeDocument/2006/relationships/hyperlink" Target="https://cdn.shopify.com/s/files/1/0792/5098/1063/files/33827958b0d3465c97d89ef8a7a7e67a7aa5b22c8c0c87d5a26f80b5c0d5fd2b.jpg?v=1787936172" TargetMode="External" Id="rId55"/><Relationship Type="http://schemas.openxmlformats.org/officeDocument/2006/relationships/hyperlink" Target="https://cdn.shopify.com/s/files/1/0792/5098/1063/files/33827958b0d3465c97d89ef8a7a7e67a7aa5b22c8c0c87d5a26f80b5c0d5fd2b.jpg?v=1787936172" TargetMode="External" Id="rId56"/><Relationship Type="http://schemas.openxmlformats.org/officeDocument/2006/relationships/hyperlink" Target="https://cdn.shopify.com/s/files/1/0792/5098/1063/files/fdc074927f13099e3ddba121f8393f7840633627dc879650a5a8ea085bd8febe.jpg?v=1787936172" TargetMode="External" Id="rId57"/><Relationship Type="http://schemas.openxmlformats.org/officeDocument/2006/relationships/hyperlink" Target="https://cdn.shopify.com/s/files/1/0792/5098/1063/files/fdc074927f13099e3ddba121f8393f7840633627dc879650a5a8ea085bd8febe.jpg?v=1787936172" TargetMode="External" Id="rId58"/><Relationship Type="http://schemas.openxmlformats.org/officeDocument/2006/relationships/hyperlink" Target="https://cdn.shopify.com/s/files/1/0792/5098/1063/files/a18c5a71570f28636f9f2ca9d6b8130fc7d60bcb88cb88d9623b134efc54b9e5.jpg?v=1787936172" TargetMode="External" Id="rId59"/><Relationship Type="http://schemas.openxmlformats.org/officeDocument/2006/relationships/hyperlink" Target="https://cdn.shopify.com/s/files/1/0792/5098/1063/files/a18c5a71570f28636f9f2ca9d6b8130fc7d60bcb88cb88d9623b134efc54b9e5.jpg?v=1787936172" TargetMode="External" Id="rId60"/><Relationship Type="http://schemas.openxmlformats.org/officeDocument/2006/relationships/hyperlink" Target="https://cdn.shopify.com/s/files/1/0792/5098/1063/files/1a110cdeb4611bb06dc73025e19e092ef38bf550ce9870452a33b81728254f09.jpg?v=1787936172" TargetMode="External" Id="rId61"/><Relationship Type="http://schemas.openxmlformats.org/officeDocument/2006/relationships/hyperlink" Target="https://cdn.shopify.com/s/files/1/0792/5098/1063/files/1a110cdeb4611bb06dc73025e19e092ef38bf550ce9870452a33b81728254f09.jpg?v=1787936172" TargetMode="External" Id="rId62"/><Relationship Type="http://schemas.openxmlformats.org/officeDocument/2006/relationships/hyperlink" Target="https://cdn.shopify.com/s/files/1/0792/5098/1063/files/c103177b56d556545ef05a48d27d56626a4330b91a8a965b093c8a601908e1c2.jpg?v=1787936172" TargetMode="External" Id="rId63"/><Relationship Type="http://schemas.openxmlformats.org/officeDocument/2006/relationships/hyperlink" Target="https://cdn.shopify.com/s/files/1/0792/5098/1063/files/c103177b56d556545ef05a48d27d56626a4330b91a8a965b093c8a601908e1c2.jpg?v=1787936172" TargetMode="External" Id="rId64"/><Relationship Type="http://schemas.openxmlformats.org/officeDocument/2006/relationships/hyperlink" Target="https://cdn.shopify.com/s/files/1/0792/5098/1063/files/a04eaaab4fb68dc7448e32b7978cec1d481af7cf4430a3f72b91574bcb94ba65.jpg?v=1787936250" TargetMode="External" Id="rId65"/><Relationship Type="http://schemas.openxmlformats.org/officeDocument/2006/relationships/hyperlink" Target="https://cdn.shopify.com/s/files/1/0792/5098/1063/files/a04eaaab4fb68dc7448e32b7978cec1d481af7cf4430a3f72b91574bcb94ba65.jpg?v=1787936250" TargetMode="External" Id="rId66"/><Relationship Type="http://schemas.openxmlformats.org/officeDocument/2006/relationships/hyperlink" Target="https://cdn.shopify.com/s/files/1/0792/5098/1063/files/31e8acfdca6c14ff3d16e962bde60baf0db1133fec8c67e2bf4325a3a7d561c1.jpg?v=1787936250" TargetMode="External" Id="rId67"/><Relationship Type="http://schemas.openxmlformats.org/officeDocument/2006/relationships/hyperlink" Target="https://cdn.shopify.com/s/files/1/0792/5098/1063/files/31e8acfdca6c14ff3d16e962bde60baf0db1133fec8c67e2bf4325a3a7d561c1.jpg?v=1787936250" TargetMode="External" Id="rId68"/><Relationship Type="http://schemas.openxmlformats.org/officeDocument/2006/relationships/hyperlink" Target="https://cdn.shopify.com/s/files/1/0792/5098/1063/files/e96376384911eb815950bd49399e4d932894d33483e6a2657a308a3f851871b2.jpg?v=1787936250" TargetMode="External" Id="rId69"/><Relationship Type="http://schemas.openxmlformats.org/officeDocument/2006/relationships/hyperlink" Target="https://cdn.shopify.com/s/files/1/0792/5098/1063/files/e96376384911eb815950bd49399e4d932894d33483e6a2657a308a3f851871b2.jpg?v=1787936250" TargetMode="External" Id="rId70"/><Relationship Type="http://schemas.openxmlformats.org/officeDocument/2006/relationships/hyperlink" Target="https://cdn.shopify.com/s/files/1/0792/5098/1063/files/ac42bb85dc2b37a8d6b9f4d966756ea755486c3f61c156cf8759fda5147a0335.jpg?v=1787936250" TargetMode="External" Id="rId71"/><Relationship Type="http://schemas.openxmlformats.org/officeDocument/2006/relationships/hyperlink" Target="https://cdn.shopify.com/s/files/1/0792/5098/1063/files/ac42bb85dc2b37a8d6b9f4d966756ea755486c3f61c156cf8759fda5147a0335.jpg?v=1787936250" TargetMode="External" Id="rId72"/><Relationship Type="http://schemas.openxmlformats.org/officeDocument/2006/relationships/hyperlink" Target="https://cdn.shopify.com/s/files/1/0792/5098/1063/files/f05b5b4966cbfbf6e7138bce62a10e8d53a6554d2095ee522f5577dc8f19de13_92bf2ffb-7887-4b37-986c-9db117295eff.jpg?v=1787936250" TargetMode="External" Id="rId73"/><Relationship Type="http://schemas.openxmlformats.org/officeDocument/2006/relationships/hyperlink" Target="https://cdn.shopify.com/s/files/1/0792/5098/1063/files/f05b5b4966cbfbf6e7138bce62a10e8d53a6554d2095ee522f5577dc8f19de13_92bf2ffb-7887-4b37-986c-9db117295eff.jpg?v=1787936250" TargetMode="External" Id="rId74"/><Relationship Type="http://schemas.openxmlformats.org/officeDocument/2006/relationships/hyperlink" Target="https://cdn.shopify.com/s/files/1/0792/5098/1063/files/bbd8b3069747599cfa3e8e8deb179b9085c81592ba19d1c6287a8363a8238662.jpg?v=1787936250" TargetMode="External" Id="rId75"/><Relationship Type="http://schemas.openxmlformats.org/officeDocument/2006/relationships/hyperlink" Target="https://cdn.shopify.com/s/files/1/0792/5098/1063/files/bbd8b3069747599cfa3e8e8deb179b9085c81592ba19d1c6287a8363a8238662.jpg?v=1787936250" TargetMode="External" Id="rId76"/><Relationship Type="http://schemas.openxmlformats.org/officeDocument/2006/relationships/hyperlink" Target="https://cdn.shopify.com/s/files/1/0792/5098/1063/files/5d0f1cae5d8fbccfd0cedc69335c2f8dae57295710f0d39ce49b9d818247b5d7.jpg?v=1787936297" TargetMode="External" Id="rId77"/><Relationship Type="http://schemas.openxmlformats.org/officeDocument/2006/relationships/hyperlink" Target="https://cdn.shopify.com/s/files/1/0792/5098/1063/files/5d0f1cae5d8fbccfd0cedc69335c2f8dae57295710f0d39ce49b9d818247b5d7.jpg?v=1787936297" TargetMode="External" Id="rId78"/><Relationship Type="http://schemas.openxmlformats.org/officeDocument/2006/relationships/hyperlink" Target="https://cdn.shopify.com/s/files/1/0792/5098/1063/files/fb6bb7ca24973834ed17ffc26166f515fd3c4a1ff52545d27cd1472dafdae0b0.jpg?v=1787936297" TargetMode="External" Id="rId79"/><Relationship Type="http://schemas.openxmlformats.org/officeDocument/2006/relationships/hyperlink" Target="https://cdn.shopify.com/s/files/1/0792/5098/1063/files/fb6bb7ca24973834ed17ffc26166f515fd3c4a1ff52545d27cd1472dafdae0b0.jpg?v=1787936297" TargetMode="External" Id="rId80"/><Relationship Type="http://schemas.openxmlformats.org/officeDocument/2006/relationships/hyperlink" Target="https://cdn.shopify.com/s/files/1/0792/5098/1063/files/5ca4830cd71b5426ad687d0e98c5de6daada03acb8a658c0dbb56e9c1612eeb7.jpg?v=1787936297" TargetMode="External" Id="rId81"/><Relationship Type="http://schemas.openxmlformats.org/officeDocument/2006/relationships/hyperlink" Target="https://cdn.shopify.com/s/files/1/0792/5098/1063/files/5ca4830cd71b5426ad687d0e98c5de6daada03acb8a658c0dbb56e9c1612eeb7.jpg?v=1787936297" TargetMode="External" Id="rId82"/><Relationship Type="http://schemas.openxmlformats.org/officeDocument/2006/relationships/hyperlink" Target="https://cdn.shopify.com/s/files/1/0792/5098/1063/files/3e81ffaaf0deab65c1f4a3f78b8b479936f650a3a751ef521aab7f3ff885449e.jpg?v=1787936297" TargetMode="External" Id="rId83"/><Relationship Type="http://schemas.openxmlformats.org/officeDocument/2006/relationships/hyperlink" Target="https://cdn.shopify.com/s/files/1/0792/5098/1063/files/3e81ffaaf0deab65c1f4a3f78b8b479936f650a3a751ef521aab7f3ff885449e.jpg?v=1787936297" TargetMode="External" Id="rId84"/><Relationship Type="http://schemas.openxmlformats.org/officeDocument/2006/relationships/hyperlink" Target="https://cdn.shopify.com/s/files/1/0792/5098/1063/files/f05b5b4966cbfbf6e7138bce62a10e8d53a6554d2095ee522f5577dc8f19de13_dd05aaf9-5cce-4b0d-acf1-02de91c3b744.jpg?v=1787936297" TargetMode="External" Id="rId85"/><Relationship Type="http://schemas.openxmlformats.org/officeDocument/2006/relationships/hyperlink" Target="https://cdn.shopify.com/s/files/1/0792/5098/1063/files/f05b5b4966cbfbf6e7138bce62a10e8d53a6554d2095ee522f5577dc8f19de13_dd05aaf9-5cce-4b0d-acf1-02de91c3b744.jpg?v=1787936297" TargetMode="External" Id="rId86"/><Relationship Type="http://schemas.openxmlformats.org/officeDocument/2006/relationships/hyperlink" Target="https://cdn.shopify.com/s/files/1/0792/5098/1063/files/b0d1da8d8060da04652dfbd8ac59558b6bb3e731d6cda0161cad77ec3b3c8fe2.jpg?v=1787936297" TargetMode="External" Id="rId87"/><Relationship Type="http://schemas.openxmlformats.org/officeDocument/2006/relationships/hyperlink" Target="https://cdn.shopify.com/s/files/1/0792/5098/1063/files/b0d1da8d8060da04652dfbd8ac59558b6bb3e731d6cda0161cad77ec3b3c8fe2.jpg?v=1787936297" TargetMode="External" Id="rId88"/><Relationship Type="http://schemas.openxmlformats.org/officeDocument/2006/relationships/hyperlink" Target="https://cdn.shopify.com/s/files/1/0792/5098/1063/files/0378abcf551bb373bc058a8d932a075b2e7062138286ccd5675aab241cbc2aa8.jpg?v=1787936303" TargetMode="External" Id="rId89"/><Relationship Type="http://schemas.openxmlformats.org/officeDocument/2006/relationships/hyperlink" Target="https://cdn.shopify.com/s/files/1/0792/5098/1063/files/0378abcf551bb373bc058a8d932a075b2e7062138286ccd5675aab241cbc2aa8.jpg?v=1787936303" TargetMode="External" Id="rId90"/><Relationship Type="http://schemas.openxmlformats.org/officeDocument/2006/relationships/hyperlink" Target="https://cdn.shopify.com/s/files/1/0792/5098/1063/files/d443d634870cf5702ce02c12be0e9199f6c0ef35f8992890f2ee49e88fd55e59.jpg?v=1787936303" TargetMode="External" Id="rId91"/><Relationship Type="http://schemas.openxmlformats.org/officeDocument/2006/relationships/hyperlink" Target="https://cdn.shopify.com/s/files/1/0792/5098/1063/files/d443d634870cf5702ce02c12be0e9199f6c0ef35f8992890f2ee49e88fd55e59.jpg?v=1787936303" TargetMode="External" Id="rId92"/><Relationship Type="http://schemas.openxmlformats.org/officeDocument/2006/relationships/hyperlink" Target="https://cdn.shopify.com/s/files/1/0792/5098/1063/files/3c149552706148b88d709b4170ededcaf07b0afcd786b0fc80da64aee42ef97a.jpg?v=1787936303" TargetMode="External" Id="rId93"/><Relationship Type="http://schemas.openxmlformats.org/officeDocument/2006/relationships/hyperlink" Target="https://cdn.shopify.com/s/files/1/0792/5098/1063/files/3c149552706148b88d709b4170ededcaf07b0afcd786b0fc80da64aee42ef97a.jpg?v=1787936303" TargetMode="External" Id="rId94"/><Relationship Type="http://schemas.openxmlformats.org/officeDocument/2006/relationships/hyperlink" Target="https://cdn.shopify.com/s/files/1/0792/5098/1063/files/27b0e98d00c806f90ce26194ac5961ee72b1843f7ded8b1cdc58421da8ff1af5.jpg?v=1787936303" TargetMode="External" Id="rId95"/><Relationship Type="http://schemas.openxmlformats.org/officeDocument/2006/relationships/hyperlink" Target="https://cdn.shopify.com/s/files/1/0792/5098/1063/files/27b0e98d00c806f90ce26194ac5961ee72b1843f7ded8b1cdc58421da8ff1af5.jpg?v=1787936303" TargetMode="External" Id="rId96"/><Relationship Type="http://schemas.openxmlformats.org/officeDocument/2006/relationships/hyperlink" Target="https://cdn.shopify.com/s/files/1/0792/5098/1063/files/4b609c485183f596d7a7cde020b39e4bda79acee2753d3dc2aded93519980ecf.jpg?v=1787936303" TargetMode="External" Id="rId97"/><Relationship Type="http://schemas.openxmlformats.org/officeDocument/2006/relationships/hyperlink" Target="https://cdn.shopify.com/s/files/1/0792/5098/1063/files/4b609c485183f596d7a7cde020b39e4bda79acee2753d3dc2aded93519980ecf.jpg?v=1787936303" TargetMode="External" Id="rId98"/><Relationship Type="http://schemas.openxmlformats.org/officeDocument/2006/relationships/hyperlink" Target="https://cdn.shopify.com/s/files/1/0792/5098/1063/files/7e2ec7c0c42511286cd153cc90aaaa3c14a07010ca3b6583e65c64cf25c53aa4.jpg?v=1787936303" TargetMode="External" Id="rId99"/><Relationship Type="http://schemas.openxmlformats.org/officeDocument/2006/relationships/hyperlink" Target="https://cdn.shopify.com/s/files/1/0792/5098/1063/files/7e2ec7c0c42511286cd153cc90aaaa3c14a07010ca3b6583e65c64cf25c53aa4.jpg?v=1787936303" TargetMode="External" Id="rId100"/><Relationship Type="http://schemas.openxmlformats.org/officeDocument/2006/relationships/hyperlink" Target="https://cdn.shopify.com/s/files/1/0792/5098/1063/files/56881a19a51c01cc553fffe6fc20529fd559dd35981c52ef5bde9f745e19e0c6.jpg?v=1787936307" TargetMode="External" Id="rId101"/><Relationship Type="http://schemas.openxmlformats.org/officeDocument/2006/relationships/hyperlink" Target="https://cdn.shopify.com/s/files/1/0792/5098/1063/files/56881a19a51c01cc553fffe6fc20529fd559dd35981c52ef5bde9f745e19e0c6.jpg?v=1787936307" TargetMode="External" Id="rId102"/><Relationship Type="http://schemas.openxmlformats.org/officeDocument/2006/relationships/hyperlink" Target="https://cdn.shopify.com/s/files/1/0792/5098/1063/files/1a90986a710d8ec7e3fd994a8c712b5b6adf1486722d0ac1005cdfab2898c774.jpg?v=1787936307" TargetMode="External" Id="rId103"/><Relationship Type="http://schemas.openxmlformats.org/officeDocument/2006/relationships/hyperlink" Target="https://cdn.shopify.com/s/files/1/0792/5098/1063/files/1a90986a710d8ec7e3fd994a8c712b5b6adf1486722d0ac1005cdfab2898c774.jpg?v=1787936307" TargetMode="External" Id="rId104"/><Relationship Type="http://schemas.openxmlformats.org/officeDocument/2006/relationships/hyperlink" Target="https://cdn.shopify.com/s/files/1/0792/5098/1063/files/14e0c414dcf8f732a3efcb85f1038b86f760c8561254aa5ccba8af1194c7a4b9.jpg?v=1787936307" TargetMode="External" Id="rId105"/><Relationship Type="http://schemas.openxmlformats.org/officeDocument/2006/relationships/hyperlink" Target="https://cdn.shopify.com/s/files/1/0792/5098/1063/files/14e0c414dcf8f732a3efcb85f1038b86f760c8561254aa5ccba8af1194c7a4b9.jpg?v=1787936307" TargetMode="External" Id="rId106"/><Relationship Type="http://schemas.openxmlformats.org/officeDocument/2006/relationships/hyperlink" Target="https://cdn.shopify.com/s/files/1/0792/5098/1063/files/60955256316c3a7bdd4e572c3f1101f8d5511e78a1d363f9d70104b52b193f71.jpg?v=1787936307" TargetMode="External" Id="rId107"/><Relationship Type="http://schemas.openxmlformats.org/officeDocument/2006/relationships/hyperlink" Target="https://cdn.shopify.com/s/files/1/0792/5098/1063/files/60955256316c3a7bdd4e572c3f1101f8d5511e78a1d363f9d70104b52b193f71.jpg?v=1787936307" TargetMode="External" Id="rId108"/><Relationship Type="http://schemas.openxmlformats.org/officeDocument/2006/relationships/hyperlink" Target="https://cdn.shopify.com/s/files/1/0792/5098/1063/files/e1fbf76f0a4f56333e589145881221e54d4d698d00057714af3d90bfcfcbcde8.jpg?v=1787936307" TargetMode="External" Id="rId109"/><Relationship Type="http://schemas.openxmlformats.org/officeDocument/2006/relationships/hyperlink" Target="https://cdn.shopify.com/s/files/1/0792/5098/1063/files/e1fbf76f0a4f56333e589145881221e54d4d698d00057714af3d90bfcfcbcde8.jpg?v=1787936307" TargetMode="External" Id="rId110"/><Relationship Type="http://schemas.openxmlformats.org/officeDocument/2006/relationships/hyperlink" Target="https://cdn.shopify.com/s/files/1/0792/5098/1063/files/c704e78fea6b0af8659e3bb6318e69c7a083dd569ad0e78c293e9f2bb37a0b50.jpg?v=1787936307" TargetMode="External" Id="rId111"/><Relationship Type="http://schemas.openxmlformats.org/officeDocument/2006/relationships/hyperlink" Target="https://cdn.shopify.com/s/files/1/0792/5098/1063/files/c704e78fea6b0af8659e3bb6318e69c7a083dd569ad0e78c293e9f2bb37a0b50.jpg?v=1787936307" TargetMode="External" Id="rId112"/><Relationship Type="http://schemas.openxmlformats.org/officeDocument/2006/relationships/hyperlink" Target="https://cdn.shopify.com/s/files/1/0792/5098/1063/files/feceab1269e0c41029cfcb73e8317439de8337d84336b09e87d52e7744326f5e.jpg?v=1787936313" TargetMode="External" Id="rId113"/><Relationship Type="http://schemas.openxmlformats.org/officeDocument/2006/relationships/hyperlink" Target="https://cdn.shopify.com/s/files/1/0792/5098/1063/files/feceab1269e0c41029cfcb73e8317439de8337d84336b09e87d52e7744326f5e.jpg?v=1787936313" TargetMode="External" Id="rId114"/><Relationship Type="http://schemas.openxmlformats.org/officeDocument/2006/relationships/hyperlink" Target="https://cdn.shopify.com/s/files/1/0792/5098/1063/files/7683974b7a31c9cf865fb550d243761f446de029999d81b730d1be1d4bffd71a.jpg?v=1787936313" TargetMode="External" Id="rId115"/><Relationship Type="http://schemas.openxmlformats.org/officeDocument/2006/relationships/hyperlink" Target="https://cdn.shopify.com/s/files/1/0792/5098/1063/files/7683974b7a31c9cf865fb550d243761f446de029999d81b730d1be1d4bffd71a.jpg?v=1787936313" TargetMode="External" Id="rId116"/><Relationship Type="http://schemas.openxmlformats.org/officeDocument/2006/relationships/hyperlink" Target="https://cdn.shopify.com/s/files/1/0792/5098/1063/files/d15de982cf49c61d63dcb3e70a085c7480d7757447c46dfe1f4e360681c9f501.jpg?v=1787936313" TargetMode="External" Id="rId117"/><Relationship Type="http://schemas.openxmlformats.org/officeDocument/2006/relationships/hyperlink" Target="https://cdn.shopify.com/s/files/1/0792/5098/1063/files/d15de982cf49c61d63dcb3e70a085c7480d7757447c46dfe1f4e360681c9f501.jpg?v=1787936313" TargetMode="External" Id="rId118"/><Relationship Type="http://schemas.openxmlformats.org/officeDocument/2006/relationships/hyperlink" Target="https://cdn.shopify.com/s/files/1/0792/5098/1063/files/30ac2af2067079c32aee59f6826a158fdef74dbd36e4a379b1f3dad211c0c404.jpg?v=1787936313" TargetMode="External" Id="rId119"/><Relationship Type="http://schemas.openxmlformats.org/officeDocument/2006/relationships/hyperlink" Target="https://cdn.shopify.com/s/files/1/0792/5098/1063/files/30ac2af2067079c32aee59f6826a158fdef74dbd36e4a379b1f3dad211c0c404.jpg?v=1787936313" TargetMode="External" Id="rId120"/><Relationship Type="http://schemas.openxmlformats.org/officeDocument/2006/relationships/hyperlink" Target="https://cdn.shopify.com/s/files/1/0792/5098/1063/files/9d916a0bc9f840d4bf410947c3497d6a50cfc268bce2c2020b74a8951bbd4f62.jpg?v=1787936313" TargetMode="External" Id="rId121"/><Relationship Type="http://schemas.openxmlformats.org/officeDocument/2006/relationships/hyperlink" Target="https://cdn.shopify.com/s/files/1/0792/5098/1063/files/9d916a0bc9f840d4bf410947c3497d6a50cfc268bce2c2020b74a8951bbd4f62.jpg?v=1787936313" TargetMode="External" Id="rId122"/><Relationship Type="http://schemas.openxmlformats.org/officeDocument/2006/relationships/hyperlink" Target="https://cdn.shopify.com/s/files/1/0792/5098/1063/files/3e227101e2e9c24d641f1ea4dd5f5e1cb8ef75e8fe6c70b298e93002e2905f25.jpg?v=1787936313" TargetMode="External" Id="rId123"/><Relationship Type="http://schemas.openxmlformats.org/officeDocument/2006/relationships/hyperlink" Target="https://cdn.shopify.com/s/files/1/0792/5098/1063/files/3e227101e2e9c24d641f1ea4dd5f5e1cb8ef75e8fe6c70b298e93002e2905f25.jpg?v=1787936313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D:\Shopify_Workspace\jeminise_seo\resutls\jeminise.com\20260906_234129\revisions\qa_batch_017_r5\SEO_Product_Optimization_qa_batch_017_r5.xlsx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EE3D2575CBA94B12A5E1B0B53AFBB2EAE967D85BD0102DC32EDF2CBDBCBE0D59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20260909_125719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qa_batch_017_r5</t>
        </is>
      </c>
      <c r="C6" s="2" t="inlineStr">
        <is>
          <t>Inventory positions 161-170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62/62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3,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161</v>
      </c>
      <c r="B2" s="2" t="inlineStr">
        <is>
          <t>jeminise.com+norse-mythology-raven-within-celtic-knot-frame-quilt-906ee24d68-906ee24d68</t>
        </is>
      </c>
      <c r="C2" s="4" t="inlineStr">
        <is>
          <t>https://jeminise.com/products/norse-mythology-raven-within-celtic-knot-frame-quilt-906ee24d68-906ee24d68</t>
        </is>
      </c>
      <c r="D2" s="2" t="inlineStr">
        <is>
          <t>r5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7</v>
      </c>
      <c r="M2" s="2" t="n">
        <v>7</v>
      </c>
      <c r="N2" s="2" t="b">
        <v>1</v>
      </c>
      <c r="O2" s="6" t="n">
        <v>1</v>
      </c>
      <c r="P2" s="2">
        <f>COUNTIFS('QA_Issues'!$B$2:$B$5,B2,'QA_Issues'!$D$2:$D$5,"CRITICAL")</f>
        <v/>
      </c>
      <c r="Q2" s="2">
        <f>COUNTIFS('QA_Issues'!$B$2:$B$5,B2,'QA_Issues'!$D$2:$D$5,"MAJOR")</f>
        <v/>
      </c>
      <c r="R2" s="2">
        <f>COUNTIFS('QA_Issues'!$B$2:$B$5,B2,'QA_Issues'!$D$2:$D$5,"MINOR")</f>
        <v/>
      </c>
      <c r="S2" s="2">
        <f>COUNTIFS('QA_Issues'!$B$2:$B$5,B2,'QA_Issues'!$D$2:$D$5,"LIMITATION")</f>
        <v/>
      </c>
      <c r="T2" s="2" t="inlineStr">
        <is>
          <t>["B17R5-MIN-001"]</t>
        </is>
      </c>
      <c r="U2" s="2" t="inlineStr">
        <is>
          <t>["evidence_batch_017_161", "https://jeminise.com/products/norse-mythology-raven-within-celtic-knot-frame-quilt-906ee24d68-906ee24d68", "serp_qa_batch_017_r5_161_1", "live_pages", "customizer_fields_audit.json"]</t>
        </is>
      </c>
    </row>
    <row r="3" ht="42" customHeight="1">
      <c r="A3" s="3" t="n">
        <v>162</v>
      </c>
      <c r="B3" s="3" t="inlineStr">
        <is>
          <t>jeminise.com+norse-mythology-viking-shield-with-crossed-axes-quilt-ca630a284e-ca630a284e</t>
        </is>
      </c>
      <c r="C3" s="4" t="inlineStr">
        <is>
          <t>https://jeminise.com/products/norse-mythology-viking-shield-with-crossed-axes-quilt-ca630a284e-ca630a284e</t>
        </is>
      </c>
      <c r="D3" s="3" t="inlineStr">
        <is>
          <t>r5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7</v>
      </c>
      <c r="M3" s="3" t="n">
        <v>7</v>
      </c>
      <c r="N3" s="3" t="b">
        <v>1</v>
      </c>
      <c r="O3" s="8" t="n">
        <v>1</v>
      </c>
      <c r="P3" s="3">
        <f>COUNTIFS('QA_Issues'!$B$2:$B$5,B3,'QA_Issues'!$D$2:$D$5,"CRITICAL")</f>
        <v/>
      </c>
      <c r="Q3" s="3">
        <f>COUNTIFS('QA_Issues'!$B$2:$B$5,B3,'QA_Issues'!$D$2:$D$5,"MAJOR")</f>
        <v/>
      </c>
      <c r="R3" s="3">
        <f>COUNTIFS('QA_Issues'!$B$2:$B$5,B3,'QA_Issues'!$D$2:$D$5,"MINOR")</f>
        <v/>
      </c>
      <c r="S3" s="3">
        <f>COUNTIFS('QA_Issues'!$B$2:$B$5,B3,'QA_Issues'!$D$2:$D$5,"LIMITATION")</f>
        <v/>
      </c>
      <c r="T3" s="3" t="inlineStr">
        <is>
          <t>["B17R5-MIN-002"]</t>
        </is>
      </c>
      <c r="U3" s="3" t="inlineStr">
        <is>
          <t>["evidence_batch_017_162", "https://jeminise.com/products/norse-mythology-viking-shield-with-crossed-axes-quilt-ca630a284e-ca630a284e", "serp_qa_batch_017_r5_162_1", "live_pages", "customizer_fields_audit.json"]</t>
        </is>
      </c>
    </row>
    <row r="4" ht="42" customHeight="1">
      <c r="A4" s="2" t="n">
        <v>163</v>
      </c>
      <c r="B4" s="2" t="inlineStr">
        <is>
          <t>jeminise.com+owl-patchwork-pattern-quilt-set-animals-quilt-set-style-owl-nights</t>
        </is>
      </c>
      <c r="C4" s="4" t="inlineStr">
        <is>
          <t>https://jeminise.com/products/owl-patchwork-pattern-quilt-set-animals-quilt-set-style-owl-nights</t>
        </is>
      </c>
      <c r="D4" s="2" t="inlineStr">
        <is>
          <t>r5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COUNTIFS('QA_Issues'!$B$2:$B$5,B4,'QA_Issues'!$D$2:$D$5,"CRITICAL")</f>
        <v/>
      </c>
      <c r="Q4" s="2">
        <f>COUNTIFS('QA_Issues'!$B$2:$B$5,B4,'QA_Issues'!$D$2:$D$5,"MAJOR")</f>
        <v/>
      </c>
      <c r="R4" s="2">
        <f>COUNTIFS('QA_Issues'!$B$2:$B$5,B4,'QA_Issues'!$D$2:$D$5,"MINOR")</f>
        <v/>
      </c>
      <c r="S4" s="2">
        <f>COUNTIFS('QA_Issues'!$B$2:$B$5,B4,'QA_Issues'!$D$2:$D$5,"LIMITATION")</f>
        <v/>
      </c>
      <c r="T4" s="2" t="inlineStr">
        <is>
          <t>["B17R5-MIN-003"]</t>
        </is>
      </c>
      <c r="U4" s="2" t="inlineStr">
        <is>
          <t>["evidence_batch_017_163", "https://jeminise.com/products/owl-patchwork-pattern-quilt-set-animals-quilt-set-style-owl-nights", "serp_qa_batch_017_r5_163_1", "live_pages", "customizer_fields_audit.json"]</t>
        </is>
      </c>
    </row>
    <row r="5" ht="42" customHeight="1">
      <c r="A5" s="3" t="n">
        <v>164</v>
      </c>
      <c r="B5" s="3" t="inlineStr">
        <is>
          <t>jeminise.com+pamnest-twin-halloween-comforter-set-with-sheets-5-pieces-design-01</t>
        </is>
      </c>
      <c r="C5" s="4" t="inlineStr">
        <is>
          <t>https://jeminise.com/products/pamnest-twin-halloween-comforter-set-with-sheets-5-pieces-design-01</t>
        </is>
      </c>
      <c r="D5" s="3" t="inlineStr">
        <is>
          <t>r5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6</v>
      </c>
      <c r="M5" s="3" t="n">
        <v>6</v>
      </c>
      <c r="N5" s="3" t="b">
        <v>1</v>
      </c>
      <c r="O5" s="8" t="n">
        <v>1</v>
      </c>
      <c r="P5" s="3">
        <f>COUNTIFS('QA_Issues'!$B$2:$B$5,B5,'QA_Issues'!$D$2:$D$5,"CRITICAL")</f>
        <v/>
      </c>
      <c r="Q5" s="3">
        <f>COUNTIFS('QA_Issues'!$B$2:$B$5,B5,'QA_Issues'!$D$2:$D$5,"MAJOR")</f>
        <v/>
      </c>
      <c r="R5" s="3">
        <f>COUNTIFS('QA_Issues'!$B$2:$B$5,B5,'QA_Issues'!$D$2:$D$5,"MINOR")</f>
        <v/>
      </c>
      <c r="S5" s="3">
        <f>COUNTIFS('QA_Issues'!$B$2:$B$5,B5,'QA_Issues'!$D$2:$D$5,"LIMITATION")</f>
        <v/>
      </c>
      <c r="T5" s="3" t="inlineStr">
        <is>
          <t>[]</t>
        </is>
      </c>
      <c r="U5" s="3" t="inlineStr">
        <is>
          <t>["evidence_batch_017_164", "https://jeminise.com/products/pamnest-twin-halloween-comforter-set-with-sheets-5-pieces-design-01", "serp_qa_batch_017_r5_164_1", "live_pages", "customizer_fields_audit.json"]</t>
        </is>
      </c>
    </row>
    <row r="6" ht="42" customHeight="1">
      <c r="A6" s="2" t="n">
        <v>165</v>
      </c>
      <c r="B6" s="2" t="inlineStr">
        <is>
          <t>jeminise.com+pamnest-twin-halloween-comforter-set-with-sheets-5-pieces-design-02</t>
        </is>
      </c>
      <c r="C6" s="4" t="inlineStr">
        <is>
          <t>https://jeminise.com/products/pamnest-twin-halloween-comforter-set-with-sheets-5-pieces-design-02</t>
        </is>
      </c>
      <c r="D6" s="2" t="inlineStr">
        <is>
          <t>r5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5</v>
      </c>
      <c r="M6" s="2" t="n">
        <v>5</v>
      </c>
      <c r="N6" s="2" t="b">
        <v>1</v>
      </c>
      <c r="O6" s="6" t="n">
        <v>1</v>
      </c>
      <c r="P6" s="2">
        <f>COUNTIFS('QA_Issues'!$B$2:$B$5,B6,'QA_Issues'!$D$2:$D$5,"CRITICAL")</f>
        <v/>
      </c>
      <c r="Q6" s="2">
        <f>COUNTIFS('QA_Issues'!$B$2:$B$5,B6,'QA_Issues'!$D$2:$D$5,"MAJOR")</f>
        <v/>
      </c>
      <c r="R6" s="2">
        <f>COUNTIFS('QA_Issues'!$B$2:$B$5,B6,'QA_Issues'!$D$2:$D$5,"MINOR")</f>
        <v/>
      </c>
      <c r="S6" s="2">
        <f>COUNTIFS('QA_Issues'!$B$2:$B$5,B6,'QA_Issues'!$D$2:$D$5,"LIMITATION")</f>
        <v/>
      </c>
      <c r="T6" s="2" t="inlineStr">
        <is>
          <t>[]</t>
        </is>
      </c>
      <c r="U6" s="2" t="inlineStr">
        <is>
          <t>["evidence_batch_017_165", "https://jeminise.com/products/pamnest-twin-halloween-comforter-set-with-sheets-5-pieces-design-02", "serp_qa_batch_017_r5_165_1", "live_pages", "customizer_fields_audit.json"]</t>
        </is>
      </c>
    </row>
    <row r="7" ht="42" customHeight="1">
      <c r="A7" s="3" t="n">
        <v>166</v>
      </c>
      <c r="B7" s="3" t="inlineStr">
        <is>
          <t>jeminise.com+pamnest-twin-halloween-comforter-set-with-sheets-5-pieces-design-03</t>
        </is>
      </c>
      <c r="C7" s="4" t="inlineStr">
        <is>
          <t>https://jeminise.com/products/pamnest-twin-halloween-comforter-set-with-sheets-5-pieces-design-03</t>
        </is>
      </c>
      <c r="D7" s="3" t="inlineStr">
        <is>
          <t>r5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6</v>
      </c>
      <c r="M7" s="3" t="n">
        <v>6</v>
      </c>
      <c r="N7" s="3" t="b">
        <v>1</v>
      </c>
      <c r="O7" s="8" t="n">
        <v>1</v>
      </c>
      <c r="P7" s="3">
        <f>COUNTIFS('QA_Issues'!$B$2:$B$5,B7,'QA_Issues'!$D$2:$D$5,"CRITICAL")</f>
        <v/>
      </c>
      <c r="Q7" s="3">
        <f>COUNTIFS('QA_Issues'!$B$2:$B$5,B7,'QA_Issues'!$D$2:$D$5,"MAJOR")</f>
        <v/>
      </c>
      <c r="R7" s="3">
        <f>COUNTIFS('QA_Issues'!$B$2:$B$5,B7,'QA_Issues'!$D$2:$D$5,"MINOR")</f>
        <v/>
      </c>
      <c r="S7" s="3">
        <f>COUNTIFS('QA_Issues'!$B$2:$B$5,B7,'QA_Issues'!$D$2:$D$5,"LIMITATION")</f>
        <v/>
      </c>
      <c r="T7" s="3" t="inlineStr">
        <is>
          <t>[]</t>
        </is>
      </c>
      <c r="U7" s="3" t="inlineStr">
        <is>
          <t>["evidence_batch_017_166", "https://jeminise.com/products/pamnest-twin-halloween-comforter-set-with-sheets-5-pieces-design-03", "serp_qa_batch_017_r5_166_1", "live_pages", "customizer_fields_audit.json"]</t>
        </is>
      </c>
    </row>
    <row r="8" ht="42" customHeight="1">
      <c r="A8" s="2" t="n">
        <v>167</v>
      </c>
      <c r="B8" s="2" t="inlineStr">
        <is>
          <t>jeminise.com+pamnest-twin-halloween-comforter-set-with-sheets-5-pieces-design-04</t>
        </is>
      </c>
      <c r="C8" s="4" t="inlineStr">
        <is>
          <t>https://jeminise.com/products/pamnest-twin-halloween-comforter-set-with-sheets-5-pieces-design-04</t>
        </is>
      </c>
      <c r="D8" s="2" t="inlineStr">
        <is>
          <t>r5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6</v>
      </c>
      <c r="M8" s="2" t="n">
        <v>6</v>
      </c>
      <c r="N8" s="2" t="b">
        <v>1</v>
      </c>
      <c r="O8" s="6" t="n">
        <v>1</v>
      </c>
      <c r="P8" s="2">
        <f>COUNTIFS('QA_Issues'!$B$2:$B$5,B8,'QA_Issues'!$D$2:$D$5,"CRITICAL")</f>
        <v/>
      </c>
      <c r="Q8" s="2">
        <f>COUNTIFS('QA_Issues'!$B$2:$B$5,B8,'QA_Issues'!$D$2:$D$5,"MAJOR")</f>
        <v/>
      </c>
      <c r="R8" s="2">
        <f>COUNTIFS('QA_Issues'!$B$2:$B$5,B8,'QA_Issues'!$D$2:$D$5,"MINOR")</f>
        <v/>
      </c>
      <c r="S8" s="2">
        <f>COUNTIFS('QA_Issues'!$B$2:$B$5,B8,'QA_Issues'!$D$2:$D$5,"LIMITATION")</f>
        <v/>
      </c>
      <c r="T8" s="2" t="inlineStr">
        <is>
          <t>[]</t>
        </is>
      </c>
      <c r="U8" s="2" t="inlineStr">
        <is>
          <t>["evidence_batch_017_167", "https://jeminise.com/products/pamnest-twin-halloween-comforter-set-with-sheets-5-pieces-design-04", "serp_qa_batch_017_r5_167_1", "live_pages", "customizer_fields_audit.json"]</t>
        </is>
      </c>
    </row>
    <row r="9" ht="42" customHeight="1">
      <c r="A9" s="3" t="n">
        <v>168</v>
      </c>
      <c r="B9" s="3" t="inlineStr">
        <is>
          <t>jeminise.com+pamnest-twin-halloween-comforter-set-with-sheets-5-pieces-design-05</t>
        </is>
      </c>
      <c r="C9" s="4" t="inlineStr">
        <is>
          <t>https://jeminise.com/products/pamnest-twin-halloween-comforter-set-with-sheets-5-pieces-design-05</t>
        </is>
      </c>
      <c r="D9" s="3" t="inlineStr">
        <is>
          <t>r5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6</v>
      </c>
      <c r="M9" s="3" t="n">
        <v>6</v>
      </c>
      <c r="N9" s="3" t="b">
        <v>1</v>
      </c>
      <c r="O9" s="8" t="n">
        <v>1</v>
      </c>
      <c r="P9" s="3">
        <f>COUNTIFS('QA_Issues'!$B$2:$B$5,B9,'QA_Issues'!$D$2:$D$5,"CRITICAL")</f>
        <v/>
      </c>
      <c r="Q9" s="3">
        <f>COUNTIFS('QA_Issues'!$B$2:$B$5,B9,'QA_Issues'!$D$2:$D$5,"MAJOR")</f>
        <v/>
      </c>
      <c r="R9" s="3">
        <f>COUNTIFS('QA_Issues'!$B$2:$B$5,B9,'QA_Issues'!$D$2:$D$5,"MINOR")</f>
        <v/>
      </c>
      <c r="S9" s="3">
        <f>COUNTIFS('QA_Issues'!$B$2:$B$5,B9,'QA_Issues'!$D$2:$D$5,"LIMITATION")</f>
        <v/>
      </c>
      <c r="T9" s="3" t="inlineStr">
        <is>
          <t>[]</t>
        </is>
      </c>
      <c r="U9" s="3" t="inlineStr">
        <is>
          <t>["evidence_batch_017_168", "https://jeminise.com/products/pamnest-twin-halloween-comforter-set-with-sheets-5-pieces-design-05", "serp_qa_batch_017_r5_168_1", "live_pages", "customizer_fields_audit.json"]</t>
        </is>
      </c>
    </row>
    <row r="10" ht="42" customHeight="1">
      <c r="A10" s="2" t="n">
        <v>169</v>
      </c>
      <c r="B10" s="2" t="inlineStr">
        <is>
          <t>jeminise.com+pamnest-twin-halloween-comforter-set-with-sheets-5-pieces-design-06</t>
        </is>
      </c>
      <c r="C10" s="4" t="inlineStr">
        <is>
          <t>https://jeminise.com/products/pamnest-twin-halloween-comforter-set-with-sheets-5-pieces-design-06</t>
        </is>
      </c>
      <c r="D10" s="2" t="inlineStr">
        <is>
          <t>r5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6</v>
      </c>
      <c r="M10" s="2" t="n">
        <v>6</v>
      </c>
      <c r="N10" s="2" t="b">
        <v>1</v>
      </c>
      <c r="O10" s="6" t="n">
        <v>1</v>
      </c>
      <c r="P10" s="2">
        <f>COUNTIFS('QA_Issues'!$B$2:$B$5,B10,'QA_Issues'!$D$2:$D$5,"CRITICAL")</f>
        <v/>
      </c>
      <c r="Q10" s="2">
        <f>COUNTIFS('QA_Issues'!$B$2:$B$5,B10,'QA_Issues'!$D$2:$D$5,"MAJOR")</f>
        <v/>
      </c>
      <c r="R10" s="2">
        <f>COUNTIFS('QA_Issues'!$B$2:$B$5,B10,'QA_Issues'!$D$2:$D$5,"MINOR")</f>
        <v/>
      </c>
      <c r="S10" s="2">
        <f>COUNTIFS('QA_Issues'!$B$2:$B$5,B10,'QA_Issues'!$D$2:$D$5,"LIMITATION")</f>
        <v/>
      </c>
      <c r="T10" s="2" t="inlineStr">
        <is>
          <t>[]</t>
        </is>
      </c>
      <c r="U10" s="2" t="inlineStr">
        <is>
          <t>["evidence_batch_017_169", "https://jeminise.com/products/pamnest-twin-halloween-comforter-set-with-sheets-5-pieces-design-06", "serp_qa_batch_017_r5_169_1", "live_pages", "customizer_fields_audit.json"]</t>
        </is>
      </c>
    </row>
    <row r="11" ht="42" customHeight="1">
      <c r="A11" s="3" t="n">
        <v>170</v>
      </c>
      <c r="B11" s="3" t="inlineStr">
        <is>
          <t>jeminise.com+pamnest-twin-halloween-comforter-set-with-sheets-5-pieces-design-07</t>
        </is>
      </c>
      <c r="C11" s="4" t="inlineStr">
        <is>
          <t>https://jeminise.com/products/pamnest-twin-halloween-comforter-set-with-sheets-5-pieces-design-07</t>
        </is>
      </c>
      <c r="D11" s="3" t="inlineStr">
        <is>
          <t>r5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6</v>
      </c>
      <c r="M11" s="3" t="n">
        <v>6</v>
      </c>
      <c r="N11" s="3" t="b">
        <v>1</v>
      </c>
      <c r="O11" s="8" t="n">
        <v>1</v>
      </c>
      <c r="P11" s="3">
        <f>COUNTIFS('QA_Issues'!$B$2:$B$5,B11,'QA_Issues'!$D$2:$D$5,"CRITICAL")</f>
        <v/>
      </c>
      <c r="Q11" s="3">
        <f>COUNTIFS('QA_Issues'!$B$2:$B$5,B11,'QA_Issues'!$D$2:$D$5,"MAJOR")</f>
        <v/>
      </c>
      <c r="R11" s="3">
        <f>COUNTIFS('QA_Issues'!$B$2:$B$5,B11,'QA_Issues'!$D$2:$D$5,"MINOR")</f>
        <v/>
      </c>
      <c r="S11" s="3">
        <f>COUNTIFS('QA_Issues'!$B$2:$B$5,B11,'QA_Issues'!$D$2:$D$5,"LIMITATION")</f>
        <v/>
      </c>
      <c r="T11" s="3" t="inlineStr">
        <is>
          <t>[]</t>
        </is>
      </c>
      <c r="U11" s="3" t="inlineStr">
        <is>
          <t>["evidence_batch_017_170", "https://jeminise.com/products/pamnest-twin-halloween-comforter-set-with-sheets-5-pieces-design-07", "serp_qa_batch_017_r5_170_1",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jeminise.com+norse-mythology-raven-within-celtic-knot-frame-quilt-906ee24d68-906ee24d68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IF(B2="I1",AVERAGEIF('QA_Images'!$A$2:$A$63,A2,'QA_Images'!$R$2:$R$63)/100,IF(D2="FULL",1,IF(D2="PARTIAL",0.5,IF(D2="FAIL",0,""))))</f>
        <v/>
      </c>
      <c r="F2" s="5">
        <f>IF(E2="",0,C2*E2)</f>
        <v/>
      </c>
      <c r="G2" s="5">
        <f>IF(B2="I1",20*AVERAGEIF('QA_Images'!$A$2:$A$63,A2,'QA_Images'!$S$2:$S$63)/100,IF(D2="NOT_CHECKED",0,C2))</f>
        <v/>
      </c>
      <c r="H2" s="2" t="inlineStr">
        <is>
          <t>FULL: source workbook, product JSON and direct image checks support the product identity; verified motif: blue raven Celtic knot quilt with raven and Celtic knot frame artwork.</t>
        </is>
      </c>
      <c r="I2" s="2" t="inlineStr">
        <is>
          <t>["evidence_batch_017_161", "https://jeminise.com/products/norse-mythology-raven-within-celtic-knot-frame-quilt-906ee24d68-906ee24d68"]</t>
        </is>
      </c>
      <c r="J2" s="2" t="inlineStr">
        <is>
          <t>[]</t>
        </is>
      </c>
    </row>
    <row r="3" ht="42" customHeight="1">
      <c r="A3" s="3" t="inlineStr">
        <is>
          <t>jeminise.com+norse-mythology-raven-within-celtic-knot-frame-quilt-906ee24d68-906ee24d68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IF(B3="I1",AVERAGEIF('QA_Images'!$A$2:$A$63,A3,'QA_Images'!$R$2:$R$63)/100,IF(D3="FULL",1,IF(D3="PARTIAL",0.5,IF(D3="FAIL",0,""))))</f>
        <v/>
      </c>
      <c r="F3" s="7">
        <f>IF(E3="",0,C3*E3)</f>
        <v/>
      </c>
      <c r="G3" s="7">
        <f>IF(B3="I1",20*AVERAGEIF('QA_Images'!$A$2:$A$63,A3,'QA_Images'!$S$2:$S$63)/100,IF(D3="NOT_CHECKED",0,C3))</f>
        <v/>
      </c>
      <c r="H3" s="3" t="inlineStr">
        <is>
          <t>FULL: product type/options/personalization were checked against live JSON, admin export and customizer audit: customizer root present without extracted controls.</t>
        </is>
      </c>
      <c r="I3" s="3" t="inlineStr">
        <is>
          <t>["evidence_batch_017_161", "https://jeminise.com/products/norse-mythology-raven-within-celtic-knot-frame-quilt-906ee24d68-906ee24d68",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jeminise.com+norse-mythology-raven-within-celtic-knot-frame-quilt-906ee24d68-906ee24d68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IF(B4="I1",AVERAGEIF('QA_Images'!$A$2:$A$63,A4,'QA_Images'!$R$2:$R$63)/100,IF(D4="FULL",1,IF(D4="PARTIAL",0.5,IF(D4="FAIL",0,""))))</f>
        <v/>
      </c>
      <c r="F4" s="5">
        <f>IF(E4="",0,C4*E4)</f>
        <v/>
      </c>
      <c r="G4" s="5">
        <f>IF(B4="I1",20*AVERAGEIF('QA_Images'!$A$2:$A$63,A4,'QA_Images'!$S$2:$S$63)/100,IF(D4="NOT_CHECKED",0,C4))</f>
        <v/>
      </c>
      <c r="H4" s="2" t="inlineStr">
        <is>
          <t>PARTIAL: primary keyword 'blue raven Celtic knot quilt' was checked against this product's own US/English SERP; partial means the exact phrase is niche or sample-name driven.</t>
        </is>
      </c>
      <c r="I4" s="2" t="inlineStr">
        <is>
          <t>["evidence_batch_017_161", "https://jeminise.com/products/norse-mythology-raven-within-celtic-knot-frame-quilt-906ee24d68-906ee24d68", "serp_qa_batch_017_r5_161_1", "serp_qa_batch_017_r5_161_2"]</t>
        </is>
      </c>
      <c r="J4" s="2" t="inlineStr">
        <is>
          <t>["B17R5-MIN-001"]</t>
        </is>
      </c>
    </row>
    <row r="5" ht="42" customHeight="1">
      <c r="A5" s="3" t="inlineStr">
        <is>
          <t>jeminise.com+norse-mythology-raven-within-celtic-knot-frame-quilt-906ee24d68-906ee24d68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IF(B5="I1",AVERAGEIF('QA_Images'!$A$2:$A$63,A5,'QA_Images'!$R$2:$R$63)/100,IF(D5="FULL",1,IF(D5="PARTIAL",0.5,IF(D5="FAIL",0,""))))</f>
        <v/>
      </c>
      <c r="F5" s="7">
        <f>IF(E5="",0,C5*E5)</f>
        <v/>
      </c>
      <c r="G5" s="7">
        <f>IF(B5="I1",20*AVERAGEIF('QA_Images'!$A$2:$A$63,A5,'QA_Images'!$S$2:$S$63)/100,IF(D5="NOT_CHECKED",0,C5))</f>
        <v/>
      </c>
      <c r="H5" s="3" t="inlineStr">
        <is>
          <t>FULL: comparator query confirms commercial product intent; partial means results broaden beyond this exact motif/product type.</t>
        </is>
      </c>
      <c r="I5" s="3" t="inlineStr">
        <is>
          <t>["evidence_batch_017_161", "https://jeminise.com/products/norse-mythology-raven-within-celtic-knot-frame-quilt-906ee24d68-906ee24d68", "serp_qa_batch_017_r5_161_1", "serp_qa_batch_017_r5_161_2"]</t>
        </is>
      </c>
      <c r="J5" s="3" t="inlineStr">
        <is>
          <t>["B17R5-MIN-001"]</t>
        </is>
      </c>
    </row>
    <row r="6" ht="42" customHeight="1">
      <c r="A6" s="2" t="inlineStr">
        <is>
          <t>jeminise.com+norse-mythology-raven-within-celtic-knot-frame-quilt-906ee24d68-906ee24d68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IF(B6="I1",AVERAGEIF('QA_Images'!$A$2:$A$63,A6,'QA_Images'!$R$2:$R$63)/100,IF(D6="FULL",1,IF(D6="PARTIAL",0.5,IF(D6="FAIL",0,""))))</f>
        <v/>
      </c>
      <c r="F6" s="5">
        <f>IF(E6="",0,C6*E6)</f>
        <v/>
      </c>
      <c r="G6" s="5">
        <f>IF(B6="I1",20*AVERAGEIF('QA_Images'!$A$2:$A$63,A6,'QA_Images'!$S$2:$S$63)/100,IF(D6="NOT_CHECKED",0,C6))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["evidence_batch_017_161", "https://jeminise.com/products/norse-mythology-raven-within-celtic-knot-frame-quilt-906ee24d68-906ee24d68", "serp_qa_batch_017_r5_161_1", "serp_qa_batch_017_r5_161_2"]</t>
        </is>
      </c>
      <c r="J6" s="2" t="inlineStr">
        <is>
          <t>[]</t>
        </is>
      </c>
    </row>
    <row r="7" ht="42" customHeight="1">
      <c r="A7" s="3" t="inlineStr">
        <is>
          <t>jeminise.com+norse-mythology-raven-within-celtic-knot-frame-quilt-906ee24d68-906ee24d68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IF(B7="I1",AVERAGEIF('QA_Images'!$A$2:$A$63,A7,'QA_Images'!$R$2:$R$63)/100,IF(D7="FULL",1,IF(D7="PARTIAL",0.5,IF(D7="FAIL",0,""))))</f>
        <v/>
      </c>
      <c r="F7" s="7">
        <f>IF(E7="",0,C7*E7)</f>
        <v/>
      </c>
      <c r="G7" s="7">
        <f>IF(B7="I1",20*AVERAGEIF('QA_Images'!$A$2:$A$63,A7,'QA_Images'!$S$2:$S$63)/100,IF(D7="NOT_CHECKED",0,C7))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["evidence_batch_017_161", "https://jeminise.com/products/norse-mythology-raven-within-celtic-knot-frame-quilt-906ee24d68-906ee24d68"]</t>
        </is>
      </c>
      <c r="J7" s="3" t="inlineStr">
        <is>
          <t>[]</t>
        </is>
      </c>
    </row>
    <row r="8" ht="42" customHeight="1">
      <c r="A8" s="2" t="inlineStr">
        <is>
          <t>jeminise.com+norse-mythology-raven-within-celtic-knot-frame-quilt-906ee24d68-906ee24d68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IF(B8="I1",AVERAGEIF('QA_Images'!$A$2:$A$63,A8,'QA_Images'!$R$2:$R$63)/100,IF(D8="FULL",1,IF(D8="PARTIAL",0.5,IF(D8="FAIL",0,""))))</f>
        <v/>
      </c>
      <c r="F8" s="5">
        <f>IF(E8="",0,C8*E8)</f>
        <v/>
      </c>
      <c r="G8" s="5">
        <f>IF(B8="I1",20*AVERAGEIF('QA_Images'!$A$2:$A$63,A8,'QA_Images'!$S$2:$S$63)/100,IF(D8="NOT_CHECKED",0,C8))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["evidence_batch_017_161", "https://jeminise.com/products/norse-mythology-raven-within-celtic-knot-frame-quilt-906ee24d68-906ee24d68"]</t>
        </is>
      </c>
      <c r="J8" s="2" t="inlineStr">
        <is>
          <t>[]</t>
        </is>
      </c>
    </row>
    <row r="9" ht="42" customHeight="1">
      <c r="A9" s="3" t="inlineStr">
        <is>
          <t>jeminise.com+norse-mythology-raven-within-celtic-knot-frame-quilt-906ee24d68-906ee24d68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IF(B9="I1",AVERAGEIF('QA_Images'!$A$2:$A$63,A9,'QA_Images'!$R$2:$R$63)/100,IF(D9="FULL",1,IF(D9="PARTIAL",0.5,IF(D9="FAIL",0,""))))</f>
        <v/>
      </c>
      <c r="F9" s="7">
        <f>IF(E9="",0,C9*E9)</f>
        <v/>
      </c>
      <c r="G9" s="7">
        <f>IF(B9="I1",20*AVERAGEIF('QA_Images'!$A$2:$A$63,A9,'QA_Images'!$S$2:$S$63)/100,IF(D9="NOT_CHECKED",0,C9))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["evidence_batch_017_161", "https://jeminise.com/products/norse-mythology-raven-within-celtic-knot-frame-quilt-906ee24d68-906ee24d68"]</t>
        </is>
      </c>
      <c r="J9" s="3" t="inlineStr">
        <is>
          <t>[]</t>
        </is>
      </c>
    </row>
    <row r="10" ht="42" customHeight="1">
      <c r="A10" s="2" t="inlineStr">
        <is>
          <t>jeminise.com+norse-mythology-raven-within-celtic-knot-frame-quilt-906ee24d68-906ee24d68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IF(B10="I1",AVERAGEIF('QA_Images'!$A$2:$A$63,A10,'QA_Images'!$R$2:$R$63)/100,IF(D10="FULL",1,IF(D10="PARTIAL",0.5,IF(D10="FAIL",0,""))))</f>
        <v/>
      </c>
      <c r="F10" s="5">
        <f>IF(E10="",0,C10*E10)</f>
        <v/>
      </c>
      <c r="G10" s="5">
        <f>IF(B10="I1",20*AVERAGEIF('QA_Images'!$A$2:$A$63,A10,'QA_Images'!$S$2:$S$63)/100,IF(D10="NOT_CHECKED",0,C10))</f>
        <v/>
      </c>
      <c r="H10" s="2" t="inlineStr">
        <is>
          <t>PARTIAL: description HTML is mostly customer-facing and evidence-led, but fallback wording such as 'when available' should be replaced with exact verified panels.</t>
        </is>
      </c>
      <c r="I10" s="2" t="inlineStr">
        <is>
          <t>["evidence_batch_017_161", "https://jeminise.com/products/norse-mythology-raven-within-celtic-knot-frame-quilt-906ee24d68-906ee24d68"]</t>
        </is>
      </c>
      <c r="J10" s="2" t="inlineStr">
        <is>
          <t>["B17R5-MIN-001"]</t>
        </is>
      </c>
    </row>
    <row r="11" ht="42" customHeight="1">
      <c r="A11" s="3" t="inlineStr">
        <is>
          <t>jeminise.com+norse-mythology-raven-within-celtic-knot-frame-quilt-906ee24d68-906ee24d68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IF(B11="I1",AVERAGEIF('QA_Images'!$A$2:$A$63,A11,'QA_Images'!$R$2:$R$63)/100,IF(D11="FULL",1,IF(D11="PARTIAL",0.5,IF(D11="FAIL",0,""))))</f>
        <v/>
      </c>
      <c r="F11" s="7">
        <f>IF(E11="",0,C11*E11)</f>
        <v/>
      </c>
      <c r="G11" s="7">
        <f>IF(B11="I1",20*AVERAGEIF('QA_Images'!$A$2:$A$63,A11,'QA_Images'!$S$2:$S$63)/100,IF(D11="NOT_CHECKED",0,C11))</f>
        <v/>
      </c>
      <c r="H11" s="3" t="inlineStr">
        <is>
          <t>Derived from 7 QA_Images rows for this product; average image score 100/100.</t>
        </is>
      </c>
      <c r="I11" s="3" t="inlineStr">
        <is>
          <t>["QA_Images", "evidence_batch_017_161"]</t>
        </is>
      </c>
      <c r="J11" s="3" t="inlineStr">
        <is>
          <t>[]</t>
        </is>
      </c>
    </row>
    <row r="12" ht="42" customHeight="1">
      <c r="A12" s="2" t="inlineStr">
        <is>
          <t>jeminise.com+norse-mythology-raven-within-celtic-knot-frame-quilt-906ee24d68-906ee24d68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IF(B12="I1",AVERAGEIF('QA_Images'!$A$2:$A$63,A12,'QA_Images'!$R$2:$R$63)/100,IF(D12="FULL",1,IF(D12="PARTIAL",0.5,IF(D12="FAIL",0,""))))</f>
        <v/>
      </c>
      <c r="F12" s="5">
        <f>IF(E12="",0,C12*E12)</f>
        <v/>
      </c>
      <c r="G12" s="5">
        <f>IF(B12="I1",20*AVERAGEIF('QA_Images'!$A$2:$A$63,A12,'QA_Images'!$S$2:$S$63)/100,IF(D12="NOT_CHECKED",0,C12))</f>
        <v/>
      </c>
      <c r="H12" s="2" t="inlineStr">
        <is>
          <t>FULL: product key, handle, links and scoped evidence are consistent; row-level r4 labels are recorded separately as a traceability limitation.</t>
        </is>
      </c>
      <c r="I12" s="2" t="inlineStr">
        <is>
          <t>["evidence_batch_017_161", "https://jeminise.com/products/norse-mythology-raven-within-celtic-knot-frame-quilt-906ee24d68-906ee24d68"]</t>
        </is>
      </c>
      <c r="J12" s="2" t="inlineStr">
        <is>
          <t>[]</t>
        </is>
      </c>
    </row>
    <row r="13" ht="42" customHeight="1">
      <c r="A13" s="3" t="inlineStr">
        <is>
          <t>jeminise.com+norse-mythology-viking-shield-with-crossed-axes-quilt-ca630a284e-ca630a284e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IF(B13="I1",AVERAGEIF('QA_Images'!$A$2:$A$63,A13,'QA_Images'!$R$2:$R$63)/100,IF(D13="FULL",1,IF(D13="PARTIAL",0.5,IF(D13="FAIL",0,""))))</f>
        <v/>
      </c>
      <c r="F13" s="7">
        <f>IF(E13="",0,C13*E13)</f>
        <v/>
      </c>
      <c r="G13" s="7">
        <f>IF(B13="I1",20*AVERAGEIF('QA_Images'!$A$2:$A$63,A13,'QA_Images'!$S$2:$S$63)/100,IF(D13="NOT_CHECKED",0,C13))</f>
        <v/>
      </c>
      <c r="H13" s="3" t="inlineStr">
        <is>
          <t>FULL: source workbook, product JSON and direct image checks support the product identity; verified motif: Valhalla Viking shield quilt with shield, crossed axes and Norse artwork.</t>
        </is>
      </c>
      <c r="I13" s="3" t="inlineStr">
        <is>
          <t>["evidence_batch_017_162", "https://jeminise.com/products/norse-mythology-viking-shield-with-crossed-axes-quilt-ca630a284e-ca630a284e"]</t>
        </is>
      </c>
      <c r="J13" s="3" t="inlineStr">
        <is>
          <t>[]</t>
        </is>
      </c>
    </row>
    <row r="14" ht="42" customHeight="1">
      <c r="A14" s="2" t="inlineStr">
        <is>
          <t>jeminise.com+norse-mythology-viking-shield-with-crossed-axes-quilt-ca630a284e-ca630a284e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IF(B14="I1",AVERAGEIF('QA_Images'!$A$2:$A$63,A14,'QA_Images'!$R$2:$R$63)/100,IF(D14="FULL",1,IF(D14="PARTIAL",0.5,IF(D14="FAIL",0,""))))</f>
        <v/>
      </c>
      <c r="F14" s="5">
        <f>IF(E14="",0,C14*E14)</f>
        <v/>
      </c>
      <c r="G14" s="5">
        <f>IF(B14="I1",20*AVERAGEIF('QA_Images'!$A$2:$A$63,A14,'QA_Images'!$S$2:$S$63)/100,IF(D14="NOT_CHECKED",0,C14))</f>
        <v/>
      </c>
      <c r="H14" s="2" t="inlineStr">
        <is>
          <t>FULL: product type/options/personalization were checked against live JSON, admin export and customizer audit: customizer root present without extracted controls.</t>
        </is>
      </c>
      <c r="I14" s="2" t="inlineStr">
        <is>
          <t>["evidence_batch_017_162", "https://jeminise.com/products/norse-mythology-viking-shield-with-crossed-axes-quilt-ca630a284e-ca630a284e",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jeminise.com+norse-mythology-viking-shield-with-crossed-axes-quilt-ca630a284e-ca630a284e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IF(B15="I1",AVERAGEIF('QA_Images'!$A$2:$A$63,A15,'QA_Images'!$R$2:$R$63)/100,IF(D15="FULL",1,IF(D15="PARTIAL",0.5,IF(D15="FAIL",0,""))))</f>
        <v/>
      </c>
      <c r="F15" s="7">
        <f>IF(E15="",0,C15*E15)</f>
        <v/>
      </c>
      <c r="G15" s="7">
        <f>IF(B15="I1",20*AVERAGEIF('QA_Images'!$A$2:$A$63,A15,'QA_Images'!$S$2:$S$63)/100,IF(D15="NOT_CHECKED",0,C15))</f>
        <v/>
      </c>
      <c r="H15" s="3" t="inlineStr">
        <is>
          <t>FULL: primary keyword 'Valhalla Viking shield quilt' was checked against this product's own US/English SERP; partial means the exact phrase is niche or sample-name driven.</t>
        </is>
      </c>
      <c r="I15" s="3" t="inlineStr">
        <is>
          <t>["evidence_batch_017_162", "https://jeminise.com/products/norse-mythology-viking-shield-with-crossed-axes-quilt-ca630a284e-ca630a284e", "serp_qa_batch_017_r5_162_1", "serp_qa_batch_017_r5_162_2"]</t>
        </is>
      </c>
      <c r="J15" s="3" t="inlineStr">
        <is>
          <t>["B17R5-MIN-002"]</t>
        </is>
      </c>
    </row>
    <row r="16" ht="42" customHeight="1">
      <c r="A16" s="2" t="inlineStr">
        <is>
          <t>jeminise.com+norse-mythology-viking-shield-with-crossed-axes-quilt-ca630a284e-ca630a284e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IF(B16="I1",AVERAGEIF('QA_Images'!$A$2:$A$63,A16,'QA_Images'!$R$2:$R$63)/100,IF(D16="FULL",1,IF(D16="PARTIAL",0.5,IF(D16="FAIL",0,""))))</f>
        <v/>
      </c>
      <c r="F16" s="5">
        <f>IF(E16="",0,C16*E16)</f>
        <v/>
      </c>
      <c r="G16" s="5">
        <f>IF(B16="I1",20*AVERAGEIF('QA_Images'!$A$2:$A$63,A16,'QA_Images'!$S$2:$S$63)/100,IF(D16="NOT_CHECKED",0,C16))</f>
        <v/>
      </c>
      <c r="H16" s="2" t="inlineStr">
        <is>
          <t>FULL: comparator query confirms commercial product intent; partial means results broaden beyond this exact motif/product type.</t>
        </is>
      </c>
      <c r="I16" s="2" t="inlineStr">
        <is>
          <t>["evidence_batch_017_162", "https://jeminise.com/products/norse-mythology-viking-shield-with-crossed-axes-quilt-ca630a284e-ca630a284e", "serp_qa_batch_017_r5_162_1", "serp_qa_batch_017_r5_162_2"]</t>
        </is>
      </c>
      <c r="J16" s="2" t="inlineStr">
        <is>
          <t>["B17R5-MIN-002"]</t>
        </is>
      </c>
    </row>
    <row r="17" ht="42" customHeight="1">
      <c r="A17" s="3" t="inlineStr">
        <is>
          <t>jeminise.com+norse-mythology-viking-shield-with-crossed-axes-quilt-ca630a284e-ca630a284e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IF(B17="I1",AVERAGEIF('QA_Images'!$A$2:$A$63,A17,'QA_Images'!$R$2:$R$63)/100,IF(D17="FULL",1,IF(D17="PARTIAL",0.5,IF(D17="FAIL",0,""))))</f>
        <v/>
      </c>
      <c r="F17" s="7">
        <f>IF(E17="",0,C17*E17)</f>
        <v/>
      </c>
      <c r="G17" s="7">
        <f>IF(B17="I1",20*AVERAGEIF('QA_Images'!$A$2:$A$63,A17,'QA_Images'!$S$2:$S$63)/100,IF(D17="NOT_CHECKED",0,C17))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["evidence_batch_017_162", "https://jeminise.com/products/norse-mythology-viking-shield-with-crossed-axes-quilt-ca630a284e-ca630a284e", "serp_qa_batch_017_r5_162_1", "serp_qa_batch_017_r5_162_2"]</t>
        </is>
      </c>
      <c r="J17" s="3" t="inlineStr">
        <is>
          <t>[]</t>
        </is>
      </c>
    </row>
    <row r="18" ht="42" customHeight="1">
      <c r="A18" s="2" t="inlineStr">
        <is>
          <t>jeminise.com+norse-mythology-viking-shield-with-crossed-axes-quilt-ca630a284e-ca630a284e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IF(B18="I1",AVERAGEIF('QA_Images'!$A$2:$A$63,A18,'QA_Images'!$R$2:$R$63)/100,IF(D18="FULL",1,IF(D18="PARTIAL",0.5,IF(D18="FAIL",0,""))))</f>
        <v/>
      </c>
      <c r="F18" s="5">
        <f>IF(E18="",0,C18*E18)</f>
        <v/>
      </c>
      <c r="G18" s="5">
        <f>IF(B18="I1",20*AVERAGEIF('QA_Images'!$A$2:$A$63,A18,'QA_Images'!$S$2:$S$63)/100,IF(D18="NOT_CHECKED",0,C18))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["evidence_batch_017_162", "https://jeminise.com/products/norse-mythology-viking-shield-with-crossed-axes-quilt-ca630a284e-ca630a284e"]</t>
        </is>
      </c>
      <c r="J18" s="2" t="inlineStr">
        <is>
          <t>[]</t>
        </is>
      </c>
    </row>
    <row r="19" ht="42" customHeight="1">
      <c r="A19" s="3" t="inlineStr">
        <is>
          <t>jeminise.com+norse-mythology-viking-shield-with-crossed-axes-quilt-ca630a284e-ca630a284e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IF(B19="I1",AVERAGEIF('QA_Images'!$A$2:$A$63,A19,'QA_Images'!$R$2:$R$63)/100,IF(D19="FULL",1,IF(D19="PARTIAL",0.5,IF(D19="FAIL",0,""))))</f>
        <v/>
      </c>
      <c r="F19" s="7">
        <f>IF(E19="",0,C19*E19)</f>
        <v/>
      </c>
      <c r="G19" s="7">
        <f>IF(B19="I1",20*AVERAGEIF('QA_Images'!$A$2:$A$63,A19,'QA_Images'!$S$2:$S$63)/100,IF(D19="NOT_CHECKED",0,C19))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["evidence_batch_017_162", "https://jeminise.com/products/norse-mythology-viking-shield-with-crossed-axes-quilt-ca630a284e-ca630a284e"]</t>
        </is>
      </c>
      <c r="J19" s="3" t="inlineStr">
        <is>
          <t>[]</t>
        </is>
      </c>
    </row>
    <row r="20" ht="42" customHeight="1">
      <c r="A20" s="2" t="inlineStr">
        <is>
          <t>jeminise.com+norse-mythology-viking-shield-with-crossed-axes-quilt-ca630a284e-ca630a284e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IF(B20="I1",AVERAGEIF('QA_Images'!$A$2:$A$63,A20,'QA_Images'!$R$2:$R$63)/100,IF(D20="FULL",1,IF(D20="PARTIAL",0.5,IF(D20="FAIL",0,""))))</f>
        <v/>
      </c>
      <c r="F20" s="5">
        <f>IF(E20="",0,C20*E20)</f>
        <v/>
      </c>
      <c r="G20" s="5">
        <f>IF(B20="I1",20*AVERAGEIF('QA_Images'!$A$2:$A$63,A20,'QA_Images'!$S$2:$S$63)/100,IF(D20="NOT_CHECKED",0,C20))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["evidence_batch_017_162", "https://jeminise.com/products/norse-mythology-viking-shield-with-crossed-axes-quilt-ca630a284e-ca630a284e"]</t>
        </is>
      </c>
      <c r="J20" s="2" t="inlineStr">
        <is>
          <t>[]</t>
        </is>
      </c>
    </row>
    <row r="21" ht="42" customHeight="1">
      <c r="A21" s="3" t="inlineStr">
        <is>
          <t>jeminise.com+norse-mythology-viking-shield-with-crossed-axes-quilt-ca630a284e-ca630a284e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IF(B21="I1",AVERAGEIF('QA_Images'!$A$2:$A$63,A21,'QA_Images'!$R$2:$R$63)/100,IF(D21="FULL",1,IF(D21="PARTIAL",0.5,IF(D21="FAIL",0,""))))</f>
        <v/>
      </c>
      <c r="F21" s="7">
        <f>IF(E21="",0,C21*E21)</f>
        <v/>
      </c>
      <c r="G21" s="7">
        <f>IF(B21="I1",20*AVERAGEIF('QA_Images'!$A$2:$A$63,A21,'QA_Images'!$S$2:$S$63)/100,IF(D21="NOT_CHECKED",0,C21))</f>
        <v/>
      </c>
      <c r="H21" s="3" t="inlineStr">
        <is>
          <t>PARTIAL: description HTML is mostly customer-facing and evidence-led, but fallback wording such as 'when available' should be replaced with exact verified panels.</t>
        </is>
      </c>
      <c r="I21" s="3" t="inlineStr">
        <is>
          <t>["evidence_batch_017_162", "https://jeminise.com/products/norse-mythology-viking-shield-with-crossed-axes-quilt-ca630a284e-ca630a284e"]</t>
        </is>
      </c>
      <c r="J21" s="3" t="inlineStr">
        <is>
          <t>["B17R5-MIN-002"]</t>
        </is>
      </c>
    </row>
    <row r="22" ht="42" customHeight="1">
      <c r="A22" s="2" t="inlineStr">
        <is>
          <t>jeminise.com+norse-mythology-viking-shield-with-crossed-axes-quilt-ca630a284e-ca630a284e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IF(B22="I1",AVERAGEIF('QA_Images'!$A$2:$A$63,A22,'QA_Images'!$R$2:$R$63)/100,IF(D22="FULL",1,IF(D22="PARTIAL",0.5,IF(D22="FAIL",0,""))))</f>
        <v/>
      </c>
      <c r="F22" s="5">
        <f>IF(E22="",0,C22*E22)</f>
        <v/>
      </c>
      <c r="G22" s="5">
        <f>IF(B22="I1",20*AVERAGEIF('QA_Images'!$A$2:$A$63,A22,'QA_Images'!$S$2:$S$63)/100,IF(D22="NOT_CHECKED",0,C22))</f>
        <v/>
      </c>
      <c r="H22" s="2" t="inlineStr">
        <is>
          <t>Derived from 7 QA_Images rows for this product; average image score 100/100.</t>
        </is>
      </c>
      <c r="I22" s="2" t="inlineStr">
        <is>
          <t>["QA_Images", "evidence_batch_017_162"]</t>
        </is>
      </c>
      <c r="J22" s="2" t="inlineStr">
        <is>
          <t>[]</t>
        </is>
      </c>
    </row>
    <row r="23" ht="42" customHeight="1">
      <c r="A23" s="3" t="inlineStr">
        <is>
          <t>jeminise.com+norse-mythology-viking-shield-with-crossed-axes-quilt-ca630a284e-ca630a284e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IF(B23="I1",AVERAGEIF('QA_Images'!$A$2:$A$63,A23,'QA_Images'!$R$2:$R$63)/100,IF(D23="FULL",1,IF(D23="PARTIAL",0.5,IF(D23="FAIL",0,""))))</f>
        <v/>
      </c>
      <c r="F23" s="7">
        <f>IF(E23="",0,C23*E23)</f>
        <v/>
      </c>
      <c r="G23" s="7">
        <f>IF(B23="I1",20*AVERAGEIF('QA_Images'!$A$2:$A$63,A23,'QA_Images'!$S$2:$S$63)/100,IF(D23="NOT_CHECKED",0,C23))</f>
        <v/>
      </c>
      <c r="H23" s="3" t="inlineStr">
        <is>
          <t>FULL: product key, handle, links and scoped evidence are consistent; row-level r4 labels are recorded separately as a traceability limitation.</t>
        </is>
      </c>
      <c r="I23" s="3" t="inlineStr">
        <is>
          <t>["evidence_batch_017_162", "https://jeminise.com/products/norse-mythology-viking-shield-with-crossed-axes-quilt-ca630a284e-ca630a284e"]</t>
        </is>
      </c>
      <c r="J23" s="3" t="inlineStr">
        <is>
          <t>[]</t>
        </is>
      </c>
    </row>
    <row r="24" ht="42" customHeight="1">
      <c r="A24" s="2" t="inlineStr">
        <is>
          <t>jeminise.com+owl-patchwork-pattern-quilt-set-animals-quilt-set-style-owl-nights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IF(B24="I1",AVERAGEIF('QA_Images'!$A$2:$A$63,A24,'QA_Images'!$R$2:$R$63)/100,IF(D24="FULL",1,IF(D24="PARTIAL",0.5,IF(D24="FAIL",0,""))))</f>
        <v/>
      </c>
      <c r="F24" s="5">
        <f>IF(E24="",0,C24*E24)</f>
        <v/>
      </c>
      <c r="G24" s="5">
        <f>IF(B24="I1",20*AVERAGEIF('QA_Images'!$A$2:$A$63,A24,'QA_Images'!$S$2:$S$63)/100,IF(D24="NOT_CHECKED",0,C24))</f>
        <v/>
      </c>
      <c r="H24" s="2" t="inlineStr">
        <is>
          <t>FULL: source workbook, product JSON and direct image checks support the product identity; verified motif: blue gold owl night quilt set with owl night wildlife artwork.</t>
        </is>
      </c>
      <c r="I24" s="2" t="inlineStr">
        <is>
          <t>["evidence_batch_017_163", "https://jeminise.com/products/owl-patchwork-pattern-quilt-set-animals-quilt-set-style-owl-nights"]</t>
        </is>
      </c>
      <c r="J24" s="2" t="inlineStr">
        <is>
          <t>[]</t>
        </is>
      </c>
    </row>
    <row r="25" ht="42" customHeight="1">
      <c r="A25" s="3" t="inlineStr">
        <is>
          <t>jeminise.com+owl-patchwork-pattern-quilt-set-animals-quilt-set-style-owl-nights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IF(B25="I1",AVERAGEIF('QA_Images'!$A$2:$A$63,A25,'QA_Images'!$R$2:$R$63)/100,IF(D25="FULL",1,IF(D25="PARTIAL",0.5,IF(D25="FAIL",0,""))))</f>
        <v/>
      </c>
      <c r="F25" s="7">
        <f>IF(E25="",0,C25*E25)</f>
        <v/>
      </c>
      <c r="G25" s="7">
        <f>IF(B25="I1",20*AVERAGEIF('QA_Images'!$A$2:$A$63,A25,'QA_Images'!$S$2:$S$63)/100,IF(D25="NOT_CHECKED",0,C25))</f>
        <v/>
      </c>
      <c r="H25" s="3" t="inlineStr">
        <is>
          <t>FULL: product type/options/personalization were checked against live JSON, admin export and customizer audit: customizer root present without extracted controls.</t>
        </is>
      </c>
      <c r="I25" s="3" t="inlineStr">
        <is>
          <t>["evidence_batch_017_163", "https://jeminise.com/products/owl-patchwork-pattern-quilt-set-animals-quilt-set-style-owl-nights",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jeminise.com+owl-patchwork-pattern-quilt-set-animals-quilt-set-style-owl-nights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IF(B26="I1",AVERAGEIF('QA_Images'!$A$2:$A$63,A26,'QA_Images'!$R$2:$R$63)/100,IF(D26="FULL",1,IF(D26="PARTIAL",0.5,IF(D26="FAIL",0,""))))</f>
        <v/>
      </c>
      <c r="F26" s="5">
        <f>IF(E26="",0,C26*E26)</f>
        <v/>
      </c>
      <c r="G26" s="5">
        <f>IF(B26="I1",20*AVERAGEIF('QA_Images'!$A$2:$A$63,A26,'QA_Images'!$S$2:$S$63)/100,IF(D26="NOT_CHECKED",0,C26))</f>
        <v/>
      </c>
      <c r="H26" s="2" t="inlineStr">
        <is>
          <t>PARTIAL: primary keyword 'blue gold owl night quilt set' was checked against this product's own US/English SERP; partial means the exact phrase is niche or sample-name driven.</t>
        </is>
      </c>
      <c r="I26" s="2" t="inlineStr">
        <is>
          <t>["evidence_batch_017_163", "https://jeminise.com/products/owl-patchwork-pattern-quilt-set-animals-quilt-set-style-owl-nights", "serp_qa_batch_017_r5_163_1", "serp_qa_batch_017_r5_163_2"]</t>
        </is>
      </c>
      <c r="J26" s="2" t="inlineStr">
        <is>
          <t>["B17R5-MIN-003"]</t>
        </is>
      </c>
    </row>
    <row r="27" ht="42" customHeight="1">
      <c r="A27" s="3" t="inlineStr">
        <is>
          <t>jeminise.com+owl-patchwork-pattern-quilt-set-animals-quilt-set-style-owl-nights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IF(B27="I1",AVERAGEIF('QA_Images'!$A$2:$A$63,A27,'QA_Images'!$R$2:$R$63)/100,IF(D27="FULL",1,IF(D27="PARTIAL",0.5,IF(D27="FAIL",0,""))))</f>
        <v/>
      </c>
      <c r="F27" s="7">
        <f>IF(E27="",0,C27*E27)</f>
        <v/>
      </c>
      <c r="G27" s="7">
        <f>IF(B27="I1",20*AVERAGEIF('QA_Images'!$A$2:$A$63,A27,'QA_Images'!$S$2:$S$63)/100,IF(D27="NOT_CHECKED",0,C27))</f>
        <v/>
      </c>
      <c r="H27" s="3" t="inlineStr">
        <is>
          <t>FULL: comparator query confirms commercial product intent; partial means results broaden beyond this exact motif/product type.</t>
        </is>
      </c>
      <c r="I27" s="3" t="inlineStr">
        <is>
          <t>["evidence_batch_017_163", "https://jeminise.com/products/owl-patchwork-pattern-quilt-set-animals-quilt-set-style-owl-nights", "serp_qa_batch_017_r5_163_1", "serp_qa_batch_017_r5_163_2"]</t>
        </is>
      </c>
      <c r="J27" s="3" t="inlineStr">
        <is>
          <t>["B17R5-MIN-003"]</t>
        </is>
      </c>
    </row>
    <row r="28" ht="42" customHeight="1">
      <c r="A28" s="2" t="inlineStr">
        <is>
          <t>jeminise.com+owl-patchwork-pattern-quilt-set-animals-quilt-set-style-owl-nights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IF(B28="I1",AVERAGEIF('QA_Images'!$A$2:$A$63,A28,'QA_Images'!$R$2:$R$63)/100,IF(D28="FULL",1,IF(D28="PARTIAL",0.5,IF(D28="FAIL",0,""))))</f>
        <v/>
      </c>
      <c r="F28" s="5">
        <f>IF(E28="",0,C28*E28)</f>
        <v/>
      </c>
      <c r="G28" s="5">
        <f>IF(B28="I1",20*AVERAGEIF('QA_Images'!$A$2:$A$63,A28,'QA_Images'!$S$2:$S$63)/100,IF(D28="NOT_CHECKED",0,C28))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["evidence_batch_017_163", "https://jeminise.com/products/owl-patchwork-pattern-quilt-set-animals-quilt-set-style-owl-nights", "serp_qa_batch_017_r5_163_1", "serp_qa_batch_017_r5_163_2"]</t>
        </is>
      </c>
      <c r="J28" s="2" t="inlineStr">
        <is>
          <t>[]</t>
        </is>
      </c>
    </row>
    <row r="29" ht="42" customHeight="1">
      <c r="A29" s="3" t="inlineStr">
        <is>
          <t>jeminise.com+owl-patchwork-pattern-quilt-set-animals-quilt-set-style-owl-nights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IF(B29="I1",AVERAGEIF('QA_Images'!$A$2:$A$63,A29,'QA_Images'!$R$2:$R$63)/100,IF(D29="FULL",1,IF(D29="PARTIAL",0.5,IF(D29="FAIL",0,""))))</f>
        <v/>
      </c>
      <c r="F29" s="7">
        <f>IF(E29="",0,C29*E29)</f>
        <v/>
      </c>
      <c r="G29" s="7">
        <f>IF(B29="I1",20*AVERAGEIF('QA_Images'!$A$2:$A$63,A29,'QA_Images'!$S$2:$S$63)/100,IF(D29="NOT_CHECKED",0,C29))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["evidence_batch_017_163", "https://jeminise.com/products/owl-patchwork-pattern-quilt-set-animals-quilt-set-style-owl-nights"]</t>
        </is>
      </c>
      <c r="J29" s="3" t="inlineStr">
        <is>
          <t>[]</t>
        </is>
      </c>
    </row>
    <row r="30" ht="42" customHeight="1">
      <c r="A30" s="2" t="inlineStr">
        <is>
          <t>jeminise.com+owl-patchwork-pattern-quilt-set-animals-quilt-set-style-owl-nights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IF(B30="I1",AVERAGEIF('QA_Images'!$A$2:$A$63,A30,'QA_Images'!$R$2:$R$63)/100,IF(D30="FULL",1,IF(D30="PARTIAL",0.5,IF(D30="FAIL",0,""))))</f>
        <v/>
      </c>
      <c r="F30" s="5">
        <f>IF(E30="",0,C30*E30)</f>
        <v/>
      </c>
      <c r="G30" s="5">
        <f>IF(B30="I1",20*AVERAGEIF('QA_Images'!$A$2:$A$63,A30,'QA_Images'!$S$2:$S$63)/100,IF(D30="NOT_CHECKED",0,C30))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["evidence_batch_017_163", "https://jeminise.com/products/owl-patchwork-pattern-quilt-set-animals-quilt-set-style-owl-nights"]</t>
        </is>
      </c>
      <c r="J30" s="2" t="inlineStr">
        <is>
          <t>[]</t>
        </is>
      </c>
    </row>
    <row r="31" ht="42" customHeight="1">
      <c r="A31" s="3" t="inlineStr">
        <is>
          <t>jeminise.com+owl-patchwork-pattern-quilt-set-animals-quilt-set-style-owl-nights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IF(B31="I1",AVERAGEIF('QA_Images'!$A$2:$A$63,A31,'QA_Images'!$R$2:$R$63)/100,IF(D31="FULL",1,IF(D31="PARTIAL",0.5,IF(D31="FAIL",0,""))))</f>
        <v/>
      </c>
      <c r="F31" s="7">
        <f>IF(E31="",0,C31*E31)</f>
        <v/>
      </c>
      <c r="G31" s="7">
        <f>IF(B31="I1",20*AVERAGEIF('QA_Images'!$A$2:$A$63,A31,'QA_Images'!$S$2:$S$63)/100,IF(D31="NOT_CHECKED",0,C31))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["evidence_batch_017_163", "https://jeminise.com/products/owl-patchwork-pattern-quilt-set-animals-quilt-set-style-owl-nights"]</t>
        </is>
      </c>
      <c r="J31" s="3" t="inlineStr">
        <is>
          <t>[]</t>
        </is>
      </c>
    </row>
    <row r="32" ht="42" customHeight="1">
      <c r="A32" s="2" t="inlineStr">
        <is>
          <t>jeminise.com+owl-patchwork-pattern-quilt-set-animals-quilt-set-style-owl-nights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IF(B32="I1",AVERAGEIF('QA_Images'!$A$2:$A$63,A32,'QA_Images'!$R$2:$R$63)/100,IF(D32="FULL",1,IF(D32="PARTIAL",0.5,IF(D32="FAIL",0,""))))</f>
        <v/>
      </c>
      <c r="F32" s="5">
        <f>IF(E32="",0,C32*E32)</f>
        <v/>
      </c>
      <c r="G32" s="5">
        <f>IF(B32="I1",20*AVERAGEIF('QA_Images'!$A$2:$A$63,A32,'QA_Images'!$S$2:$S$63)/100,IF(D32="NOT_CHECKED",0,C32))</f>
        <v/>
      </c>
      <c r="H32" s="2" t="inlineStr">
        <is>
          <t>PARTIAL: description HTML is mostly customer-facing and evidence-led, but fallback wording such as 'when available' should be replaced with exact verified panels.</t>
        </is>
      </c>
      <c r="I32" s="2" t="inlineStr">
        <is>
          <t>["evidence_batch_017_163", "https://jeminise.com/products/owl-patchwork-pattern-quilt-set-animals-quilt-set-style-owl-nights"]</t>
        </is>
      </c>
      <c r="J32" s="2" t="inlineStr">
        <is>
          <t>["B17R5-MIN-003"]</t>
        </is>
      </c>
    </row>
    <row r="33" ht="42" customHeight="1">
      <c r="A33" s="3" t="inlineStr">
        <is>
          <t>jeminise.com+owl-patchwork-pattern-quilt-set-animals-quilt-set-style-owl-nights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IF(B33="I1",AVERAGEIF('QA_Images'!$A$2:$A$63,A33,'QA_Images'!$R$2:$R$63)/100,IF(D33="FULL",1,IF(D33="PARTIAL",0.5,IF(D33="FAIL",0,""))))</f>
        <v/>
      </c>
      <c r="F33" s="7">
        <f>IF(E33="",0,C33*E33)</f>
        <v/>
      </c>
      <c r="G33" s="7">
        <f>IF(B33="I1",20*AVERAGEIF('QA_Images'!$A$2:$A$63,A33,'QA_Images'!$S$2:$S$63)/100,IF(D33="NOT_CHECKED",0,C33))</f>
        <v/>
      </c>
      <c r="H33" s="3" t="inlineStr">
        <is>
          <t>Derived from 7 QA_Images rows for this product; average image score 100/100.</t>
        </is>
      </c>
      <c r="I33" s="3" t="inlineStr">
        <is>
          <t>["QA_Images", "evidence_batch_017_163"]</t>
        </is>
      </c>
      <c r="J33" s="3" t="inlineStr">
        <is>
          <t>[]</t>
        </is>
      </c>
    </row>
    <row r="34" ht="42" customHeight="1">
      <c r="A34" s="2" t="inlineStr">
        <is>
          <t>jeminise.com+owl-patchwork-pattern-quilt-set-animals-quilt-set-style-owl-nights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IF(B34="I1",AVERAGEIF('QA_Images'!$A$2:$A$63,A34,'QA_Images'!$R$2:$R$63)/100,IF(D34="FULL",1,IF(D34="PARTIAL",0.5,IF(D34="FAIL",0,""))))</f>
        <v/>
      </c>
      <c r="F34" s="5">
        <f>IF(E34="",0,C34*E34)</f>
        <v/>
      </c>
      <c r="G34" s="5">
        <f>IF(B34="I1",20*AVERAGEIF('QA_Images'!$A$2:$A$63,A34,'QA_Images'!$S$2:$S$63)/100,IF(D34="NOT_CHECKED",0,C34))</f>
        <v/>
      </c>
      <c r="H34" s="2" t="inlineStr">
        <is>
          <t>FULL: product key, handle, links and scoped evidence are consistent; row-level r4 labels are recorded separately as a traceability limitation.</t>
        </is>
      </c>
      <c r="I34" s="2" t="inlineStr">
        <is>
          <t>["evidence_batch_017_163", "https://jeminise.com/products/owl-patchwork-pattern-quilt-set-animals-quilt-set-style-owl-nights"]</t>
        </is>
      </c>
      <c r="J34" s="2" t="inlineStr">
        <is>
          <t>[]</t>
        </is>
      </c>
    </row>
    <row r="35" ht="42" customHeight="1">
      <c r="A35" s="3" t="inlineStr">
        <is>
          <t>jeminise.com+pamnest-twin-halloween-comforter-set-with-sheets-5-pieces-design-01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IF(B35="I1",AVERAGEIF('QA_Images'!$A$2:$A$63,A35,'QA_Images'!$R$2:$R$63)/100,IF(D35="FULL",1,IF(D35="PARTIAL",0.5,IF(D35="FAIL",0,""))))</f>
        <v/>
      </c>
      <c r="F35" s="7">
        <f>IF(E35="",0,C35*E35)</f>
        <v/>
      </c>
      <c r="G35" s="7">
        <f>IF(B35="I1",20*AVERAGEIF('QA_Images'!$A$2:$A$63,A35,'QA_Images'!$S$2:$S$63)/100,IF(D35="NOT_CHECKED",0,C35))</f>
        <v/>
      </c>
      <c r="H35" s="3" t="inlineStr">
        <is>
          <t>FULL: source workbook, product JSON and direct image checks support the product identity; verified motif: witch moon Halloween comforter set with moon, witchy and Halloween bedding artwork.</t>
        </is>
      </c>
      <c r="I35" s="3" t="inlineStr">
        <is>
          <t>["evidence_batch_017_164", "https://jeminise.com/products/pamnest-twin-halloween-comforter-set-with-sheets-5-pieces-design-01"]</t>
        </is>
      </c>
      <c r="J35" s="3" t="inlineStr">
        <is>
          <t>[]</t>
        </is>
      </c>
    </row>
    <row r="36" ht="42" customHeight="1">
      <c r="A36" s="2" t="inlineStr">
        <is>
          <t>jeminise.com+pamnest-twin-halloween-comforter-set-with-sheets-5-pieces-design-01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IF(B36="I1",AVERAGEIF('QA_Images'!$A$2:$A$63,A36,'QA_Images'!$R$2:$R$63)/100,IF(D36="FULL",1,IF(D36="PARTIAL",0.5,IF(D36="FAIL",0,""))))</f>
        <v/>
      </c>
      <c r="F36" s="5">
        <f>IF(E36="",0,C36*E36)</f>
        <v/>
      </c>
      <c r="G36" s="5">
        <f>IF(B36="I1",20*AVERAGEIF('QA_Images'!$A$2:$A$63,A36,'QA_Images'!$S$2:$S$63)/100,IF(D36="NOT_CHECKED",0,C36))</f>
        <v/>
      </c>
      <c r="H36" s="2" t="inlineStr">
        <is>
          <t>FULL: product type/options/personalization were checked against live JSON, admin export and customizer audit: customizer root present without extracted controls.</t>
        </is>
      </c>
      <c r="I36" s="2" t="inlineStr">
        <is>
          <t>["evidence_batch_017_164", "https://jeminise.com/products/pamnest-twin-halloween-comforter-set-with-sheets-5-pieces-design-01",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jeminise.com+pamnest-twin-halloween-comforter-set-with-sheets-5-pieces-design-01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IF(B37="I1",AVERAGEIF('QA_Images'!$A$2:$A$63,A37,'QA_Images'!$R$2:$R$63)/100,IF(D37="FULL",1,IF(D37="PARTIAL",0.5,IF(D37="FAIL",0,""))))</f>
        <v/>
      </c>
      <c r="F37" s="7">
        <f>IF(E37="",0,C37*E37)</f>
        <v/>
      </c>
      <c r="G37" s="7">
        <f>IF(B37="I1",20*AVERAGEIF('QA_Images'!$A$2:$A$63,A37,'QA_Images'!$S$2:$S$63)/100,IF(D37="NOT_CHECKED",0,C37))</f>
        <v/>
      </c>
      <c r="H37" s="3" t="inlineStr">
        <is>
          <t>FULL: primary keyword 'witch moon Halloween comforter set' was checked against this product's own US/English SERP; partial means the exact phrase is niche or sample-name driven.</t>
        </is>
      </c>
      <c r="I37" s="3" t="inlineStr">
        <is>
          <t>["evidence_batch_017_164", "https://jeminise.com/products/pamnest-twin-halloween-comforter-set-with-sheets-5-pieces-design-01", "serp_qa_batch_017_r5_164_1", "serp_qa_batch_017_r5_164_2"]</t>
        </is>
      </c>
      <c r="J37" s="3" t="inlineStr">
        <is>
          <t>[]</t>
        </is>
      </c>
    </row>
    <row r="38" ht="42" customHeight="1">
      <c r="A38" s="2" t="inlineStr">
        <is>
          <t>jeminise.com+pamnest-twin-halloween-comforter-set-with-sheets-5-pieces-design-01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IF(B38="I1",AVERAGEIF('QA_Images'!$A$2:$A$63,A38,'QA_Images'!$R$2:$R$63)/100,IF(D38="FULL",1,IF(D38="PARTIAL",0.5,IF(D38="FAIL",0,""))))</f>
        <v/>
      </c>
      <c r="F38" s="5">
        <f>IF(E38="",0,C38*E38)</f>
        <v/>
      </c>
      <c r="G38" s="5">
        <f>IF(B38="I1",20*AVERAGEIF('QA_Images'!$A$2:$A$63,A38,'QA_Images'!$S$2:$S$63)/100,IF(D38="NOT_CHECKED",0,C38))</f>
        <v/>
      </c>
      <c r="H38" s="2" t="inlineStr">
        <is>
          <t>FULL: comparator query confirms commercial product intent; partial means results broaden beyond this exact motif/product type.</t>
        </is>
      </c>
      <c r="I38" s="2" t="inlineStr">
        <is>
          <t>["evidence_batch_017_164", "https://jeminise.com/products/pamnest-twin-halloween-comforter-set-with-sheets-5-pieces-design-01", "serp_qa_batch_017_r5_164_1", "serp_qa_batch_017_r5_164_2"]</t>
        </is>
      </c>
      <c r="J38" s="2" t="inlineStr">
        <is>
          <t>[]</t>
        </is>
      </c>
    </row>
    <row r="39" ht="42" customHeight="1">
      <c r="A39" s="3" t="inlineStr">
        <is>
          <t>jeminise.com+pamnest-twin-halloween-comforter-set-with-sheets-5-pieces-design-01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IF(B39="I1",AVERAGEIF('QA_Images'!$A$2:$A$63,A39,'QA_Images'!$R$2:$R$63)/100,IF(D39="FULL",1,IF(D39="PARTIAL",0.5,IF(D39="FAIL",0,""))))</f>
        <v/>
      </c>
      <c r="F39" s="7">
        <f>IF(E39="",0,C39*E39)</f>
        <v/>
      </c>
      <c r="G39" s="7">
        <f>IF(B39="I1",20*AVERAGEIF('QA_Images'!$A$2:$A$63,A39,'QA_Images'!$S$2:$S$63)/100,IF(D39="NOT_CHECKED",0,C39))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["evidence_batch_017_164", "https://jeminise.com/products/pamnest-twin-halloween-comforter-set-with-sheets-5-pieces-design-01", "serp_qa_batch_017_r5_164_1", "serp_qa_batch_017_r5_164_2"]</t>
        </is>
      </c>
      <c r="J39" s="3" t="inlineStr">
        <is>
          <t>[]</t>
        </is>
      </c>
    </row>
    <row r="40" ht="42" customHeight="1">
      <c r="A40" s="2" t="inlineStr">
        <is>
          <t>jeminise.com+pamnest-twin-halloween-comforter-set-with-sheets-5-pieces-design-01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IF(B40="I1",AVERAGEIF('QA_Images'!$A$2:$A$63,A40,'QA_Images'!$R$2:$R$63)/100,IF(D40="FULL",1,IF(D40="PARTIAL",0.5,IF(D40="FAIL",0,""))))</f>
        <v/>
      </c>
      <c r="F40" s="5">
        <f>IF(E40="",0,C40*E40)</f>
        <v/>
      </c>
      <c r="G40" s="5">
        <f>IF(B40="I1",20*AVERAGEIF('QA_Images'!$A$2:$A$63,A40,'QA_Images'!$S$2:$S$63)/100,IF(D40="NOT_CHECKED",0,C40))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["evidence_batch_017_164", "https://jeminise.com/products/pamnest-twin-halloween-comforter-set-with-sheets-5-pieces-design-01"]</t>
        </is>
      </c>
      <c r="J40" s="2" t="inlineStr">
        <is>
          <t>[]</t>
        </is>
      </c>
    </row>
    <row r="41" ht="42" customHeight="1">
      <c r="A41" s="3" t="inlineStr">
        <is>
          <t>jeminise.com+pamnest-twin-halloween-comforter-set-with-sheets-5-pieces-design-01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IF(B41="I1",AVERAGEIF('QA_Images'!$A$2:$A$63,A41,'QA_Images'!$R$2:$R$63)/100,IF(D41="FULL",1,IF(D41="PARTIAL",0.5,IF(D41="FAIL",0,""))))</f>
        <v/>
      </c>
      <c r="F41" s="7">
        <f>IF(E41="",0,C41*E41)</f>
        <v/>
      </c>
      <c r="G41" s="7">
        <f>IF(B41="I1",20*AVERAGEIF('QA_Images'!$A$2:$A$63,A41,'QA_Images'!$S$2:$S$63)/100,IF(D41="NOT_CHECKED",0,C41))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["evidence_batch_017_164", "https://jeminise.com/products/pamnest-twin-halloween-comforter-set-with-sheets-5-pieces-design-01"]</t>
        </is>
      </c>
      <c r="J41" s="3" t="inlineStr">
        <is>
          <t>[]</t>
        </is>
      </c>
    </row>
    <row r="42" ht="42" customHeight="1">
      <c r="A42" s="2" t="inlineStr">
        <is>
          <t>jeminise.com+pamnest-twin-halloween-comforter-set-with-sheets-5-pieces-design-01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IF(B42="I1",AVERAGEIF('QA_Images'!$A$2:$A$63,A42,'QA_Images'!$R$2:$R$63)/100,IF(D42="FULL",1,IF(D42="PARTIAL",0.5,IF(D42="FAIL",0,""))))</f>
        <v/>
      </c>
      <c r="F42" s="5">
        <f>IF(E42="",0,C42*E42)</f>
        <v/>
      </c>
      <c r="G42" s="5">
        <f>IF(B42="I1",20*AVERAGEIF('QA_Images'!$A$2:$A$63,A42,'QA_Images'!$S$2:$S$63)/100,IF(D42="NOT_CHECKED",0,C42))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["evidence_batch_017_164", "https://jeminise.com/products/pamnest-twin-halloween-comforter-set-with-sheets-5-pieces-design-01"]</t>
        </is>
      </c>
      <c r="J42" s="2" t="inlineStr">
        <is>
          <t>[]</t>
        </is>
      </c>
    </row>
    <row r="43" ht="42" customHeight="1">
      <c r="A43" s="3" t="inlineStr">
        <is>
          <t>jeminise.com+pamnest-twin-halloween-comforter-set-with-sheets-5-pieces-design-01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IF(B43="I1",AVERAGEIF('QA_Images'!$A$2:$A$63,A43,'QA_Images'!$R$2:$R$63)/100,IF(D43="FULL",1,IF(D43="PARTIAL",0.5,IF(D43="FAIL",0,""))))</f>
        <v/>
      </c>
      <c r="F43" s="7">
        <f>IF(E43="",0,C43*E43)</f>
        <v/>
      </c>
      <c r="G43" s="7">
        <f>IF(B43="I1",20*AVERAGEIF('QA_Images'!$A$2:$A$63,A43,'QA_Images'!$S$2:$S$63)/100,IF(D43="NOT_CHECKED",0,C43))</f>
        <v/>
      </c>
      <c r="H43" s="3" t="inlineStr">
        <is>
          <t>FULL: description HTML is publish-ready and tied to verified product facts/options.</t>
        </is>
      </c>
      <c r="I43" s="3" t="inlineStr">
        <is>
          <t>["evidence_batch_017_164", "https://jeminise.com/products/pamnest-twin-halloween-comforter-set-with-sheets-5-pieces-design-01"]</t>
        </is>
      </c>
      <c r="J43" s="3" t="inlineStr">
        <is>
          <t>[]</t>
        </is>
      </c>
    </row>
    <row r="44" ht="42" customHeight="1">
      <c r="A44" s="2" t="inlineStr">
        <is>
          <t>jeminise.com+pamnest-twin-halloween-comforter-set-with-sheets-5-pieces-design-01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IF(B44="I1",AVERAGEIF('QA_Images'!$A$2:$A$63,A44,'QA_Images'!$R$2:$R$63)/100,IF(D44="FULL",1,IF(D44="PARTIAL",0.5,IF(D44="FAIL",0,""))))</f>
        <v/>
      </c>
      <c r="F44" s="5">
        <f>IF(E44="",0,C44*E44)</f>
        <v/>
      </c>
      <c r="G44" s="5">
        <f>IF(B44="I1",20*AVERAGEIF('QA_Images'!$A$2:$A$63,A44,'QA_Images'!$S$2:$S$63)/100,IF(D44="NOT_CHECKED",0,C44))</f>
        <v/>
      </c>
      <c r="H44" s="2" t="inlineStr">
        <is>
          <t>Derived from 6 QA_Images rows for this product; average image score 100/100.</t>
        </is>
      </c>
      <c r="I44" s="2" t="inlineStr">
        <is>
          <t>["QA_Images", "evidence_batch_017_164"]</t>
        </is>
      </c>
      <c r="J44" s="2" t="inlineStr">
        <is>
          <t>[]</t>
        </is>
      </c>
    </row>
    <row r="45" ht="42" customHeight="1">
      <c r="A45" s="3" t="inlineStr">
        <is>
          <t>jeminise.com+pamnest-twin-halloween-comforter-set-with-sheets-5-pieces-design-01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IF(B45="I1",AVERAGEIF('QA_Images'!$A$2:$A$63,A45,'QA_Images'!$R$2:$R$63)/100,IF(D45="FULL",1,IF(D45="PARTIAL",0.5,IF(D45="FAIL",0,""))))</f>
        <v/>
      </c>
      <c r="F45" s="7">
        <f>IF(E45="",0,C45*E45)</f>
        <v/>
      </c>
      <c r="G45" s="7">
        <f>IF(B45="I1",20*AVERAGEIF('QA_Images'!$A$2:$A$63,A45,'QA_Images'!$S$2:$S$63)/100,IF(D45="NOT_CHECKED",0,C45))</f>
        <v/>
      </c>
      <c r="H45" s="3" t="inlineStr">
        <is>
          <t>FULL: product key, handle, links and scoped evidence are consistent; row-level r4 labels are recorded separately as a traceability limitation.</t>
        </is>
      </c>
      <c r="I45" s="3" t="inlineStr">
        <is>
          <t>["evidence_batch_017_164", "https://jeminise.com/products/pamnest-twin-halloween-comforter-set-with-sheets-5-pieces-design-01"]</t>
        </is>
      </c>
      <c r="J45" s="3" t="inlineStr">
        <is>
          <t>[]</t>
        </is>
      </c>
    </row>
    <row r="46" ht="42" customHeight="1">
      <c r="A46" s="2" t="inlineStr">
        <is>
          <t>jeminise.com+pamnest-twin-halloween-comforter-set-with-sheets-5-pieces-design-02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IF(B46="I1",AVERAGEIF('QA_Images'!$A$2:$A$63,A46,'QA_Images'!$R$2:$R$63)/100,IF(D46="FULL",1,IF(D46="PARTIAL",0.5,IF(D46="FAIL",0,""))))</f>
        <v/>
      </c>
      <c r="F46" s="5">
        <f>IF(E46="",0,C46*E46)</f>
        <v/>
      </c>
      <c r="G46" s="5">
        <f>IF(B46="I1",20*AVERAGEIF('QA_Images'!$A$2:$A$63,A46,'QA_Images'!$S$2:$S$63)/100,IF(D46="NOT_CHECKED",0,C46))</f>
        <v/>
      </c>
      <c r="H46" s="2" t="inlineStr">
        <is>
          <t>FULL: source workbook, product JSON and direct image checks support the product identity; verified motif: ghost pumpkin Halloween comforter set with cute ghost and pumpkin artwork.</t>
        </is>
      </c>
      <c r="I46" s="2" t="inlineStr">
        <is>
          <t>["evidence_batch_017_165", "https://jeminise.com/products/pamnest-twin-halloween-comforter-set-with-sheets-5-pieces-design-02"]</t>
        </is>
      </c>
      <c r="J46" s="2" t="inlineStr">
        <is>
          <t>[]</t>
        </is>
      </c>
    </row>
    <row r="47" ht="42" customHeight="1">
      <c r="A47" s="3" t="inlineStr">
        <is>
          <t>jeminise.com+pamnest-twin-halloween-comforter-set-with-sheets-5-pieces-design-02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IF(B47="I1",AVERAGEIF('QA_Images'!$A$2:$A$63,A47,'QA_Images'!$R$2:$R$63)/100,IF(D47="FULL",1,IF(D47="PARTIAL",0.5,IF(D47="FAIL",0,""))))</f>
        <v/>
      </c>
      <c r="F47" s="7">
        <f>IF(E47="",0,C47*E47)</f>
        <v/>
      </c>
      <c r="G47" s="7">
        <f>IF(B47="I1",20*AVERAGEIF('QA_Images'!$A$2:$A$63,A47,'QA_Images'!$S$2:$S$63)/100,IF(D47="NOT_CHECKED",0,C47))</f>
        <v/>
      </c>
      <c r="H47" s="3" t="inlineStr">
        <is>
          <t>FULL: product type/options/personalization were checked against live JSON, admin export and customizer audit: customizer root present without extracted controls.</t>
        </is>
      </c>
      <c r="I47" s="3" t="inlineStr">
        <is>
          <t>["evidence_batch_017_165", "https://jeminise.com/products/pamnest-twin-halloween-comforter-set-with-sheets-5-pieces-design-02",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jeminise.com+pamnest-twin-halloween-comforter-set-with-sheets-5-pieces-design-02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IF(B48="I1",AVERAGEIF('QA_Images'!$A$2:$A$63,A48,'QA_Images'!$R$2:$R$63)/100,IF(D48="FULL",1,IF(D48="PARTIAL",0.5,IF(D48="FAIL",0,""))))</f>
        <v/>
      </c>
      <c r="F48" s="5">
        <f>IF(E48="",0,C48*E48)</f>
        <v/>
      </c>
      <c r="G48" s="5">
        <f>IF(B48="I1",20*AVERAGEIF('QA_Images'!$A$2:$A$63,A48,'QA_Images'!$S$2:$S$63)/100,IF(D48="NOT_CHECKED",0,C48))</f>
        <v/>
      </c>
      <c r="H48" s="2" t="inlineStr">
        <is>
          <t>FULL: primary keyword 'ghost pumpkin Halloween comforter set' was checked against this product's own US/English SERP; partial means the exact phrase is niche or sample-name driven.</t>
        </is>
      </c>
      <c r="I48" s="2" t="inlineStr">
        <is>
          <t>["evidence_batch_017_165", "https://jeminise.com/products/pamnest-twin-halloween-comforter-set-with-sheets-5-pieces-design-02", "serp_qa_batch_017_r5_165_1", "serp_qa_batch_017_r5_165_2"]</t>
        </is>
      </c>
      <c r="J48" s="2" t="inlineStr">
        <is>
          <t>[]</t>
        </is>
      </c>
    </row>
    <row r="49" ht="42" customHeight="1">
      <c r="A49" s="3" t="inlineStr">
        <is>
          <t>jeminise.com+pamnest-twin-halloween-comforter-set-with-sheets-5-pieces-design-02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IF(B49="I1",AVERAGEIF('QA_Images'!$A$2:$A$63,A49,'QA_Images'!$R$2:$R$63)/100,IF(D49="FULL",1,IF(D49="PARTIAL",0.5,IF(D49="FAIL",0,""))))</f>
        <v/>
      </c>
      <c r="F49" s="7">
        <f>IF(E49="",0,C49*E49)</f>
        <v/>
      </c>
      <c r="G49" s="7">
        <f>IF(B49="I1",20*AVERAGEIF('QA_Images'!$A$2:$A$63,A49,'QA_Images'!$S$2:$S$63)/100,IF(D49="NOT_CHECKED",0,C49))</f>
        <v/>
      </c>
      <c r="H49" s="3" t="inlineStr">
        <is>
          <t>FULL: comparator query confirms commercial product intent; partial means results broaden beyond this exact motif/product type.</t>
        </is>
      </c>
      <c r="I49" s="3" t="inlineStr">
        <is>
          <t>["evidence_batch_017_165", "https://jeminise.com/products/pamnest-twin-halloween-comforter-set-with-sheets-5-pieces-design-02", "serp_qa_batch_017_r5_165_1", "serp_qa_batch_017_r5_165_2"]</t>
        </is>
      </c>
      <c r="J49" s="3" t="inlineStr">
        <is>
          <t>[]</t>
        </is>
      </c>
    </row>
    <row r="50" ht="42" customHeight="1">
      <c r="A50" s="2" t="inlineStr">
        <is>
          <t>jeminise.com+pamnest-twin-halloween-comforter-set-with-sheets-5-pieces-design-02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IF(B50="I1",AVERAGEIF('QA_Images'!$A$2:$A$63,A50,'QA_Images'!$R$2:$R$63)/100,IF(D50="FULL",1,IF(D50="PARTIAL",0.5,IF(D50="FAIL",0,""))))</f>
        <v/>
      </c>
      <c r="F50" s="5">
        <f>IF(E50="",0,C50*E50)</f>
        <v/>
      </c>
      <c r="G50" s="5">
        <f>IF(B50="I1",20*AVERAGEIF('QA_Images'!$A$2:$A$63,A50,'QA_Images'!$S$2:$S$63)/100,IF(D50="NOT_CHECKED",0,C50))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["evidence_batch_017_165", "https://jeminise.com/products/pamnest-twin-halloween-comforter-set-with-sheets-5-pieces-design-02", "serp_qa_batch_017_r5_165_1", "serp_qa_batch_017_r5_165_2"]</t>
        </is>
      </c>
      <c r="J50" s="2" t="inlineStr">
        <is>
          <t>[]</t>
        </is>
      </c>
    </row>
    <row r="51" ht="42" customHeight="1">
      <c r="A51" s="3" t="inlineStr">
        <is>
          <t>jeminise.com+pamnest-twin-halloween-comforter-set-with-sheets-5-pieces-design-02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IF(B51="I1",AVERAGEIF('QA_Images'!$A$2:$A$63,A51,'QA_Images'!$R$2:$R$63)/100,IF(D51="FULL",1,IF(D51="PARTIAL",0.5,IF(D51="FAIL",0,""))))</f>
        <v/>
      </c>
      <c r="F51" s="7">
        <f>IF(E51="",0,C51*E51)</f>
        <v/>
      </c>
      <c r="G51" s="7">
        <f>IF(B51="I1",20*AVERAGEIF('QA_Images'!$A$2:$A$63,A51,'QA_Images'!$S$2:$S$63)/100,IF(D51="NOT_CHECKED",0,C51))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["evidence_batch_017_165", "https://jeminise.com/products/pamnest-twin-halloween-comforter-set-with-sheets-5-pieces-design-02"]</t>
        </is>
      </c>
      <c r="J51" s="3" t="inlineStr">
        <is>
          <t>[]</t>
        </is>
      </c>
    </row>
    <row r="52" ht="42" customHeight="1">
      <c r="A52" s="2" t="inlineStr">
        <is>
          <t>jeminise.com+pamnest-twin-halloween-comforter-set-with-sheets-5-pieces-design-02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IF(B52="I1",AVERAGEIF('QA_Images'!$A$2:$A$63,A52,'QA_Images'!$R$2:$R$63)/100,IF(D52="FULL",1,IF(D52="PARTIAL",0.5,IF(D52="FAIL",0,""))))</f>
        <v/>
      </c>
      <c r="F52" s="5">
        <f>IF(E52="",0,C52*E52)</f>
        <v/>
      </c>
      <c r="G52" s="5">
        <f>IF(B52="I1",20*AVERAGEIF('QA_Images'!$A$2:$A$63,A52,'QA_Images'!$S$2:$S$63)/100,IF(D52="NOT_CHECKED",0,C52))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["evidence_batch_017_165", "https://jeminise.com/products/pamnest-twin-halloween-comforter-set-with-sheets-5-pieces-design-02"]</t>
        </is>
      </c>
      <c r="J52" s="2" t="inlineStr">
        <is>
          <t>[]</t>
        </is>
      </c>
    </row>
    <row r="53" ht="42" customHeight="1">
      <c r="A53" s="3" t="inlineStr">
        <is>
          <t>jeminise.com+pamnest-twin-halloween-comforter-set-with-sheets-5-pieces-design-02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IF(B53="I1",AVERAGEIF('QA_Images'!$A$2:$A$63,A53,'QA_Images'!$R$2:$R$63)/100,IF(D53="FULL",1,IF(D53="PARTIAL",0.5,IF(D53="FAIL",0,""))))</f>
        <v/>
      </c>
      <c r="F53" s="7">
        <f>IF(E53="",0,C53*E53)</f>
        <v/>
      </c>
      <c r="G53" s="7">
        <f>IF(B53="I1",20*AVERAGEIF('QA_Images'!$A$2:$A$63,A53,'QA_Images'!$S$2:$S$63)/100,IF(D53="NOT_CHECKED",0,C53))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["evidence_batch_017_165", "https://jeminise.com/products/pamnest-twin-halloween-comforter-set-with-sheets-5-pieces-design-02"]</t>
        </is>
      </c>
      <c r="J53" s="3" t="inlineStr">
        <is>
          <t>[]</t>
        </is>
      </c>
    </row>
    <row r="54" ht="42" customHeight="1">
      <c r="A54" s="2" t="inlineStr">
        <is>
          <t>jeminise.com+pamnest-twin-halloween-comforter-set-with-sheets-5-pieces-design-02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IF(B54="I1",AVERAGEIF('QA_Images'!$A$2:$A$63,A54,'QA_Images'!$R$2:$R$63)/100,IF(D54="FULL",1,IF(D54="PARTIAL",0.5,IF(D54="FAIL",0,""))))</f>
        <v/>
      </c>
      <c r="F54" s="5">
        <f>IF(E54="",0,C54*E54)</f>
        <v/>
      </c>
      <c r="G54" s="5">
        <f>IF(B54="I1",20*AVERAGEIF('QA_Images'!$A$2:$A$63,A54,'QA_Images'!$S$2:$S$63)/100,IF(D54="NOT_CHECKED",0,C54))</f>
        <v/>
      </c>
      <c r="H54" s="2" t="inlineStr">
        <is>
          <t>FULL: description HTML is publish-ready and tied to verified product facts/options.</t>
        </is>
      </c>
      <c r="I54" s="2" t="inlineStr">
        <is>
          <t>["evidence_batch_017_165", "https://jeminise.com/products/pamnest-twin-halloween-comforter-set-with-sheets-5-pieces-design-02"]</t>
        </is>
      </c>
      <c r="J54" s="2" t="inlineStr">
        <is>
          <t>[]</t>
        </is>
      </c>
    </row>
    <row r="55" ht="42" customHeight="1">
      <c r="A55" s="3" t="inlineStr">
        <is>
          <t>jeminise.com+pamnest-twin-halloween-comforter-set-with-sheets-5-pieces-design-02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IF(B55="I1",AVERAGEIF('QA_Images'!$A$2:$A$63,A55,'QA_Images'!$R$2:$R$63)/100,IF(D55="FULL",1,IF(D55="PARTIAL",0.5,IF(D55="FAIL",0,""))))</f>
        <v/>
      </c>
      <c r="F55" s="7">
        <f>IF(E55="",0,C55*E55)</f>
        <v/>
      </c>
      <c r="G55" s="7">
        <f>IF(B55="I1",20*AVERAGEIF('QA_Images'!$A$2:$A$63,A55,'QA_Images'!$S$2:$S$63)/100,IF(D55="NOT_CHECKED",0,C55))</f>
        <v/>
      </c>
      <c r="H55" s="3" t="inlineStr">
        <is>
          <t>Derived from 5 QA_Images rows for this product; average image score 100/100.</t>
        </is>
      </c>
      <c r="I55" s="3" t="inlineStr">
        <is>
          <t>["QA_Images", "evidence_batch_017_165"]</t>
        </is>
      </c>
      <c r="J55" s="3" t="inlineStr">
        <is>
          <t>[]</t>
        </is>
      </c>
    </row>
    <row r="56" ht="42" customHeight="1">
      <c r="A56" s="2" t="inlineStr">
        <is>
          <t>jeminise.com+pamnest-twin-halloween-comforter-set-with-sheets-5-pieces-design-02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IF(B56="I1",AVERAGEIF('QA_Images'!$A$2:$A$63,A56,'QA_Images'!$R$2:$R$63)/100,IF(D56="FULL",1,IF(D56="PARTIAL",0.5,IF(D56="FAIL",0,""))))</f>
        <v/>
      </c>
      <c r="F56" s="5">
        <f>IF(E56="",0,C56*E56)</f>
        <v/>
      </c>
      <c r="G56" s="5">
        <f>IF(B56="I1",20*AVERAGEIF('QA_Images'!$A$2:$A$63,A56,'QA_Images'!$S$2:$S$63)/100,IF(D56="NOT_CHECKED",0,C56))</f>
        <v/>
      </c>
      <c r="H56" s="2" t="inlineStr">
        <is>
          <t>FULL: product key, handle, links and scoped evidence are consistent; row-level r4 labels are recorded separately as a traceability limitation.</t>
        </is>
      </c>
      <c r="I56" s="2" t="inlineStr">
        <is>
          <t>["evidence_batch_017_165", "https://jeminise.com/products/pamnest-twin-halloween-comforter-set-with-sheets-5-pieces-design-02"]</t>
        </is>
      </c>
      <c r="J56" s="2" t="inlineStr">
        <is>
          <t>[]</t>
        </is>
      </c>
    </row>
    <row r="57" ht="42" customHeight="1">
      <c r="A57" s="3" t="inlineStr">
        <is>
          <t>jeminise.com+pamnest-twin-halloween-comforter-set-with-sheets-5-pieces-design-03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IF(B57="I1",AVERAGEIF('QA_Images'!$A$2:$A$63,A57,'QA_Images'!$R$2:$R$63)/100,IF(D57="FULL",1,IF(D57="PARTIAL",0.5,IF(D57="FAIL",0,""))))</f>
        <v/>
      </c>
      <c r="F57" s="7">
        <f>IF(E57="",0,C57*E57)</f>
        <v/>
      </c>
      <c r="G57" s="7">
        <f>IF(B57="I1",20*AVERAGEIF('QA_Images'!$A$2:$A$63,A57,'QA_Images'!$S$2:$S$63)/100,IF(D57="NOT_CHECKED",0,C57))</f>
        <v/>
      </c>
      <c r="H57" s="3" t="inlineStr">
        <is>
          <t>FULL: source workbook, product JSON and direct image checks support the product identity; verified motif: black ghost Halloween comforter set with black Halloween ghost artwork.</t>
        </is>
      </c>
      <c r="I57" s="3" t="inlineStr">
        <is>
          <t>["evidence_batch_017_166", "https://jeminise.com/products/pamnest-twin-halloween-comforter-set-with-sheets-5-pieces-design-03"]</t>
        </is>
      </c>
      <c r="J57" s="3" t="inlineStr">
        <is>
          <t>[]</t>
        </is>
      </c>
    </row>
    <row r="58" ht="42" customHeight="1">
      <c r="A58" s="2" t="inlineStr">
        <is>
          <t>jeminise.com+pamnest-twin-halloween-comforter-set-with-sheets-5-pieces-design-03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IF(B58="I1",AVERAGEIF('QA_Images'!$A$2:$A$63,A58,'QA_Images'!$R$2:$R$63)/100,IF(D58="FULL",1,IF(D58="PARTIAL",0.5,IF(D58="FAIL",0,""))))</f>
        <v/>
      </c>
      <c r="F58" s="5">
        <f>IF(E58="",0,C58*E58)</f>
        <v/>
      </c>
      <c r="G58" s="5">
        <f>IF(B58="I1",20*AVERAGEIF('QA_Images'!$A$2:$A$63,A58,'QA_Images'!$S$2:$S$63)/100,IF(D58="NOT_CHECKED",0,C58))</f>
        <v/>
      </c>
      <c r="H58" s="2" t="inlineStr">
        <is>
          <t>FULL: product type/options/personalization were checked against live JSON, admin export and customizer audit: customizer root present without extracted controls.</t>
        </is>
      </c>
      <c r="I58" s="2" t="inlineStr">
        <is>
          <t>["evidence_batch_017_166", "https://jeminise.com/products/pamnest-twin-halloween-comforter-set-with-sheets-5-pieces-design-03",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jeminise.com+pamnest-twin-halloween-comforter-set-with-sheets-5-pieces-design-03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IF(B59="I1",AVERAGEIF('QA_Images'!$A$2:$A$63,A59,'QA_Images'!$R$2:$R$63)/100,IF(D59="FULL",1,IF(D59="PARTIAL",0.5,IF(D59="FAIL",0,""))))</f>
        <v/>
      </c>
      <c r="F59" s="7">
        <f>IF(E59="",0,C59*E59)</f>
        <v/>
      </c>
      <c r="G59" s="7">
        <f>IF(B59="I1",20*AVERAGEIF('QA_Images'!$A$2:$A$63,A59,'QA_Images'!$S$2:$S$63)/100,IF(D59="NOT_CHECKED",0,C59))</f>
        <v/>
      </c>
      <c r="H59" s="3" t="inlineStr">
        <is>
          <t>FULL: primary keyword 'black ghost Halloween comforter set' was checked against this product's own US/English SERP; partial means the exact phrase is niche or sample-name driven.</t>
        </is>
      </c>
      <c r="I59" s="3" t="inlineStr">
        <is>
          <t>["evidence_batch_017_166", "https://jeminise.com/products/pamnest-twin-halloween-comforter-set-with-sheets-5-pieces-design-03", "serp_qa_batch_017_r5_166_1", "serp_qa_batch_017_r5_166_2"]</t>
        </is>
      </c>
      <c r="J59" s="3" t="inlineStr">
        <is>
          <t>[]</t>
        </is>
      </c>
    </row>
    <row r="60" ht="42" customHeight="1">
      <c r="A60" s="2" t="inlineStr">
        <is>
          <t>jeminise.com+pamnest-twin-halloween-comforter-set-with-sheets-5-pieces-design-03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IF(B60="I1",AVERAGEIF('QA_Images'!$A$2:$A$63,A60,'QA_Images'!$R$2:$R$63)/100,IF(D60="FULL",1,IF(D60="PARTIAL",0.5,IF(D60="FAIL",0,""))))</f>
        <v/>
      </c>
      <c r="F60" s="5">
        <f>IF(E60="",0,C60*E60)</f>
        <v/>
      </c>
      <c r="G60" s="5">
        <f>IF(B60="I1",20*AVERAGEIF('QA_Images'!$A$2:$A$63,A60,'QA_Images'!$S$2:$S$63)/100,IF(D60="NOT_CHECKED",0,C60))</f>
        <v/>
      </c>
      <c r="H60" s="2" t="inlineStr">
        <is>
          <t>FULL: comparator query confirms commercial product intent; partial means results broaden beyond this exact motif/product type.</t>
        </is>
      </c>
      <c r="I60" s="2" t="inlineStr">
        <is>
          <t>["evidence_batch_017_166", "https://jeminise.com/products/pamnest-twin-halloween-comforter-set-with-sheets-5-pieces-design-03", "serp_qa_batch_017_r5_166_1", "serp_qa_batch_017_r5_166_2"]</t>
        </is>
      </c>
      <c r="J60" s="2" t="inlineStr">
        <is>
          <t>[]</t>
        </is>
      </c>
    </row>
    <row r="61" ht="42" customHeight="1">
      <c r="A61" s="3" t="inlineStr">
        <is>
          <t>jeminise.com+pamnest-twin-halloween-comforter-set-with-sheets-5-pieces-design-03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IF(B61="I1",AVERAGEIF('QA_Images'!$A$2:$A$63,A61,'QA_Images'!$R$2:$R$63)/100,IF(D61="FULL",1,IF(D61="PARTIAL",0.5,IF(D61="FAIL",0,""))))</f>
        <v/>
      </c>
      <c r="F61" s="7">
        <f>IF(E61="",0,C61*E61)</f>
        <v/>
      </c>
      <c r="G61" s="7">
        <f>IF(B61="I1",20*AVERAGEIF('QA_Images'!$A$2:$A$63,A61,'QA_Images'!$S$2:$S$63)/100,IF(D61="NOT_CHECKED",0,C61))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["evidence_batch_017_166", "https://jeminise.com/products/pamnest-twin-halloween-comforter-set-with-sheets-5-pieces-design-03", "serp_qa_batch_017_r5_166_1", "serp_qa_batch_017_r5_166_2"]</t>
        </is>
      </c>
      <c r="J61" s="3" t="inlineStr">
        <is>
          <t>[]</t>
        </is>
      </c>
    </row>
    <row r="62" ht="42" customHeight="1">
      <c r="A62" s="2" t="inlineStr">
        <is>
          <t>jeminise.com+pamnest-twin-halloween-comforter-set-with-sheets-5-pieces-design-03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IF(B62="I1",AVERAGEIF('QA_Images'!$A$2:$A$63,A62,'QA_Images'!$R$2:$R$63)/100,IF(D62="FULL",1,IF(D62="PARTIAL",0.5,IF(D62="FAIL",0,""))))</f>
        <v/>
      </c>
      <c r="F62" s="5">
        <f>IF(E62="",0,C62*E62)</f>
        <v/>
      </c>
      <c r="G62" s="5">
        <f>IF(B62="I1",20*AVERAGEIF('QA_Images'!$A$2:$A$63,A62,'QA_Images'!$S$2:$S$63)/100,IF(D62="NOT_CHECKED",0,C62))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["evidence_batch_017_166", "https://jeminise.com/products/pamnest-twin-halloween-comforter-set-with-sheets-5-pieces-design-03"]</t>
        </is>
      </c>
      <c r="J62" s="2" t="inlineStr">
        <is>
          <t>[]</t>
        </is>
      </c>
    </row>
    <row r="63" ht="42" customHeight="1">
      <c r="A63" s="3" t="inlineStr">
        <is>
          <t>jeminise.com+pamnest-twin-halloween-comforter-set-with-sheets-5-pieces-design-03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IF(B63="I1",AVERAGEIF('QA_Images'!$A$2:$A$63,A63,'QA_Images'!$R$2:$R$63)/100,IF(D63="FULL",1,IF(D63="PARTIAL",0.5,IF(D63="FAIL",0,""))))</f>
        <v/>
      </c>
      <c r="F63" s="7">
        <f>IF(E63="",0,C63*E63)</f>
        <v/>
      </c>
      <c r="G63" s="7">
        <f>IF(B63="I1",20*AVERAGEIF('QA_Images'!$A$2:$A$63,A63,'QA_Images'!$S$2:$S$63)/100,IF(D63="NOT_CHECKED",0,C63))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["evidence_batch_017_166", "https://jeminise.com/products/pamnest-twin-halloween-comforter-set-with-sheets-5-pieces-design-03"]</t>
        </is>
      </c>
      <c r="J63" s="3" t="inlineStr">
        <is>
          <t>[]</t>
        </is>
      </c>
    </row>
    <row r="64" ht="42" customHeight="1">
      <c r="A64" s="2" t="inlineStr">
        <is>
          <t>jeminise.com+pamnest-twin-halloween-comforter-set-with-sheets-5-pieces-design-03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IF(B64="I1",AVERAGEIF('QA_Images'!$A$2:$A$63,A64,'QA_Images'!$R$2:$R$63)/100,IF(D64="FULL",1,IF(D64="PARTIAL",0.5,IF(D64="FAIL",0,""))))</f>
        <v/>
      </c>
      <c r="F64" s="5">
        <f>IF(E64="",0,C64*E64)</f>
        <v/>
      </c>
      <c r="G64" s="5">
        <f>IF(B64="I1",20*AVERAGEIF('QA_Images'!$A$2:$A$63,A64,'QA_Images'!$S$2:$S$63)/100,IF(D64="NOT_CHECKED",0,C64))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["evidence_batch_017_166", "https://jeminise.com/products/pamnest-twin-halloween-comforter-set-with-sheets-5-pieces-design-03"]</t>
        </is>
      </c>
      <c r="J64" s="2" t="inlineStr">
        <is>
          <t>[]</t>
        </is>
      </c>
    </row>
    <row r="65" ht="42" customHeight="1">
      <c r="A65" s="3" t="inlineStr">
        <is>
          <t>jeminise.com+pamnest-twin-halloween-comforter-set-with-sheets-5-pieces-design-03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IF(B65="I1",AVERAGEIF('QA_Images'!$A$2:$A$63,A65,'QA_Images'!$R$2:$R$63)/100,IF(D65="FULL",1,IF(D65="PARTIAL",0.5,IF(D65="FAIL",0,""))))</f>
        <v/>
      </c>
      <c r="F65" s="7">
        <f>IF(E65="",0,C65*E65)</f>
        <v/>
      </c>
      <c r="G65" s="7">
        <f>IF(B65="I1",20*AVERAGEIF('QA_Images'!$A$2:$A$63,A65,'QA_Images'!$S$2:$S$63)/100,IF(D65="NOT_CHECKED",0,C65))</f>
        <v/>
      </c>
      <c r="H65" s="3" t="inlineStr">
        <is>
          <t>FULL: description HTML is publish-ready and tied to verified product facts/options.</t>
        </is>
      </c>
      <c r="I65" s="3" t="inlineStr">
        <is>
          <t>["evidence_batch_017_166", "https://jeminise.com/products/pamnest-twin-halloween-comforter-set-with-sheets-5-pieces-design-03"]</t>
        </is>
      </c>
      <c r="J65" s="3" t="inlineStr">
        <is>
          <t>[]</t>
        </is>
      </c>
    </row>
    <row r="66" ht="42" customHeight="1">
      <c r="A66" s="2" t="inlineStr">
        <is>
          <t>jeminise.com+pamnest-twin-halloween-comforter-set-with-sheets-5-pieces-design-03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IF(B66="I1",AVERAGEIF('QA_Images'!$A$2:$A$63,A66,'QA_Images'!$R$2:$R$63)/100,IF(D66="FULL",1,IF(D66="PARTIAL",0.5,IF(D66="FAIL",0,""))))</f>
        <v/>
      </c>
      <c r="F66" s="5">
        <f>IF(E66="",0,C66*E66)</f>
        <v/>
      </c>
      <c r="G66" s="5">
        <f>IF(B66="I1",20*AVERAGEIF('QA_Images'!$A$2:$A$63,A66,'QA_Images'!$S$2:$S$63)/100,IF(D66="NOT_CHECKED",0,C66))</f>
        <v/>
      </c>
      <c r="H66" s="2" t="inlineStr">
        <is>
          <t>Derived from 6 QA_Images rows for this product; average image score 100/100.</t>
        </is>
      </c>
      <c r="I66" s="2" t="inlineStr">
        <is>
          <t>["QA_Images", "evidence_batch_017_166"]</t>
        </is>
      </c>
      <c r="J66" s="2" t="inlineStr">
        <is>
          <t>[]</t>
        </is>
      </c>
    </row>
    <row r="67" ht="42" customHeight="1">
      <c r="A67" s="3" t="inlineStr">
        <is>
          <t>jeminise.com+pamnest-twin-halloween-comforter-set-with-sheets-5-pieces-design-03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IF(B67="I1",AVERAGEIF('QA_Images'!$A$2:$A$63,A67,'QA_Images'!$R$2:$R$63)/100,IF(D67="FULL",1,IF(D67="PARTIAL",0.5,IF(D67="FAIL",0,""))))</f>
        <v/>
      </c>
      <c r="F67" s="7">
        <f>IF(E67="",0,C67*E67)</f>
        <v/>
      </c>
      <c r="G67" s="7">
        <f>IF(B67="I1",20*AVERAGEIF('QA_Images'!$A$2:$A$63,A67,'QA_Images'!$S$2:$S$63)/100,IF(D67="NOT_CHECKED",0,C67))</f>
        <v/>
      </c>
      <c r="H67" s="3" t="inlineStr">
        <is>
          <t>FULL: product key, handle, links and scoped evidence are consistent; row-level r4 labels are recorded separately as a traceability limitation.</t>
        </is>
      </c>
      <c r="I67" s="3" t="inlineStr">
        <is>
          <t>["evidence_batch_017_166", "https://jeminise.com/products/pamnest-twin-halloween-comforter-set-with-sheets-5-pieces-design-03"]</t>
        </is>
      </c>
      <c r="J67" s="3" t="inlineStr">
        <is>
          <t>[]</t>
        </is>
      </c>
    </row>
    <row r="68" ht="42" customHeight="1">
      <c r="A68" s="2" t="inlineStr">
        <is>
          <t>jeminise.com+pamnest-twin-halloween-comforter-set-with-sheets-5-pieces-design-04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IF(B68="I1",AVERAGEIF('QA_Images'!$A$2:$A$63,A68,'QA_Images'!$R$2:$R$63)/100,IF(D68="FULL",1,IF(D68="PARTIAL",0.5,IF(D68="FAIL",0,""))))</f>
        <v/>
      </c>
      <c r="F68" s="5">
        <f>IF(E68="",0,C68*E68)</f>
        <v/>
      </c>
      <c r="G68" s="5">
        <f>IF(B68="I1",20*AVERAGEIF('QA_Images'!$A$2:$A$63,A68,'QA_Images'!$S$2:$S$63)/100,IF(D68="NOT_CHECKED",0,C68))</f>
        <v/>
      </c>
      <c r="H68" s="2" t="inlineStr">
        <is>
          <t>FULL: source workbook, product JSON and direct image checks support the product identity; verified motif: haunted pumpkin ghost comforter set with haunted pumpkin and ghost artwork.</t>
        </is>
      </c>
      <c r="I68" s="2" t="inlineStr">
        <is>
          <t>["evidence_batch_017_167", "https://jeminise.com/products/pamnest-twin-halloween-comforter-set-with-sheets-5-pieces-design-04"]</t>
        </is>
      </c>
      <c r="J68" s="2" t="inlineStr">
        <is>
          <t>[]</t>
        </is>
      </c>
    </row>
    <row r="69" ht="42" customHeight="1">
      <c r="A69" s="3" t="inlineStr">
        <is>
          <t>jeminise.com+pamnest-twin-halloween-comforter-set-with-sheets-5-pieces-design-04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IF(B69="I1",AVERAGEIF('QA_Images'!$A$2:$A$63,A69,'QA_Images'!$R$2:$R$63)/100,IF(D69="FULL",1,IF(D69="PARTIAL",0.5,IF(D69="FAIL",0,""))))</f>
        <v/>
      </c>
      <c r="F69" s="7">
        <f>IF(E69="",0,C69*E69)</f>
        <v/>
      </c>
      <c r="G69" s="7">
        <f>IF(B69="I1",20*AVERAGEIF('QA_Images'!$A$2:$A$63,A69,'QA_Images'!$S$2:$S$63)/100,IF(D69="NOT_CHECKED",0,C69))</f>
        <v/>
      </c>
      <c r="H69" s="3" t="inlineStr">
        <is>
          <t>FULL: product type/options/personalization were checked against live JSON, admin export and customizer audit: customizer root present without extracted controls.</t>
        </is>
      </c>
      <c r="I69" s="3" t="inlineStr">
        <is>
          <t>["evidence_batch_017_167", "https://jeminise.com/products/pamnest-twin-halloween-comforter-set-with-sheets-5-pieces-design-04",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jeminise.com+pamnest-twin-halloween-comforter-set-with-sheets-5-pieces-design-04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IF(B70="I1",AVERAGEIF('QA_Images'!$A$2:$A$63,A70,'QA_Images'!$R$2:$R$63)/100,IF(D70="FULL",1,IF(D70="PARTIAL",0.5,IF(D70="FAIL",0,""))))</f>
        <v/>
      </c>
      <c r="F70" s="5">
        <f>IF(E70="",0,C70*E70)</f>
        <v/>
      </c>
      <c r="G70" s="5">
        <f>IF(B70="I1",20*AVERAGEIF('QA_Images'!$A$2:$A$63,A70,'QA_Images'!$S$2:$S$63)/100,IF(D70="NOT_CHECKED",0,C70))</f>
        <v/>
      </c>
      <c r="H70" s="2" t="inlineStr">
        <is>
          <t>PARTIAL: primary keyword 'haunted pumpkin ghost comforter set' was checked against this product's own US/English SERP; partial means the exact phrase is niche or sample-name driven.</t>
        </is>
      </c>
      <c r="I70" s="2" t="inlineStr">
        <is>
          <t>["evidence_batch_017_167", "https://jeminise.com/products/pamnest-twin-halloween-comforter-set-with-sheets-5-pieces-design-04", "serp_qa_batch_017_r5_167_1", "serp_qa_batch_017_r5_167_2"]</t>
        </is>
      </c>
      <c r="J70" s="2" t="inlineStr">
        <is>
          <t>[]</t>
        </is>
      </c>
    </row>
    <row r="71" ht="42" customHeight="1">
      <c r="A71" s="3" t="inlineStr">
        <is>
          <t>jeminise.com+pamnest-twin-halloween-comforter-set-with-sheets-5-pieces-design-04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IF(B71="I1",AVERAGEIF('QA_Images'!$A$2:$A$63,A71,'QA_Images'!$R$2:$R$63)/100,IF(D71="FULL",1,IF(D71="PARTIAL",0.5,IF(D71="FAIL",0,""))))</f>
        <v/>
      </c>
      <c r="F71" s="7">
        <f>IF(E71="",0,C71*E71)</f>
        <v/>
      </c>
      <c r="G71" s="7">
        <f>IF(B71="I1",20*AVERAGEIF('QA_Images'!$A$2:$A$63,A71,'QA_Images'!$S$2:$S$63)/100,IF(D71="NOT_CHECKED",0,C71))</f>
        <v/>
      </c>
      <c r="H71" s="3" t="inlineStr">
        <is>
          <t>FULL: comparator query confirms commercial product intent; partial means results broaden beyond this exact motif/product type.</t>
        </is>
      </c>
      <c r="I71" s="3" t="inlineStr">
        <is>
          <t>["evidence_batch_017_167", "https://jeminise.com/products/pamnest-twin-halloween-comforter-set-with-sheets-5-pieces-design-04", "serp_qa_batch_017_r5_167_1", "serp_qa_batch_017_r5_167_2"]</t>
        </is>
      </c>
      <c r="J71" s="3" t="inlineStr">
        <is>
          <t>[]</t>
        </is>
      </c>
    </row>
    <row r="72" ht="42" customHeight="1">
      <c r="A72" s="2" t="inlineStr">
        <is>
          <t>jeminise.com+pamnest-twin-halloween-comforter-set-with-sheets-5-pieces-design-04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IF(B72="I1",AVERAGEIF('QA_Images'!$A$2:$A$63,A72,'QA_Images'!$R$2:$R$63)/100,IF(D72="FULL",1,IF(D72="PARTIAL",0.5,IF(D72="FAIL",0,""))))</f>
        <v/>
      </c>
      <c r="F72" s="5">
        <f>IF(E72="",0,C72*E72)</f>
        <v/>
      </c>
      <c r="G72" s="5">
        <f>IF(B72="I1",20*AVERAGEIF('QA_Images'!$A$2:$A$63,A72,'QA_Images'!$S$2:$S$63)/100,IF(D72="NOT_CHECKED",0,C72))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["evidence_batch_017_167", "https://jeminise.com/products/pamnest-twin-halloween-comforter-set-with-sheets-5-pieces-design-04", "serp_qa_batch_017_r5_167_1", "serp_qa_batch_017_r5_167_2"]</t>
        </is>
      </c>
      <c r="J72" s="2" t="inlineStr">
        <is>
          <t>[]</t>
        </is>
      </c>
    </row>
    <row r="73" ht="42" customHeight="1">
      <c r="A73" s="3" t="inlineStr">
        <is>
          <t>jeminise.com+pamnest-twin-halloween-comforter-set-with-sheets-5-pieces-design-04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IF(B73="I1",AVERAGEIF('QA_Images'!$A$2:$A$63,A73,'QA_Images'!$R$2:$R$63)/100,IF(D73="FULL",1,IF(D73="PARTIAL",0.5,IF(D73="FAIL",0,""))))</f>
        <v/>
      </c>
      <c r="F73" s="7">
        <f>IF(E73="",0,C73*E73)</f>
        <v/>
      </c>
      <c r="G73" s="7">
        <f>IF(B73="I1",20*AVERAGEIF('QA_Images'!$A$2:$A$63,A73,'QA_Images'!$S$2:$S$63)/100,IF(D73="NOT_CHECKED",0,C73))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["evidence_batch_017_167", "https://jeminise.com/products/pamnest-twin-halloween-comforter-set-with-sheets-5-pieces-design-04"]</t>
        </is>
      </c>
      <c r="J73" s="3" t="inlineStr">
        <is>
          <t>[]</t>
        </is>
      </c>
    </row>
    <row r="74" ht="42" customHeight="1">
      <c r="A74" s="2" t="inlineStr">
        <is>
          <t>jeminise.com+pamnest-twin-halloween-comforter-set-with-sheets-5-pieces-design-04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IF(B74="I1",AVERAGEIF('QA_Images'!$A$2:$A$63,A74,'QA_Images'!$R$2:$R$63)/100,IF(D74="FULL",1,IF(D74="PARTIAL",0.5,IF(D74="FAIL",0,""))))</f>
        <v/>
      </c>
      <c r="F74" s="5">
        <f>IF(E74="",0,C74*E74)</f>
        <v/>
      </c>
      <c r="G74" s="5">
        <f>IF(B74="I1",20*AVERAGEIF('QA_Images'!$A$2:$A$63,A74,'QA_Images'!$S$2:$S$63)/100,IF(D74="NOT_CHECKED",0,C74))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["evidence_batch_017_167", "https://jeminise.com/products/pamnest-twin-halloween-comforter-set-with-sheets-5-pieces-design-04"]</t>
        </is>
      </c>
      <c r="J74" s="2" t="inlineStr">
        <is>
          <t>[]</t>
        </is>
      </c>
    </row>
    <row r="75" ht="42" customHeight="1">
      <c r="A75" s="3" t="inlineStr">
        <is>
          <t>jeminise.com+pamnest-twin-halloween-comforter-set-with-sheets-5-pieces-design-04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IF(B75="I1",AVERAGEIF('QA_Images'!$A$2:$A$63,A75,'QA_Images'!$R$2:$R$63)/100,IF(D75="FULL",1,IF(D75="PARTIAL",0.5,IF(D75="FAIL",0,""))))</f>
        <v/>
      </c>
      <c r="F75" s="7">
        <f>IF(E75="",0,C75*E75)</f>
        <v/>
      </c>
      <c r="G75" s="7">
        <f>IF(B75="I1",20*AVERAGEIF('QA_Images'!$A$2:$A$63,A75,'QA_Images'!$S$2:$S$63)/100,IF(D75="NOT_CHECKED",0,C75))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["evidence_batch_017_167", "https://jeminise.com/products/pamnest-twin-halloween-comforter-set-with-sheets-5-pieces-design-04"]</t>
        </is>
      </c>
      <c r="J75" s="3" t="inlineStr">
        <is>
          <t>[]</t>
        </is>
      </c>
    </row>
    <row r="76" ht="42" customHeight="1">
      <c r="A76" s="2" t="inlineStr">
        <is>
          <t>jeminise.com+pamnest-twin-halloween-comforter-set-with-sheets-5-pieces-design-04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IF(B76="I1",AVERAGEIF('QA_Images'!$A$2:$A$63,A76,'QA_Images'!$R$2:$R$63)/100,IF(D76="FULL",1,IF(D76="PARTIAL",0.5,IF(D76="FAIL",0,""))))</f>
        <v/>
      </c>
      <c r="F76" s="5">
        <f>IF(E76="",0,C76*E76)</f>
        <v/>
      </c>
      <c r="G76" s="5">
        <f>IF(B76="I1",20*AVERAGEIF('QA_Images'!$A$2:$A$63,A76,'QA_Images'!$S$2:$S$63)/100,IF(D76="NOT_CHECKED",0,C76))</f>
        <v/>
      </c>
      <c r="H76" s="2" t="inlineStr">
        <is>
          <t>FULL: description HTML is publish-ready and tied to verified product facts/options.</t>
        </is>
      </c>
      <c r="I76" s="2" t="inlineStr">
        <is>
          <t>["evidence_batch_017_167", "https://jeminise.com/products/pamnest-twin-halloween-comforter-set-with-sheets-5-pieces-design-04"]</t>
        </is>
      </c>
      <c r="J76" s="2" t="inlineStr">
        <is>
          <t>[]</t>
        </is>
      </c>
    </row>
    <row r="77" ht="42" customHeight="1">
      <c r="A77" s="3" t="inlineStr">
        <is>
          <t>jeminise.com+pamnest-twin-halloween-comforter-set-with-sheets-5-pieces-design-04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IF(B77="I1",AVERAGEIF('QA_Images'!$A$2:$A$63,A77,'QA_Images'!$R$2:$R$63)/100,IF(D77="FULL",1,IF(D77="PARTIAL",0.5,IF(D77="FAIL",0,""))))</f>
        <v/>
      </c>
      <c r="F77" s="7">
        <f>IF(E77="",0,C77*E77)</f>
        <v/>
      </c>
      <c r="G77" s="7">
        <f>IF(B77="I1",20*AVERAGEIF('QA_Images'!$A$2:$A$63,A77,'QA_Images'!$S$2:$S$63)/100,IF(D77="NOT_CHECKED",0,C77))</f>
        <v/>
      </c>
      <c r="H77" s="3" t="inlineStr">
        <is>
          <t>Derived from 6 QA_Images rows for this product; average image score 100/100.</t>
        </is>
      </c>
      <c r="I77" s="3" t="inlineStr">
        <is>
          <t>["QA_Images", "evidence_batch_017_167"]</t>
        </is>
      </c>
      <c r="J77" s="3" t="inlineStr">
        <is>
          <t>[]</t>
        </is>
      </c>
    </row>
    <row r="78" ht="42" customHeight="1">
      <c r="A78" s="2" t="inlineStr">
        <is>
          <t>jeminise.com+pamnest-twin-halloween-comforter-set-with-sheets-5-pieces-design-04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IF(B78="I1",AVERAGEIF('QA_Images'!$A$2:$A$63,A78,'QA_Images'!$R$2:$R$63)/100,IF(D78="FULL",1,IF(D78="PARTIAL",0.5,IF(D78="FAIL",0,""))))</f>
        <v/>
      </c>
      <c r="F78" s="5">
        <f>IF(E78="",0,C78*E78)</f>
        <v/>
      </c>
      <c r="G78" s="5">
        <f>IF(B78="I1",20*AVERAGEIF('QA_Images'!$A$2:$A$63,A78,'QA_Images'!$S$2:$S$63)/100,IF(D78="NOT_CHECKED",0,C78))</f>
        <v/>
      </c>
      <c r="H78" s="2" t="inlineStr">
        <is>
          <t>FULL: product key, handle, links and scoped evidence are consistent; row-level r4 labels are recorded separately as a traceability limitation.</t>
        </is>
      </c>
      <c r="I78" s="2" t="inlineStr">
        <is>
          <t>["evidence_batch_017_167", "https://jeminise.com/products/pamnest-twin-halloween-comforter-set-with-sheets-5-pieces-design-04"]</t>
        </is>
      </c>
      <c r="J78" s="2" t="inlineStr">
        <is>
          <t>[]</t>
        </is>
      </c>
    </row>
    <row r="79" ht="42" customHeight="1">
      <c r="A79" s="3" t="inlineStr">
        <is>
          <t>jeminise.com+pamnest-twin-halloween-comforter-set-with-sheets-5-pieces-design-05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IF(B79="I1",AVERAGEIF('QA_Images'!$A$2:$A$63,A79,'QA_Images'!$R$2:$R$63)/100,IF(D79="FULL",1,IF(D79="PARTIAL",0.5,IF(D79="FAIL",0,""))))</f>
        <v/>
      </c>
      <c r="F79" s="7">
        <f>IF(E79="",0,C79*E79)</f>
        <v/>
      </c>
      <c r="G79" s="7">
        <f>IF(B79="I1",20*AVERAGEIF('QA_Images'!$A$2:$A$63,A79,'QA_Images'!$S$2:$S$63)/100,IF(D79="NOT_CHECKED",0,C79))</f>
        <v/>
      </c>
      <c r="H79" s="3" t="inlineStr">
        <is>
          <t>FULL: source workbook, product JSON and direct image checks support the product identity; verified motif: pink cute ghost Halloween comforter set with pink ghost Halloween artwork.</t>
        </is>
      </c>
      <c r="I79" s="3" t="inlineStr">
        <is>
          <t>["evidence_batch_017_168", "https://jeminise.com/products/pamnest-twin-halloween-comforter-set-with-sheets-5-pieces-design-05"]</t>
        </is>
      </c>
      <c r="J79" s="3" t="inlineStr">
        <is>
          <t>[]</t>
        </is>
      </c>
    </row>
    <row r="80" ht="42" customHeight="1">
      <c r="A80" s="2" t="inlineStr">
        <is>
          <t>jeminise.com+pamnest-twin-halloween-comforter-set-with-sheets-5-pieces-design-05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IF(B80="I1",AVERAGEIF('QA_Images'!$A$2:$A$63,A80,'QA_Images'!$R$2:$R$63)/100,IF(D80="FULL",1,IF(D80="PARTIAL",0.5,IF(D80="FAIL",0,""))))</f>
        <v/>
      </c>
      <c r="F80" s="5">
        <f>IF(E80="",0,C80*E80)</f>
        <v/>
      </c>
      <c r="G80" s="5">
        <f>IF(B80="I1",20*AVERAGEIF('QA_Images'!$A$2:$A$63,A80,'QA_Images'!$S$2:$S$63)/100,IF(D80="NOT_CHECKED",0,C80))</f>
        <v/>
      </c>
      <c r="H80" s="2" t="inlineStr">
        <is>
          <t>FULL: product type/options/personalization were checked against live JSON, admin export and customizer audit: customizer root present without extracted controls.</t>
        </is>
      </c>
      <c r="I80" s="2" t="inlineStr">
        <is>
          <t>["evidence_batch_017_168", "https://jeminise.com/products/pamnest-twin-halloween-comforter-set-with-sheets-5-pieces-design-05",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jeminise.com+pamnest-twin-halloween-comforter-set-with-sheets-5-pieces-design-05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IF(B81="I1",AVERAGEIF('QA_Images'!$A$2:$A$63,A81,'QA_Images'!$R$2:$R$63)/100,IF(D81="FULL",1,IF(D81="PARTIAL",0.5,IF(D81="FAIL",0,""))))</f>
        <v/>
      </c>
      <c r="F81" s="7">
        <f>IF(E81="",0,C81*E81)</f>
        <v/>
      </c>
      <c r="G81" s="7">
        <f>IF(B81="I1",20*AVERAGEIF('QA_Images'!$A$2:$A$63,A81,'QA_Images'!$S$2:$S$63)/100,IF(D81="NOT_CHECKED",0,C81))</f>
        <v/>
      </c>
      <c r="H81" s="3" t="inlineStr">
        <is>
          <t>FULL: primary keyword 'pink cute ghost Halloween comforter set' was checked against this product's own US/English SERP; partial means the exact phrase is niche or sample-name driven.</t>
        </is>
      </c>
      <c r="I81" s="3" t="inlineStr">
        <is>
          <t>["evidence_batch_017_168", "https://jeminise.com/products/pamnest-twin-halloween-comforter-set-with-sheets-5-pieces-design-05", "serp_qa_batch_017_r5_168_1", "serp_qa_batch_017_r5_168_2"]</t>
        </is>
      </c>
      <c r="J81" s="3" t="inlineStr">
        <is>
          <t>[]</t>
        </is>
      </c>
    </row>
    <row r="82" ht="42" customHeight="1">
      <c r="A82" s="2" t="inlineStr">
        <is>
          <t>jeminise.com+pamnest-twin-halloween-comforter-set-with-sheets-5-pieces-design-05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IF(B82="I1",AVERAGEIF('QA_Images'!$A$2:$A$63,A82,'QA_Images'!$R$2:$R$63)/100,IF(D82="FULL",1,IF(D82="PARTIAL",0.5,IF(D82="FAIL",0,""))))</f>
        <v/>
      </c>
      <c r="F82" s="5">
        <f>IF(E82="",0,C82*E82)</f>
        <v/>
      </c>
      <c r="G82" s="5">
        <f>IF(B82="I1",20*AVERAGEIF('QA_Images'!$A$2:$A$63,A82,'QA_Images'!$S$2:$S$63)/100,IF(D82="NOT_CHECKED",0,C82))</f>
        <v/>
      </c>
      <c r="H82" s="2" t="inlineStr">
        <is>
          <t>FULL: comparator query confirms commercial product intent; partial means results broaden beyond this exact motif/product type.</t>
        </is>
      </c>
      <c r="I82" s="2" t="inlineStr">
        <is>
          <t>["evidence_batch_017_168", "https://jeminise.com/products/pamnest-twin-halloween-comforter-set-with-sheets-5-pieces-design-05", "serp_qa_batch_017_r5_168_1", "serp_qa_batch_017_r5_168_2"]</t>
        </is>
      </c>
      <c r="J82" s="2" t="inlineStr">
        <is>
          <t>[]</t>
        </is>
      </c>
    </row>
    <row r="83" ht="42" customHeight="1">
      <c r="A83" s="3" t="inlineStr">
        <is>
          <t>jeminise.com+pamnest-twin-halloween-comforter-set-with-sheets-5-pieces-design-05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IF(B83="I1",AVERAGEIF('QA_Images'!$A$2:$A$63,A83,'QA_Images'!$R$2:$R$63)/100,IF(D83="FULL",1,IF(D83="PARTIAL",0.5,IF(D83="FAIL",0,""))))</f>
        <v/>
      </c>
      <c r="F83" s="7">
        <f>IF(E83="",0,C83*E83)</f>
        <v/>
      </c>
      <c r="G83" s="7">
        <f>IF(B83="I1",20*AVERAGEIF('QA_Images'!$A$2:$A$63,A83,'QA_Images'!$S$2:$S$63)/100,IF(D83="NOT_CHECKED",0,C83))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["evidence_batch_017_168", "https://jeminise.com/products/pamnest-twin-halloween-comforter-set-with-sheets-5-pieces-design-05", "serp_qa_batch_017_r5_168_1", "serp_qa_batch_017_r5_168_2"]</t>
        </is>
      </c>
      <c r="J83" s="3" t="inlineStr">
        <is>
          <t>[]</t>
        </is>
      </c>
    </row>
    <row r="84" ht="42" customHeight="1">
      <c r="A84" s="2" t="inlineStr">
        <is>
          <t>jeminise.com+pamnest-twin-halloween-comforter-set-with-sheets-5-pieces-design-05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IF(B84="I1",AVERAGEIF('QA_Images'!$A$2:$A$63,A84,'QA_Images'!$R$2:$R$63)/100,IF(D84="FULL",1,IF(D84="PARTIAL",0.5,IF(D84="FAIL",0,""))))</f>
        <v/>
      </c>
      <c r="F84" s="5">
        <f>IF(E84="",0,C84*E84)</f>
        <v/>
      </c>
      <c r="G84" s="5">
        <f>IF(B84="I1",20*AVERAGEIF('QA_Images'!$A$2:$A$63,A84,'QA_Images'!$S$2:$S$63)/100,IF(D84="NOT_CHECKED",0,C84))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["evidence_batch_017_168", "https://jeminise.com/products/pamnest-twin-halloween-comforter-set-with-sheets-5-pieces-design-05"]</t>
        </is>
      </c>
      <c r="J84" s="2" t="inlineStr">
        <is>
          <t>[]</t>
        </is>
      </c>
    </row>
    <row r="85" ht="42" customHeight="1">
      <c r="A85" s="3" t="inlineStr">
        <is>
          <t>jeminise.com+pamnest-twin-halloween-comforter-set-with-sheets-5-pieces-design-05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IF(B85="I1",AVERAGEIF('QA_Images'!$A$2:$A$63,A85,'QA_Images'!$R$2:$R$63)/100,IF(D85="FULL",1,IF(D85="PARTIAL",0.5,IF(D85="FAIL",0,""))))</f>
        <v/>
      </c>
      <c r="F85" s="7">
        <f>IF(E85="",0,C85*E85)</f>
        <v/>
      </c>
      <c r="G85" s="7">
        <f>IF(B85="I1",20*AVERAGEIF('QA_Images'!$A$2:$A$63,A85,'QA_Images'!$S$2:$S$63)/100,IF(D85="NOT_CHECKED",0,C85))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["evidence_batch_017_168", "https://jeminise.com/products/pamnest-twin-halloween-comforter-set-with-sheets-5-pieces-design-05"]</t>
        </is>
      </c>
      <c r="J85" s="3" t="inlineStr">
        <is>
          <t>[]</t>
        </is>
      </c>
    </row>
    <row r="86" ht="42" customHeight="1">
      <c r="A86" s="2" t="inlineStr">
        <is>
          <t>jeminise.com+pamnest-twin-halloween-comforter-set-with-sheets-5-pieces-design-05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IF(B86="I1",AVERAGEIF('QA_Images'!$A$2:$A$63,A86,'QA_Images'!$R$2:$R$63)/100,IF(D86="FULL",1,IF(D86="PARTIAL",0.5,IF(D86="FAIL",0,""))))</f>
        <v/>
      </c>
      <c r="F86" s="5">
        <f>IF(E86="",0,C86*E86)</f>
        <v/>
      </c>
      <c r="G86" s="5">
        <f>IF(B86="I1",20*AVERAGEIF('QA_Images'!$A$2:$A$63,A86,'QA_Images'!$S$2:$S$63)/100,IF(D86="NOT_CHECKED",0,C86))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["evidence_batch_017_168", "https://jeminise.com/products/pamnest-twin-halloween-comforter-set-with-sheets-5-pieces-design-05"]</t>
        </is>
      </c>
      <c r="J86" s="2" t="inlineStr">
        <is>
          <t>[]</t>
        </is>
      </c>
    </row>
    <row r="87" ht="42" customHeight="1">
      <c r="A87" s="3" t="inlineStr">
        <is>
          <t>jeminise.com+pamnest-twin-halloween-comforter-set-with-sheets-5-pieces-design-05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IF(B87="I1",AVERAGEIF('QA_Images'!$A$2:$A$63,A87,'QA_Images'!$R$2:$R$63)/100,IF(D87="FULL",1,IF(D87="PARTIAL",0.5,IF(D87="FAIL",0,""))))</f>
        <v/>
      </c>
      <c r="F87" s="7">
        <f>IF(E87="",0,C87*E87)</f>
        <v/>
      </c>
      <c r="G87" s="7">
        <f>IF(B87="I1",20*AVERAGEIF('QA_Images'!$A$2:$A$63,A87,'QA_Images'!$S$2:$S$63)/100,IF(D87="NOT_CHECKED",0,C87))</f>
        <v/>
      </c>
      <c r="H87" s="3" t="inlineStr">
        <is>
          <t>FULL: description HTML is publish-ready and tied to verified product facts/options.</t>
        </is>
      </c>
      <c r="I87" s="3" t="inlineStr">
        <is>
          <t>["evidence_batch_017_168", "https://jeminise.com/products/pamnest-twin-halloween-comforter-set-with-sheets-5-pieces-design-05"]</t>
        </is>
      </c>
      <c r="J87" s="3" t="inlineStr">
        <is>
          <t>[]</t>
        </is>
      </c>
    </row>
    <row r="88" ht="42" customHeight="1">
      <c r="A88" s="2" t="inlineStr">
        <is>
          <t>jeminise.com+pamnest-twin-halloween-comforter-set-with-sheets-5-pieces-design-05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IF(B88="I1",AVERAGEIF('QA_Images'!$A$2:$A$63,A88,'QA_Images'!$R$2:$R$63)/100,IF(D88="FULL",1,IF(D88="PARTIAL",0.5,IF(D88="FAIL",0,""))))</f>
        <v/>
      </c>
      <c r="F88" s="5">
        <f>IF(E88="",0,C88*E88)</f>
        <v/>
      </c>
      <c r="G88" s="5">
        <f>IF(B88="I1",20*AVERAGEIF('QA_Images'!$A$2:$A$63,A88,'QA_Images'!$S$2:$S$63)/100,IF(D88="NOT_CHECKED",0,C88))</f>
        <v/>
      </c>
      <c r="H88" s="2" t="inlineStr">
        <is>
          <t>Derived from 6 QA_Images rows for this product; average image score 100/100.</t>
        </is>
      </c>
      <c r="I88" s="2" t="inlineStr">
        <is>
          <t>["QA_Images", "evidence_batch_017_168"]</t>
        </is>
      </c>
      <c r="J88" s="2" t="inlineStr">
        <is>
          <t>[]</t>
        </is>
      </c>
    </row>
    <row r="89" ht="42" customHeight="1">
      <c r="A89" s="3" t="inlineStr">
        <is>
          <t>jeminise.com+pamnest-twin-halloween-comforter-set-with-sheets-5-pieces-design-05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IF(B89="I1",AVERAGEIF('QA_Images'!$A$2:$A$63,A89,'QA_Images'!$R$2:$R$63)/100,IF(D89="FULL",1,IF(D89="PARTIAL",0.5,IF(D89="FAIL",0,""))))</f>
        <v/>
      </c>
      <c r="F89" s="7">
        <f>IF(E89="",0,C89*E89)</f>
        <v/>
      </c>
      <c r="G89" s="7">
        <f>IF(B89="I1",20*AVERAGEIF('QA_Images'!$A$2:$A$63,A89,'QA_Images'!$S$2:$S$63)/100,IF(D89="NOT_CHECKED",0,C89))</f>
        <v/>
      </c>
      <c r="H89" s="3" t="inlineStr">
        <is>
          <t>FULL: product key, handle, links and scoped evidence are consistent; row-level r4 labels are recorded separately as a traceability limitation.</t>
        </is>
      </c>
      <c r="I89" s="3" t="inlineStr">
        <is>
          <t>["evidence_batch_017_168", "https://jeminise.com/products/pamnest-twin-halloween-comforter-set-with-sheets-5-pieces-design-05"]</t>
        </is>
      </c>
      <c r="J89" s="3" t="inlineStr">
        <is>
          <t>[]</t>
        </is>
      </c>
    </row>
    <row r="90" ht="42" customHeight="1">
      <c r="A90" s="2" t="inlineStr">
        <is>
          <t>jeminise.com+pamnest-twin-halloween-comforter-set-with-sheets-5-pieces-design-06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IF(B90="I1",AVERAGEIF('QA_Images'!$A$2:$A$63,A90,'QA_Images'!$R$2:$R$63)/100,IF(D90="FULL",1,IF(D90="PARTIAL",0.5,IF(D90="FAIL",0,""))))</f>
        <v/>
      </c>
      <c r="F90" s="5">
        <f>IF(E90="",0,C90*E90)</f>
        <v/>
      </c>
      <c r="G90" s="5">
        <f>IF(B90="I1",20*AVERAGEIF('QA_Images'!$A$2:$A$63,A90,'QA_Images'!$S$2:$S$63)/100,IF(D90="NOT_CHECKED",0,C90))</f>
        <v/>
      </c>
      <c r="H90" s="2" t="inlineStr">
        <is>
          <t>FULL: source workbook, product JSON and direct image checks support the product identity; verified motif: red handprint Halloween comforter set with red handprint horror-style artwork.</t>
        </is>
      </c>
      <c r="I90" s="2" t="inlineStr">
        <is>
          <t>["evidence_batch_017_169", "https://jeminise.com/products/pamnest-twin-halloween-comforter-set-with-sheets-5-pieces-design-06"]</t>
        </is>
      </c>
      <c r="J90" s="2" t="inlineStr">
        <is>
          <t>[]</t>
        </is>
      </c>
    </row>
    <row r="91" ht="42" customHeight="1">
      <c r="A91" s="3" t="inlineStr">
        <is>
          <t>jeminise.com+pamnest-twin-halloween-comforter-set-with-sheets-5-pieces-design-06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IF(B91="I1",AVERAGEIF('QA_Images'!$A$2:$A$63,A91,'QA_Images'!$R$2:$R$63)/100,IF(D91="FULL",1,IF(D91="PARTIAL",0.5,IF(D91="FAIL",0,""))))</f>
        <v/>
      </c>
      <c r="F91" s="7">
        <f>IF(E91="",0,C91*E91)</f>
        <v/>
      </c>
      <c r="G91" s="7">
        <f>IF(B91="I1",20*AVERAGEIF('QA_Images'!$A$2:$A$63,A91,'QA_Images'!$S$2:$S$63)/100,IF(D91="NOT_CHECKED",0,C91))</f>
        <v/>
      </c>
      <c r="H91" s="3" t="inlineStr">
        <is>
          <t>FULL: product type/options/personalization were checked against live JSON, admin export and customizer audit: customizer root present without extracted controls.</t>
        </is>
      </c>
      <c r="I91" s="3" t="inlineStr">
        <is>
          <t>["evidence_batch_017_169", "https://jeminise.com/products/pamnest-twin-halloween-comforter-set-with-sheets-5-pieces-design-06",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jeminise.com+pamnest-twin-halloween-comforter-set-with-sheets-5-pieces-design-06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IF(B92="I1",AVERAGEIF('QA_Images'!$A$2:$A$63,A92,'QA_Images'!$R$2:$R$63)/100,IF(D92="FULL",1,IF(D92="PARTIAL",0.5,IF(D92="FAIL",0,""))))</f>
        <v/>
      </c>
      <c r="F92" s="5">
        <f>IF(E92="",0,C92*E92)</f>
        <v/>
      </c>
      <c r="G92" s="5">
        <f>IF(B92="I1",20*AVERAGEIF('QA_Images'!$A$2:$A$63,A92,'QA_Images'!$S$2:$S$63)/100,IF(D92="NOT_CHECKED",0,C92))</f>
        <v/>
      </c>
      <c r="H92" s="2" t="inlineStr">
        <is>
          <t>PARTIAL: primary keyword 'red handprint Halloween comforter set' was checked against this product's own US/English SERP; partial means the exact phrase is niche or sample-name driven.</t>
        </is>
      </c>
      <c r="I92" s="2" t="inlineStr">
        <is>
          <t>["evidence_batch_017_169", "https://jeminise.com/products/pamnest-twin-halloween-comforter-set-with-sheets-5-pieces-design-06", "serp_qa_batch_017_r5_169_1", "serp_qa_batch_017_r5_169_2"]</t>
        </is>
      </c>
      <c r="J92" s="2" t="inlineStr">
        <is>
          <t>[]</t>
        </is>
      </c>
    </row>
    <row r="93" ht="42" customHeight="1">
      <c r="A93" s="3" t="inlineStr">
        <is>
          <t>jeminise.com+pamnest-twin-halloween-comforter-set-with-sheets-5-pieces-design-06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IF(B93="I1",AVERAGEIF('QA_Images'!$A$2:$A$63,A93,'QA_Images'!$R$2:$R$63)/100,IF(D93="FULL",1,IF(D93="PARTIAL",0.5,IF(D93="FAIL",0,""))))</f>
        <v/>
      </c>
      <c r="F93" s="7">
        <f>IF(E93="",0,C93*E93)</f>
        <v/>
      </c>
      <c r="G93" s="7">
        <f>IF(B93="I1",20*AVERAGEIF('QA_Images'!$A$2:$A$63,A93,'QA_Images'!$S$2:$S$63)/100,IF(D93="NOT_CHECKED",0,C93))</f>
        <v/>
      </c>
      <c r="H93" s="3" t="inlineStr">
        <is>
          <t>FULL: comparator query confirms commercial product intent; partial means results broaden beyond this exact motif/product type.</t>
        </is>
      </c>
      <c r="I93" s="3" t="inlineStr">
        <is>
          <t>["evidence_batch_017_169", "https://jeminise.com/products/pamnest-twin-halloween-comforter-set-with-sheets-5-pieces-design-06", "serp_qa_batch_017_r5_169_1", "serp_qa_batch_017_r5_169_2"]</t>
        </is>
      </c>
      <c r="J93" s="3" t="inlineStr">
        <is>
          <t>[]</t>
        </is>
      </c>
    </row>
    <row r="94" ht="42" customHeight="1">
      <c r="A94" s="2" t="inlineStr">
        <is>
          <t>jeminise.com+pamnest-twin-halloween-comforter-set-with-sheets-5-pieces-design-06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IF(B94="I1",AVERAGEIF('QA_Images'!$A$2:$A$63,A94,'QA_Images'!$R$2:$R$63)/100,IF(D94="FULL",1,IF(D94="PARTIAL",0.5,IF(D94="FAIL",0,""))))</f>
        <v/>
      </c>
      <c r="F94" s="5">
        <f>IF(E94="",0,C94*E94)</f>
        <v/>
      </c>
      <c r="G94" s="5">
        <f>IF(B94="I1",20*AVERAGEIF('QA_Images'!$A$2:$A$63,A94,'QA_Images'!$S$2:$S$63)/100,IF(D94="NOT_CHECKED",0,C94))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["evidence_batch_017_169", "https://jeminise.com/products/pamnest-twin-halloween-comforter-set-with-sheets-5-pieces-design-06", "serp_qa_batch_017_r5_169_1", "serp_qa_batch_017_r5_169_2"]</t>
        </is>
      </c>
      <c r="J94" s="2" t="inlineStr">
        <is>
          <t>[]</t>
        </is>
      </c>
    </row>
    <row r="95" ht="42" customHeight="1">
      <c r="A95" s="3" t="inlineStr">
        <is>
          <t>jeminise.com+pamnest-twin-halloween-comforter-set-with-sheets-5-pieces-design-06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IF(B95="I1",AVERAGEIF('QA_Images'!$A$2:$A$63,A95,'QA_Images'!$R$2:$R$63)/100,IF(D95="FULL",1,IF(D95="PARTIAL",0.5,IF(D95="FAIL",0,""))))</f>
        <v/>
      </c>
      <c r="F95" s="7">
        <f>IF(E95="",0,C95*E95)</f>
        <v/>
      </c>
      <c r="G95" s="7">
        <f>IF(B95="I1",20*AVERAGEIF('QA_Images'!$A$2:$A$63,A95,'QA_Images'!$S$2:$S$63)/100,IF(D95="NOT_CHECKED",0,C95))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["evidence_batch_017_169", "https://jeminise.com/products/pamnest-twin-halloween-comforter-set-with-sheets-5-pieces-design-06"]</t>
        </is>
      </c>
      <c r="J95" s="3" t="inlineStr">
        <is>
          <t>[]</t>
        </is>
      </c>
    </row>
    <row r="96" ht="42" customHeight="1">
      <c r="A96" s="2" t="inlineStr">
        <is>
          <t>jeminise.com+pamnest-twin-halloween-comforter-set-with-sheets-5-pieces-design-06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IF(B96="I1",AVERAGEIF('QA_Images'!$A$2:$A$63,A96,'QA_Images'!$R$2:$R$63)/100,IF(D96="FULL",1,IF(D96="PARTIAL",0.5,IF(D96="FAIL",0,""))))</f>
        <v/>
      </c>
      <c r="F96" s="5">
        <f>IF(E96="",0,C96*E96)</f>
        <v/>
      </c>
      <c r="G96" s="5">
        <f>IF(B96="I1",20*AVERAGEIF('QA_Images'!$A$2:$A$63,A96,'QA_Images'!$S$2:$S$63)/100,IF(D96="NOT_CHECKED",0,C96))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["evidence_batch_017_169", "https://jeminise.com/products/pamnest-twin-halloween-comforter-set-with-sheets-5-pieces-design-06"]</t>
        </is>
      </c>
      <c r="J96" s="2" t="inlineStr">
        <is>
          <t>[]</t>
        </is>
      </c>
    </row>
    <row r="97" ht="42" customHeight="1">
      <c r="A97" s="3" t="inlineStr">
        <is>
          <t>jeminise.com+pamnest-twin-halloween-comforter-set-with-sheets-5-pieces-design-06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IF(B97="I1",AVERAGEIF('QA_Images'!$A$2:$A$63,A97,'QA_Images'!$R$2:$R$63)/100,IF(D97="FULL",1,IF(D97="PARTIAL",0.5,IF(D97="FAIL",0,""))))</f>
        <v/>
      </c>
      <c r="F97" s="7">
        <f>IF(E97="",0,C97*E97)</f>
        <v/>
      </c>
      <c r="G97" s="7">
        <f>IF(B97="I1",20*AVERAGEIF('QA_Images'!$A$2:$A$63,A97,'QA_Images'!$S$2:$S$63)/100,IF(D97="NOT_CHECKED",0,C97))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["evidence_batch_017_169", "https://jeminise.com/products/pamnest-twin-halloween-comforter-set-with-sheets-5-pieces-design-06"]</t>
        </is>
      </c>
      <c r="J97" s="3" t="inlineStr">
        <is>
          <t>[]</t>
        </is>
      </c>
    </row>
    <row r="98" ht="42" customHeight="1">
      <c r="A98" s="2" t="inlineStr">
        <is>
          <t>jeminise.com+pamnest-twin-halloween-comforter-set-with-sheets-5-pieces-design-06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IF(B98="I1",AVERAGEIF('QA_Images'!$A$2:$A$63,A98,'QA_Images'!$R$2:$R$63)/100,IF(D98="FULL",1,IF(D98="PARTIAL",0.5,IF(D98="FAIL",0,""))))</f>
        <v/>
      </c>
      <c r="F98" s="5">
        <f>IF(E98="",0,C98*E98)</f>
        <v/>
      </c>
      <c r="G98" s="5">
        <f>IF(B98="I1",20*AVERAGEIF('QA_Images'!$A$2:$A$63,A98,'QA_Images'!$S$2:$S$63)/100,IF(D98="NOT_CHECKED",0,C98))</f>
        <v/>
      </c>
      <c r="H98" s="2" t="inlineStr">
        <is>
          <t>FULL: description HTML is publish-ready and tied to verified product facts/options.</t>
        </is>
      </c>
      <c r="I98" s="2" t="inlineStr">
        <is>
          <t>["evidence_batch_017_169", "https://jeminise.com/products/pamnest-twin-halloween-comforter-set-with-sheets-5-pieces-design-06"]</t>
        </is>
      </c>
      <c r="J98" s="2" t="inlineStr">
        <is>
          <t>[]</t>
        </is>
      </c>
    </row>
    <row r="99" ht="42" customHeight="1">
      <c r="A99" s="3" t="inlineStr">
        <is>
          <t>jeminise.com+pamnest-twin-halloween-comforter-set-with-sheets-5-pieces-design-06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IF(B99="I1",AVERAGEIF('QA_Images'!$A$2:$A$63,A99,'QA_Images'!$R$2:$R$63)/100,IF(D99="FULL",1,IF(D99="PARTIAL",0.5,IF(D99="FAIL",0,""))))</f>
        <v/>
      </c>
      <c r="F99" s="7">
        <f>IF(E99="",0,C99*E99)</f>
        <v/>
      </c>
      <c r="G99" s="7">
        <f>IF(B99="I1",20*AVERAGEIF('QA_Images'!$A$2:$A$63,A99,'QA_Images'!$S$2:$S$63)/100,IF(D99="NOT_CHECKED",0,C99))</f>
        <v/>
      </c>
      <c r="H99" s="3" t="inlineStr">
        <is>
          <t>Derived from 6 QA_Images rows for this product; average image score 100/100.</t>
        </is>
      </c>
      <c r="I99" s="3" t="inlineStr">
        <is>
          <t>["QA_Images", "evidence_batch_017_169"]</t>
        </is>
      </c>
      <c r="J99" s="3" t="inlineStr">
        <is>
          <t>[]</t>
        </is>
      </c>
    </row>
    <row r="100" ht="42" customHeight="1">
      <c r="A100" s="2" t="inlineStr">
        <is>
          <t>jeminise.com+pamnest-twin-halloween-comforter-set-with-sheets-5-pieces-design-06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IF(B100="I1",AVERAGEIF('QA_Images'!$A$2:$A$63,A100,'QA_Images'!$R$2:$R$63)/100,IF(D100="FULL",1,IF(D100="PARTIAL",0.5,IF(D100="FAIL",0,""))))</f>
        <v/>
      </c>
      <c r="F100" s="5">
        <f>IF(E100="",0,C100*E100)</f>
        <v/>
      </c>
      <c r="G100" s="5">
        <f>IF(B100="I1",20*AVERAGEIF('QA_Images'!$A$2:$A$63,A100,'QA_Images'!$S$2:$S$63)/100,IF(D100="NOT_CHECKED",0,C100))</f>
        <v/>
      </c>
      <c r="H100" s="2" t="inlineStr">
        <is>
          <t>FULL: product key, handle, links and scoped evidence are consistent; row-level r4 labels are recorded separately as a traceability limitation.</t>
        </is>
      </c>
      <c r="I100" s="2" t="inlineStr">
        <is>
          <t>["evidence_batch_017_169", "https://jeminise.com/products/pamnest-twin-halloween-comforter-set-with-sheets-5-pieces-design-06"]</t>
        </is>
      </c>
      <c r="J100" s="2" t="inlineStr">
        <is>
          <t>[]</t>
        </is>
      </c>
    </row>
    <row r="101" ht="42" customHeight="1">
      <c r="A101" s="3" t="inlineStr">
        <is>
          <t>jeminise.com+pamnest-twin-halloween-comforter-set-with-sheets-5-pieces-design-07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IF(B101="I1",AVERAGEIF('QA_Images'!$A$2:$A$63,A101,'QA_Images'!$R$2:$R$63)/100,IF(D101="FULL",1,IF(D101="PARTIAL",0.5,IF(D101="FAIL",0,""))))</f>
        <v/>
      </c>
      <c r="F101" s="7">
        <f>IF(E101="",0,C101*E101)</f>
        <v/>
      </c>
      <c r="G101" s="7">
        <f>IF(B101="I1",20*AVERAGEIF('QA_Images'!$A$2:$A$63,A101,'QA_Images'!$S$2:$S$63)/100,IF(D101="NOT_CHECKED",0,C101))</f>
        <v/>
      </c>
      <c r="H101" s="3" t="inlineStr">
        <is>
          <t>FULL: source workbook, product JSON and direct image checks support the product identity; verified motif: haunted house pumpkin comforter set with haunted house and pumpkin Halloween artwork.</t>
        </is>
      </c>
      <c r="I101" s="3" t="inlineStr">
        <is>
          <t>["evidence_batch_017_170", "https://jeminise.com/products/pamnest-twin-halloween-comforter-set-with-sheets-5-pieces-design-07"]</t>
        </is>
      </c>
      <c r="J101" s="3" t="inlineStr">
        <is>
          <t>[]</t>
        </is>
      </c>
    </row>
    <row r="102" ht="42" customHeight="1">
      <c r="A102" s="2" t="inlineStr">
        <is>
          <t>jeminise.com+pamnest-twin-halloween-comforter-set-with-sheets-5-pieces-design-07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IF(B102="I1",AVERAGEIF('QA_Images'!$A$2:$A$63,A102,'QA_Images'!$R$2:$R$63)/100,IF(D102="FULL",1,IF(D102="PARTIAL",0.5,IF(D102="FAIL",0,""))))</f>
        <v/>
      </c>
      <c r="F102" s="5">
        <f>IF(E102="",0,C102*E102)</f>
        <v/>
      </c>
      <c r="G102" s="5">
        <f>IF(B102="I1",20*AVERAGEIF('QA_Images'!$A$2:$A$63,A102,'QA_Images'!$S$2:$S$63)/100,IF(D102="NOT_CHECKED",0,C102))</f>
        <v/>
      </c>
      <c r="H102" s="2" t="inlineStr">
        <is>
          <t>FULL: product type/options/personalization were checked against live JSON, admin export and customizer audit: customizer root present without extracted controls.</t>
        </is>
      </c>
      <c r="I102" s="2" t="inlineStr">
        <is>
          <t>["evidence_batch_017_170", "https://jeminise.com/products/pamnest-twin-halloween-comforter-set-with-sheets-5-pieces-design-07",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jeminise.com+pamnest-twin-halloween-comforter-set-with-sheets-5-pieces-design-07</t>
        </is>
      </c>
      <c r="B103" s="3" t="inlineStr">
        <is>
          <t>K1</t>
        </is>
      </c>
      <c r="C103" s="3" t="n">
        <v>10</v>
      </c>
      <c r="D103" s="3" t="inlineStr">
        <is>
          <t>FULL</t>
        </is>
      </c>
      <c r="E103" s="7">
        <f>IF(B103="I1",AVERAGEIF('QA_Images'!$A$2:$A$63,A103,'QA_Images'!$R$2:$R$63)/100,IF(D103="FULL",1,IF(D103="PARTIAL",0.5,IF(D103="FAIL",0,""))))</f>
        <v/>
      </c>
      <c r="F103" s="7">
        <f>IF(E103="",0,C103*E103)</f>
        <v/>
      </c>
      <c r="G103" s="7">
        <f>IF(B103="I1",20*AVERAGEIF('QA_Images'!$A$2:$A$63,A103,'QA_Images'!$S$2:$S$63)/100,IF(D103="NOT_CHECKED",0,C103))</f>
        <v/>
      </c>
      <c r="H103" s="3" t="inlineStr">
        <is>
          <t>FULL: primary keyword 'haunted house pumpkin comforter set' was checked against this product's own US/English SERP; partial means the exact phrase is niche or sample-name driven.</t>
        </is>
      </c>
      <c r="I103" s="3" t="inlineStr">
        <is>
          <t>["evidence_batch_017_170", "https://jeminise.com/products/pamnest-twin-halloween-comforter-set-with-sheets-5-pieces-design-07", "serp_qa_batch_017_r5_170_1", "serp_qa_batch_017_r5_170_2"]</t>
        </is>
      </c>
      <c r="J103" s="3" t="inlineStr">
        <is>
          <t>[]</t>
        </is>
      </c>
    </row>
    <row r="104" ht="42" customHeight="1">
      <c r="A104" s="2" t="inlineStr">
        <is>
          <t>jeminise.com+pamnest-twin-halloween-comforter-set-with-sheets-5-pieces-design-07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IF(B104="I1",AVERAGEIF('QA_Images'!$A$2:$A$63,A104,'QA_Images'!$R$2:$R$63)/100,IF(D104="FULL",1,IF(D104="PARTIAL",0.5,IF(D104="FAIL",0,""))))</f>
        <v/>
      </c>
      <c r="F104" s="5">
        <f>IF(E104="",0,C104*E104)</f>
        <v/>
      </c>
      <c r="G104" s="5">
        <f>IF(B104="I1",20*AVERAGEIF('QA_Images'!$A$2:$A$63,A104,'QA_Images'!$S$2:$S$63)/100,IF(D104="NOT_CHECKED",0,C104))</f>
        <v/>
      </c>
      <c r="H104" s="2" t="inlineStr">
        <is>
          <t>FULL: comparator query confirms commercial product intent; partial means results broaden beyond this exact motif/product type.</t>
        </is>
      </c>
      <c r="I104" s="2" t="inlineStr">
        <is>
          <t>["evidence_batch_017_170", "https://jeminise.com/products/pamnest-twin-halloween-comforter-set-with-sheets-5-pieces-design-07", "serp_qa_batch_017_r5_170_1", "serp_qa_batch_017_r5_170_2"]</t>
        </is>
      </c>
      <c r="J104" s="2" t="inlineStr">
        <is>
          <t>[]</t>
        </is>
      </c>
    </row>
    <row r="105" ht="42" customHeight="1">
      <c r="A105" s="3" t="inlineStr">
        <is>
          <t>jeminise.com+pamnest-twin-halloween-comforter-set-with-sheets-5-pieces-design-07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IF(B105="I1",AVERAGEIF('QA_Images'!$A$2:$A$63,A105,'QA_Images'!$R$2:$R$63)/100,IF(D105="FULL",1,IF(D105="PARTIAL",0.5,IF(D105="FAIL",0,""))))</f>
        <v/>
      </c>
      <c r="F105" s="7">
        <f>IF(E105="",0,C105*E105)</f>
        <v/>
      </c>
      <c r="G105" s="7">
        <f>IF(B105="I1",20*AVERAGEIF('QA_Images'!$A$2:$A$63,A105,'QA_Images'!$S$2:$S$63)/100,IF(D105="NOT_CHECKED",0,C105))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["evidence_batch_017_170", "https://jeminise.com/products/pamnest-twin-halloween-comforter-set-with-sheets-5-pieces-design-07", "serp_qa_batch_017_r5_170_1", "serp_qa_batch_017_r5_170_2"]</t>
        </is>
      </c>
      <c r="J105" s="3" t="inlineStr">
        <is>
          <t>[]</t>
        </is>
      </c>
    </row>
    <row r="106" ht="42" customHeight="1">
      <c r="A106" s="2" t="inlineStr">
        <is>
          <t>jeminise.com+pamnest-twin-halloween-comforter-set-with-sheets-5-pieces-design-07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IF(B106="I1",AVERAGEIF('QA_Images'!$A$2:$A$63,A106,'QA_Images'!$R$2:$R$63)/100,IF(D106="FULL",1,IF(D106="PARTIAL",0.5,IF(D106="FAIL",0,""))))</f>
        <v/>
      </c>
      <c r="F106" s="5">
        <f>IF(E106="",0,C106*E106)</f>
        <v/>
      </c>
      <c r="G106" s="5">
        <f>IF(B106="I1",20*AVERAGEIF('QA_Images'!$A$2:$A$63,A106,'QA_Images'!$S$2:$S$63)/100,IF(D106="NOT_CHECKED",0,C106))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["evidence_batch_017_170", "https://jeminise.com/products/pamnest-twin-halloween-comforter-set-with-sheets-5-pieces-design-07"]</t>
        </is>
      </c>
      <c r="J106" s="2" t="inlineStr">
        <is>
          <t>[]</t>
        </is>
      </c>
    </row>
    <row r="107" ht="42" customHeight="1">
      <c r="A107" s="3" t="inlineStr">
        <is>
          <t>jeminise.com+pamnest-twin-halloween-comforter-set-with-sheets-5-pieces-design-07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IF(B107="I1",AVERAGEIF('QA_Images'!$A$2:$A$63,A107,'QA_Images'!$R$2:$R$63)/100,IF(D107="FULL",1,IF(D107="PARTIAL",0.5,IF(D107="FAIL",0,""))))</f>
        <v/>
      </c>
      <c r="F107" s="7">
        <f>IF(E107="",0,C107*E107)</f>
        <v/>
      </c>
      <c r="G107" s="7">
        <f>IF(B107="I1",20*AVERAGEIF('QA_Images'!$A$2:$A$63,A107,'QA_Images'!$S$2:$S$63)/100,IF(D107="NOT_CHECKED",0,C107))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["evidence_batch_017_170", "https://jeminise.com/products/pamnest-twin-halloween-comforter-set-with-sheets-5-pieces-design-07"]</t>
        </is>
      </c>
      <c r="J107" s="3" t="inlineStr">
        <is>
          <t>[]</t>
        </is>
      </c>
    </row>
    <row r="108" ht="42" customHeight="1">
      <c r="A108" s="2" t="inlineStr">
        <is>
          <t>jeminise.com+pamnest-twin-halloween-comforter-set-with-sheets-5-pieces-design-07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IF(B108="I1",AVERAGEIF('QA_Images'!$A$2:$A$63,A108,'QA_Images'!$R$2:$R$63)/100,IF(D108="FULL",1,IF(D108="PARTIAL",0.5,IF(D108="FAIL",0,""))))</f>
        <v/>
      </c>
      <c r="F108" s="5">
        <f>IF(E108="",0,C108*E108)</f>
        <v/>
      </c>
      <c r="G108" s="5">
        <f>IF(B108="I1",20*AVERAGEIF('QA_Images'!$A$2:$A$63,A108,'QA_Images'!$S$2:$S$63)/100,IF(D108="NOT_CHECKED",0,C108))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["evidence_batch_017_170", "https://jeminise.com/products/pamnest-twin-halloween-comforter-set-with-sheets-5-pieces-design-07"]</t>
        </is>
      </c>
      <c r="J108" s="2" t="inlineStr">
        <is>
          <t>[]</t>
        </is>
      </c>
    </row>
    <row r="109" ht="42" customHeight="1">
      <c r="A109" s="3" t="inlineStr">
        <is>
          <t>jeminise.com+pamnest-twin-halloween-comforter-set-with-sheets-5-pieces-design-07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IF(B109="I1",AVERAGEIF('QA_Images'!$A$2:$A$63,A109,'QA_Images'!$R$2:$R$63)/100,IF(D109="FULL",1,IF(D109="PARTIAL",0.5,IF(D109="FAIL",0,""))))</f>
        <v/>
      </c>
      <c r="F109" s="7">
        <f>IF(E109="",0,C109*E109)</f>
        <v/>
      </c>
      <c r="G109" s="7">
        <f>IF(B109="I1",20*AVERAGEIF('QA_Images'!$A$2:$A$63,A109,'QA_Images'!$S$2:$S$63)/100,IF(D109="NOT_CHECKED",0,C109))</f>
        <v/>
      </c>
      <c r="H109" s="3" t="inlineStr">
        <is>
          <t>FULL: description HTML is publish-ready and tied to verified product facts/options.</t>
        </is>
      </c>
      <c r="I109" s="3" t="inlineStr">
        <is>
          <t>["evidence_batch_017_170", "https://jeminise.com/products/pamnest-twin-halloween-comforter-set-with-sheets-5-pieces-design-07"]</t>
        </is>
      </c>
      <c r="J109" s="3" t="inlineStr">
        <is>
          <t>[]</t>
        </is>
      </c>
    </row>
    <row r="110" ht="42" customHeight="1">
      <c r="A110" s="2" t="inlineStr">
        <is>
          <t>jeminise.com+pamnest-twin-halloween-comforter-set-with-sheets-5-pieces-design-07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IF(B110="I1",AVERAGEIF('QA_Images'!$A$2:$A$63,A110,'QA_Images'!$R$2:$R$63)/100,IF(D110="FULL",1,IF(D110="PARTIAL",0.5,IF(D110="FAIL",0,""))))</f>
        <v/>
      </c>
      <c r="F110" s="5">
        <f>IF(E110="",0,C110*E110)</f>
        <v/>
      </c>
      <c r="G110" s="5">
        <f>IF(B110="I1",20*AVERAGEIF('QA_Images'!$A$2:$A$63,A110,'QA_Images'!$S$2:$S$63)/100,IF(D110="NOT_CHECKED",0,C110))</f>
        <v/>
      </c>
      <c r="H110" s="2" t="inlineStr">
        <is>
          <t>Derived from 6 QA_Images rows for this product; average image score 100/100.</t>
        </is>
      </c>
      <c r="I110" s="2" t="inlineStr">
        <is>
          <t>["QA_Images", "evidence_batch_017_170"]</t>
        </is>
      </c>
      <c r="J110" s="2" t="inlineStr">
        <is>
          <t>[]</t>
        </is>
      </c>
    </row>
    <row r="111" ht="42" customHeight="1">
      <c r="A111" s="3" t="inlineStr">
        <is>
          <t>jeminise.com+pamnest-twin-halloween-comforter-set-with-sheets-5-pieces-design-07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IF(B111="I1",AVERAGEIF('QA_Images'!$A$2:$A$63,A111,'QA_Images'!$R$2:$R$63)/100,IF(D111="FULL",1,IF(D111="PARTIAL",0.5,IF(D111="FAIL",0,""))))</f>
        <v/>
      </c>
      <c r="F111" s="7">
        <f>IF(E111="",0,C111*E111)</f>
        <v/>
      </c>
      <c r="G111" s="7">
        <f>IF(B111="I1",20*AVERAGEIF('QA_Images'!$A$2:$A$63,A111,'QA_Images'!$S$2:$S$63)/100,IF(D111="NOT_CHECKED",0,C111))</f>
        <v/>
      </c>
      <c r="H111" s="3" t="inlineStr">
        <is>
          <t>FULL: product key, handle, links and scoped evidence are consistent; row-level r4 labels are recorded separately as a traceability limitation.</t>
        </is>
      </c>
      <c r="I111" s="3" t="inlineStr">
        <is>
          <t>["evidence_batch_017_170", "https://jeminise.com/products/pamnest-twin-halloween-comforter-set-with-sheets-5-pieces-design-07"]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24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jeminise.com+norse-mythology-raven-within-celtic-knot-frame-quilt-906ee24d68-906ee24d68</t>
        </is>
      </c>
      <c r="B2" s="2" t="inlineStr">
        <is>
          <t>qaimg_9dd306ad819c13d3</t>
        </is>
      </c>
      <c r="C2" s="4" t="inlineStr">
        <is>
          <t>https://cdn.shopify.com/s/files/1/0792/5098/1063/files/f5df6ea5afdf042e566b7af241d22bd6929357120dcb00f0bc65a8916d20bdd1.jpg?v=1785104402</t>
        </is>
      </c>
      <c r="D2" s="4" t="inlineStr">
        <is>
          <t>https://cdn.shopify.com/s/files/1/0792/5098/1063/files/f5df6ea5afdf042e566b7af241d22bd6929357120dcb00f0bc65a8916d20bdd1.jpg?v=1785104402</t>
        </is>
      </c>
      <c r="E2" s="2" t="inlineStr">
        <is>
          <t>47540522516679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2026-09-09T12:57:20+07:00</t>
        </is>
      </c>
      <c r="J2" s="2" t="inlineStr">
        <is>
          <t>QA opened 161_01.jpg (1000x1000) and checked against workbook observation: Bedroom mockup of blue raven quilt with Celtic knot frame, moon panel and matching shams.</t>
        </is>
      </c>
      <c r="K2" s="2" t="inlineStr">
        <is>
          <t>Bedroom mockup of blue raven quilt with Celtic knot frame, moon panel and matching shams.</t>
        </is>
      </c>
      <c r="L2" s="2" t="inlineStr">
        <is>
          <t>SET</t>
        </is>
      </c>
      <c r="M2" s="2" t="inlineStr">
        <is>
          <t>Blue raven Celtic knot quilt on bed with shams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["seo_runs\\jeminise.com\\20260906_234129\\qa\\20260909_125719\\images\\161_01.jpg", "https://cdn.shopify.com/s/files/1/0792/5098/1063/files/f5df6ea5afdf042e566b7af241d22bd6929357120dcb00f0bc65a8916d20bdd1.jpg?v=1785104402"]</t>
        </is>
      </c>
    </row>
    <row r="3" ht="66" customHeight="1">
      <c r="A3" s="3" t="inlineStr">
        <is>
          <t>jeminise.com+norse-mythology-raven-within-celtic-knot-frame-quilt-906ee24d68-906ee24d68</t>
        </is>
      </c>
      <c r="B3" s="3" t="inlineStr">
        <is>
          <t>qaimg_99bc5250b370189c</t>
        </is>
      </c>
      <c r="C3" s="4" t="inlineStr">
        <is>
          <t>https://cdn.shopify.com/s/files/1/0792/5098/1063/files/bbce88f2a66fabf46529458b35db7d33399da290b604d17e49b58d179adc7c2a.jpg?v=1785104402</t>
        </is>
      </c>
      <c r="D3" s="4" t="inlineStr">
        <is>
          <t>https://cdn.shopify.com/s/files/1/0792/5098/1063/files/bbce88f2a66fabf46529458b35db7d33399da290b604d17e49b58d179adc7c2a.jpg?v=1785104402</t>
        </is>
      </c>
      <c r="E3" s="3" t="inlineStr">
        <is>
          <t>47540522549447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2026-09-09T12:57:20+07:00</t>
        </is>
      </c>
      <c r="J3" s="3" t="inlineStr">
        <is>
          <t>QA opened 161_02.jpg (1000x1000) and checked against workbook observation: Feature mockup of Norse raven quilt with cozy, breathable, lightweight and washable icons.</t>
        </is>
      </c>
      <c r="K3" s="3" t="inlineStr">
        <is>
          <t>Feature mockup of Norse raven quilt with cozy, breathable, lightweight and washable icons.</t>
        </is>
      </c>
      <c r="L3" s="3" t="inlineStr">
        <is>
          <t>SET</t>
        </is>
      </c>
      <c r="M3" s="3" t="inlineStr">
        <is>
          <t>Blue raven quilt feature panel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["seo_runs\\jeminise.com\\20260906_234129\\qa\\20260909_125719\\images\\161_02.jpg", "https://cdn.shopify.com/s/files/1/0792/5098/1063/files/bbce88f2a66fabf46529458b35db7d33399da290b604d17e49b58d179adc7c2a.jpg?v=1785104402"]</t>
        </is>
      </c>
    </row>
    <row r="4" ht="66" customHeight="1">
      <c r="A4" s="2" t="inlineStr">
        <is>
          <t>jeminise.com+norse-mythology-raven-within-celtic-knot-frame-quilt-906ee24d68-906ee24d68</t>
        </is>
      </c>
      <c r="B4" s="2" t="inlineStr">
        <is>
          <t>qaimg_a78063cc177203bb</t>
        </is>
      </c>
      <c r="C4" s="4" t="inlineStr">
        <is>
          <t>https://cdn.shopify.com/s/files/1/0792/5098/1063/files/27dd51b6fe9a32b87ac804b19987fb134fc4570b327d844efdae0740d4303aab.jpg?v=1785104402</t>
        </is>
      </c>
      <c r="D4" s="4" t="inlineStr">
        <is>
          <t>https://cdn.shopify.com/s/files/1/0792/5098/1063/files/27dd51b6fe9a32b87ac804b19987fb134fc4570b327d844efdae0740d4303aab.jpg?v=1785104402</t>
        </is>
      </c>
      <c r="E4" s="2" t="inlineStr">
        <is>
          <t>47540522582215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2026-09-09T12:57:20+07:00</t>
        </is>
      </c>
      <c r="J4" s="2" t="inlineStr">
        <is>
          <t>QA opened 161_03.jpg (1000x1000) and checked against workbook observation: All seasons panel showing blue raven Celtic knot quilt details and magnified texture circles.</t>
        </is>
      </c>
      <c r="K4" s="2" t="inlineStr">
        <is>
          <t>All seasons panel showing blue raven Celtic knot quilt details and magnified texture circles.</t>
        </is>
      </c>
      <c r="L4" s="2" t="inlineStr">
        <is>
          <t>SET</t>
        </is>
      </c>
      <c r="M4" s="2" t="inlineStr">
        <is>
          <t>Norse raven Celtic knot detail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["seo_runs\\jeminise.com\\20260906_234129\\qa\\20260909_125719\\images\\161_03.jpg", "https://cdn.shopify.com/s/files/1/0792/5098/1063/files/27dd51b6fe9a32b87ac804b19987fb134fc4570b327d844efdae0740d4303aab.jpg?v=1785104402"]</t>
        </is>
      </c>
    </row>
    <row r="5" ht="66" customHeight="1">
      <c r="A5" s="3" t="inlineStr">
        <is>
          <t>jeminise.com+norse-mythology-raven-within-celtic-knot-frame-quilt-906ee24d68-906ee24d68</t>
        </is>
      </c>
      <c r="B5" s="3" t="inlineStr">
        <is>
          <t>qaimg_0e737743a1b9835b</t>
        </is>
      </c>
      <c r="C5" s="4" t="inlineStr">
        <is>
          <t>https://cdn.shopify.com/s/files/1/0792/5098/1063/files/c63b8bede4de84261bd2bc195d98188fb288eba460ea7d07b0ef625dba18ed45.jpg?v=1785104402</t>
        </is>
      </c>
      <c r="D5" s="4" t="inlineStr">
        <is>
          <t>https://cdn.shopify.com/s/files/1/0792/5098/1063/files/c63b8bede4de84261bd2bc195d98188fb288eba460ea7d07b0ef625dba18ed45.jpg?v=1785104402</t>
        </is>
      </c>
      <c r="E5" s="3" t="inlineStr">
        <is>
          <t>47540522614983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2026-09-09T12:57:20+07:00</t>
        </is>
      </c>
      <c r="J5" s="3" t="inlineStr">
        <is>
          <t>QA opened 161_04.jpg (1000x1000) and checked against workbook observation: Precision stitching panel showing raven, moon and Celtic knot close-ups.</t>
        </is>
      </c>
      <c r="K5" s="3" t="inlineStr">
        <is>
          <t>Precision stitching panel showing raven, moon and Celtic knot close-ups.</t>
        </is>
      </c>
      <c r="L5" s="3" t="inlineStr">
        <is>
          <t>SET</t>
        </is>
      </c>
      <c r="M5" s="3" t="inlineStr">
        <is>
          <t>Blue raven quilt stitching panel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["seo_runs\\jeminise.com\\20260906_234129\\qa\\20260909_125719\\images\\161_04.jpg", "https://cdn.shopify.com/s/files/1/0792/5098/1063/files/c63b8bede4de84261bd2bc195d98188fb288eba460ea7d07b0ef625dba18ed45.jpg?v=1785104402"]</t>
        </is>
      </c>
    </row>
    <row r="6" ht="66" customHeight="1">
      <c r="A6" s="2" t="inlineStr">
        <is>
          <t>jeminise.com+norse-mythology-raven-within-celtic-knot-frame-quilt-906ee24d68-906ee24d68</t>
        </is>
      </c>
      <c r="B6" s="2" t="inlineStr">
        <is>
          <t>qaimg_21355a88607ef588</t>
        </is>
      </c>
      <c r="C6" s="4" t="inlineStr">
        <is>
          <t>https://cdn.shopify.com/s/files/1/0792/5098/1063/files/bbe527fc7f68c31328261559b7b766ec905010bb91f9515c6d557dd1b085f14b.jpg?v=1785104402</t>
        </is>
      </c>
      <c r="D6" s="4" t="inlineStr">
        <is>
          <t>https://cdn.shopify.com/s/files/1/0792/5098/1063/files/bbe527fc7f68c31328261559b7b766ec905010bb91f9515c6d557dd1b085f14b.jpg?v=1785104402</t>
        </is>
      </c>
      <c r="E6" s="2" t="inlineStr">
        <is>
          <t>47540522647751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2026-09-09T12:57:20+07:00</t>
        </is>
      </c>
      <c r="J6" s="2" t="inlineStr">
        <is>
          <t>QA opened 161_05.jpg (1000x1000) and checked against workbook observation: Layer panel showing microfiber woven top, filling microfiber and back microfiber.</t>
        </is>
      </c>
      <c r="K6" s="2" t="inlineStr">
        <is>
          <t>Layer panel showing microfiber woven top, filling microfiber and back microfiber.</t>
        </is>
      </c>
      <c r="L6" s="2" t="inlineStr">
        <is>
          <t>SET</t>
        </is>
      </c>
      <c r="M6" s="2" t="inlineStr">
        <is>
          <t>Raven quilt microfiber layer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["seo_runs\\jeminise.com\\20260906_234129\\qa\\20260909_125719\\images\\161_05.jpg", "https://cdn.shopify.com/s/files/1/0792/5098/1063/files/bbe527fc7f68c31328261559b7b766ec905010bb91f9515c6d557dd1b085f14b.jpg?v=1785104402"]</t>
        </is>
      </c>
    </row>
    <row r="7" ht="66" customHeight="1">
      <c r="A7" s="3" t="inlineStr">
        <is>
          <t>jeminise.com+norse-mythology-raven-within-celtic-knot-frame-quilt-906ee24d68-906ee24d68</t>
        </is>
      </c>
      <c r="B7" s="3" t="inlineStr">
        <is>
          <t>qaimg_0939f01155033854</t>
        </is>
      </c>
      <c r="C7" s="4" t="inlineStr">
        <is>
          <t>https://cdn.shopify.com/s/files/1/0792/5098/1063/files/5cc9f4f96bdb0280d8a3c4b98775690e61d79ad5625e9f20a101536548fe3b0e.jpg?v=1785104402</t>
        </is>
      </c>
      <c r="D7" s="4" t="inlineStr">
        <is>
          <t>https://cdn.shopify.com/s/files/1/0792/5098/1063/files/5cc9f4f96bdb0280d8a3c4b98775690e61d79ad5625e9f20a101536548fe3b0e.jpg?v=1785104402</t>
        </is>
      </c>
      <c r="E7" s="3" t="inlineStr">
        <is>
          <t>47540522680519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2026-09-09T12:57:20+07:00</t>
        </is>
      </c>
      <c r="J7" s="3" t="inlineStr">
        <is>
          <t>QA opened 161_06.jpg (1200x1200) and checked against workbook observation: Premium quilt set size chart for blue raven Celtic knot quilt with bed-size measurements.</t>
        </is>
      </c>
      <c r="K7" s="3" t="inlineStr">
        <is>
          <t>Premium quilt set size chart for blue raven Celtic knot quilt with bed-size measurements.</t>
        </is>
      </c>
      <c r="L7" s="3" t="inlineStr">
        <is>
          <t>SET</t>
        </is>
      </c>
      <c r="M7" s="3" t="inlineStr">
        <is>
          <t>Size chart for blue raven Celtic knot quilt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["seo_runs\\jeminise.com\\20260906_234129\\qa\\20260909_125719\\images\\161_06.jpg", "https://cdn.shopify.com/s/files/1/0792/5098/1063/files/5cc9f4f96bdb0280d8a3c4b98775690e61d79ad5625e9f20a101536548fe3b0e.jpg?v=1785104402"]</t>
        </is>
      </c>
    </row>
    <row r="8" ht="66" customHeight="1">
      <c r="A8" s="2" t="inlineStr">
        <is>
          <t>jeminise.com+norse-mythology-raven-within-celtic-knot-frame-quilt-906ee24d68-906ee24d68</t>
        </is>
      </c>
      <c r="B8" s="2" t="inlineStr">
        <is>
          <t>qaimg_1d7bcfe21b255a4c</t>
        </is>
      </c>
      <c r="C8" s="4" t="inlineStr">
        <is>
          <t>https://cdn.shopify.com/s/files/1/0792/5098/1063/files/31facc27e0d676d03e5239357f2912111f3e0640688af1ac241589e99b6705fb.jpg?v=1785104402</t>
        </is>
      </c>
      <c r="D8" s="4" t="inlineStr">
        <is>
          <t>https://cdn.shopify.com/s/files/1/0792/5098/1063/files/31facc27e0d676d03e5239357f2912111f3e0640688af1ac241589e99b6705fb.jpg?v=1785104402</t>
        </is>
      </c>
      <c r="E8" s="2" t="inlineStr">
        <is>
          <t>47540522713287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2026-09-09T12:57:20+07:00</t>
        </is>
      </c>
      <c r="J8" s="2" t="inlineStr">
        <is>
          <t>QA opened 161_07.jpg (1200x1200) and checked against workbook observation: Fabric detail panel showing blue raven Celtic knot print and quilt surface close-ups.</t>
        </is>
      </c>
      <c r="K8" s="2" t="inlineStr">
        <is>
          <t>Fabric detail panel showing blue raven Celtic knot print and quilt surface close-ups.</t>
        </is>
      </c>
      <c r="L8" s="2" t="inlineStr">
        <is>
          <t>SET</t>
        </is>
      </c>
      <c r="M8" s="2" t="inlineStr">
        <is>
          <t>Blue raven Celtic quilt fabric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["seo_runs\\jeminise.com\\20260906_234129\\qa\\20260909_125719\\images\\161_07.jpg", "https://cdn.shopify.com/s/files/1/0792/5098/1063/files/31facc27e0d676d03e5239357f2912111f3e0640688af1ac241589e99b6705fb.jpg?v=1785104402"]</t>
        </is>
      </c>
    </row>
    <row r="9" ht="66" customHeight="1">
      <c r="A9" s="3" t="inlineStr">
        <is>
          <t>jeminise.com+norse-mythology-viking-shield-with-crossed-axes-quilt-ca630a284e-ca630a284e</t>
        </is>
      </c>
      <c r="B9" s="3" t="inlineStr">
        <is>
          <t>qaimg_370173b17b2611ea</t>
        </is>
      </c>
      <c r="C9" s="4" t="inlineStr">
        <is>
          <t>https://cdn.shopify.com/s/files/1/0792/5098/1063/files/a0bb7b2e86bb5a07b6f85d9046b813c1954eadf01e22807354afd66a9ebfdea6.jpg?v=1785104553</t>
        </is>
      </c>
      <c r="D9" s="4" t="inlineStr">
        <is>
          <t>https://cdn.shopify.com/s/files/1/0792/5098/1063/files/a0bb7b2e86bb5a07b6f85d9046b813c1954eadf01e22807354afd66a9ebfdea6.jpg?v=1785104553</t>
        </is>
      </c>
      <c r="E9" s="3" t="inlineStr">
        <is>
          <t>47540537688263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2026-09-09T12:57:20+07:00</t>
        </is>
      </c>
      <c r="J9" s="3" t="inlineStr">
        <is>
          <t>QA opened 162_01.jpg (1000x1000) and checked against workbook observation: Bedroom mockup of black Valhalla Viking shield quilt with crossed axes and matching shams.</t>
        </is>
      </c>
      <c r="K9" s="3" t="inlineStr">
        <is>
          <t>Bedroom mockup of black Valhalla Viking shield quilt with crossed axes and matching shams.</t>
        </is>
      </c>
      <c r="L9" s="3" t="inlineStr">
        <is>
          <t>SET</t>
        </is>
      </c>
      <c r="M9" s="3" t="inlineStr">
        <is>
          <t>Valhalla Viking shield quilt on bed with shams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["seo_runs\\jeminise.com\\20260906_234129\\qa\\20260909_125719\\images\\162_01.jpg", "https://cdn.shopify.com/s/files/1/0792/5098/1063/files/a0bb7b2e86bb5a07b6f85d9046b813c1954eadf01e22807354afd66a9ebfdea6.jpg?v=1785104553"]</t>
        </is>
      </c>
    </row>
    <row r="10" ht="66" customHeight="1">
      <c r="A10" s="2" t="inlineStr">
        <is>
          <t>jeminise.com+norse-mythology-viking-shield-with-crossed-axes-quilt-ca630a284e-ca630a284e</t>
        </is>
      </c>
      <c r="B10" s="2" t="inlineStr">
        <is>
          <t>qaimg_6191bb50ca944f19</t>
        </is>
      </c>
      <c r="C10" s="4" t="inlineStr">
        <is>
          <t>https://cdn.shopify.com/s/files/1/0792/5098/1063/files/cdc35c826f340b6635063d4154a0b5dfe33f71c7ea05f07fdfc6546f09c22e28.jpg?v=1785104553</t>
        </is>
      </c>
      <c r="D10" s="4" t="inlineStr">
        <is>
          <t>https://cdn.shopify.com/s/files/1/0792/5098/1063/files/cdc35c826f340b6635063d4154a0b5dfe33f71c7ea05f07fdfc6546f09c22e28.jpg?v=1785104553</t>
        </is>
      </c>
      <c r="E10" s="2" t="inlineStr">
        <is>
          <t>47540537721031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2026-09-09T12:57:20+07:00</t>
        </is>
      </c>
      <c r="J10" s="2" t="inlineStr">
        <is>
          <t>QA opened 162_02.jpg (1200x1200) and checked against workbook observation: Feature mockup of Viking shield quilt with cozy, breathable, lightweight and washable icons.</t>
        </is>
      </c>
      <c r="K10" s="2" t="inlineStr">
        <is>
          <t>Feature mockup of Viking shield quilt with cozy, breathable, lightweight and washable icons.</t>
        </is>
      </c>
      <c r="L10" s="2" t="inlineStr">
        <is>
          <t>SET</t>
        </is>
      </c>
      <c r="M10" s="2" t="inlineStr">
        <is>
          <t>Viking shield quilt feature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["seo_runs\\jeminise.com\\20260906_234129\\qa\\20260909_125719\\images\\162_02.jpg", "https://cdn.shopify.com/s/files/1/0792/5098/1063/files/cdc35c826f340b6635063d4154a0b5dfe33f71c7ea05f07fdfc6546f09c22e28.jpg?v=1785104553"]</t>
        </is>
      </c>
    </row>
    <row r="11" ht="66" customHeight="1">
      <c r="A11" s="3" t="inlineStr">
        <is>
          <t>jeminise.com+norse-mythology-viking-shield-with-crossed-axes-quilt-ca630a284e-ca630a284e</t>
        </is>
      </c>
      <c r="B11" s="3" t="inlineStr">
        <is>
          <t>qaimg_7633806d934cd29f</t>
        </is>
      </c>
      <c r="C11" s="4" t="inlineStr">
        <is>
          <t>https://cdn.shopify.com/s/files/1/0792/5098/1063/files/7127a02e884cad7c5184ce1b2946ac662960d39acad6edb3b8a21f844cc7fb83.jpg?v=1785104553</t>
        </is>
      </c>
      <c r="D11" s="4" t="inlineStr">
        <is>
          <t>https://cdn.shopify.com/s/files/1/0792/5098/1063/files/7127a02e884cad7c5184ce1b2946ac662960d39acad6edb3b8a21f844cc7fb83.jpg?v=1785104553</t>
        </is>
      </c>
      <c r="E11" s="3" t="inlineStr">
        <is>
          <t>47540537753799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2026-09-09T12:57:20+07:00</t>
        </is>
      </c>
      <c r="J11" s="3" t="inlineStr">
        <is>
          <t>QA opened 162_03.jpg (1200x1200) and checked against workbook observation: All seasons panel showing Valhalla shield, crossed axes and runic background details.</t>
        </is>
      </c>
      <c r="K11" s="3" t="inlineStr">
        <is>
          <t>All seasons panel showing Valhalla shield, crossed axes and runic background details.</t>
        </is>
      </c>
      <c r="L11" s="3" t="inlineStr">
        <is>
          <t>SET</t>
        </is>
      </c>
      <c r="M11" s="3" t="inlineStr">
        <is>
          <t>Valhalla shield quilt detail panel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["seo_runs\\jeminise.com\\20260906_234129\\qa\\20260909_125719\\images\\162_03.jpg", "https://cdn.shopify.com/s/files/1/0792/5098/1063/files/7127a02e884cad7c5184ce1b2946ac662960d39acad6edb3b8a21f844cc7fb83.jpg?v=1785104553"]</t>
        </is>
      </c>
    </row>
    <row r="12" ht="66" customHeight="1">
      <c r="A12" s="2" t="inlineStr">
        <is>
          <t>jeminise.com+norse-mythology-viking-shield-with-crossed-axes-quilt-ca630a284e-ca630a284e</t>
        </is>
      </c>
      <c r="B12" s="2" t="inlineStr">
        <is>
          <t>qaimg_600a2f0836ed5e5f</t>
        </is>
      </c>
      <c r="C12" s="4" t="inlineStr">
        <is>
          <t>https://cdn.shopify.com/s/files/1/0792/5098/1063/files/e1bca6ad0b85bcfa2b85d2a0322d79680fde7448a15adec1757a81eb07c4bf6f.jpg?v=1785104553</t>
        </is>
      </c>
      <c r="D12" s="4" t="inlineStr">
        <is>
          <t>https://cdn.shopify.com/s/files/1/0792/5098/1063/files/e1bca6ad0b85bcfa2b85d2a0322d79680fde7448a15adec1757a81eb07c4bf6f.jpg?v=1785104553</t>
        </is>
      </c>
      <c r="E12" s="2" t="inlineStr">
        <is>
          <t>47540537786567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2026-09-09T12:57:20+07:00</t>
        </is>
      </c>
      <c r="J12" s="2" t="inlineStr">
        <is>
          <t>QA opened 162_04.jpg (1200x1200) and checked against workbook observation: Precision stitching panel showing Viking shield, crossed axes and black fabric close-ups.</t>
        </is>
      </c>
      <c r="K12" s="2" t="inlineStr">
        <is>
          <t>Precision stitching panel showing Viking shield, crossed axes and black fabric close-ups.</t>
        </is>
      </c>
      <c r="L12" s="2" t="inlineStr">
        <is>
          <t>SET</t>
        </is>
      </c>
      <c r="M12" s="2" t="inlineStr">
        <is>
          <t>Viking shield quilt stitching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["seo_runs\\jeminise.com\\20260906_234129\\qa\\20260909_125719\\images\\162_04.jpg", "https://cdn.shopify.com/s/files/1/0792/5098/1063/files/e1bca6ad0b85bcfa2b85d2a0322d79680fde7448a15adec1757a81eb07c4bf6f.jpg?v=1785104553"]</t>
        </is>
      </c>
    </row>
    <row r="13" ht="66" customHeight="1">
      <c r="A13" s="3" t="inlineStr">
        <is>
          <t>jeminise.com+norse-mythology-viking-shield-with-crossed-axes-quilt-ca630a284e-ca630a284e</t>
        </is>
      </c>
      <c r="B13" s="3" t="inlineStr">
        <is>
          <t>qaimg_5623fbee86c10a49</t>
        </is>
      </c>
      <c r="C13" s="4" t="inlineStr">
        <is>
          <t>https://cdn.shopify.com/s/files/1/0792/5098/1063/files/77fb3f8c371cf27dd16588f3cf56fb24c12deaa2922c16412de893b0e53890dd.jpg?v=1785104553</t>
        </is>
      </c>
      <c r="D13" s="4" t="inlineStr">
        <is>
          <t>https://cdn.shopify.com/s/files/1/0792/5098/1063/files/77fb3f8c371cf27dd16588f3cf56fb24c12deaa2922c16412de893b0e53890dd.jpg?v=1785104553</t>
        </is>
      </c>
      <c r="E13" s="3" t="inlineStr">
        <is>
          <t>47540537819335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2026-09-09T12:57:20+07:00</t>
        </is>
      </c>
      <c r="J13" s="3" t="inlineStr">
        <is>
          <t>QA opened 162_05.jpg (1200x1200) and checked against workbook observation: Layer panel showing microfiber woven top, filling microfiber and back microfiber.</t>
        </is>
      </c>
      <c r="K13" s="3" t="inlineStr">
        <is>
          <t>Layer panel showing microfiber woven top, filling microfiber and back microfiber.</t>
        </is>
      </c>
      <c r="L13" s="3" t="inlineStr">
        <is>
          <t>SET</t>
        </is>
      </c>
      <c r="M13" s="3" t="inlineStr">
        <is>
          <t>Viking shield quilt microfiber layer panel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["seo_runs\\jeminise.com\\20260906_234129\\qa\\20260909_125719\\images\\162_05.jpg", "https://cdn.shopify.com/s/files/1/0792/5098/1063/files/77fb3f8c371cf27dd16588f3cf56fb24c12deaa2922c16412de893b0e53890dd.jpg?v=1785104553"]</t>
        </is>
      </c>
    </row>
    <row r="14" ht="66" customHeight="1">
      <c r="A14" s="2" t="inlineStr">
        <is>
          <t>jeminise.com+norse-mythology-viking-shield-with-crossed-axes-quilt-ca630a284e-ca630a284e</t>
        </is>
      </c>
      <c r="B14" s="2" t="inlineStr">
        <is>
          <t>qaimg_1a230c5662452903</t>
        </is>
      </c>
      <c r="C14" s="4" t="inlineStr">
        <is>
          <t>https://cdn.shopify.com/s/files/1/0792/5098/1063/files/ca05f793ad1004a8bcf1b14bc5f968c4664bf701819e6903e275f14d034862a6.jpg?v=1785104553</t>
        </is>
      </c>
      <c r="D14" s="4" t="inlineStr">
        <is>
          <t>https://cdn.shopify.com/s/files/1/0792/5098/1063/files/ca05f793ad1004a8bcf1b14bc5f968c4664bf701819e6903e275f14d034862a6.jpg?v=1785104553</t>
        </is>
      </c>
      <c r="E14" s="2" t="inlineStr">
        <is>
          <t>47540537852103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2026-09-09T12:57:20+07:00</t>
        </is>
      </c>
      <c r="J14" s="2" t="inlineStr">
        <is>
          <t>QA opened 162_06.jpg (1200x1200) and checked against workbook observation: Premium quilt set size chart for Valhalla Viking shield quilt with bed-size measurements.</t>
        </is>
      </c>
      <c r="K14" s="2" t="inlineStr">
        <is>
          <t>Premium quilt set size chart for Valhalla Viking shield quilt with bed-size measurements.</t>
        </is>
      </c>
      <c r="L14" s="2" t="inlineStr">
        <is>
          <t>SET</t>
        </is>
      </c>
      <c r="M14" s="2" t="inlineStr">
        <is>
          <t>Size chart for Valhalla Viking shield quilt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["seo_runs\\jeminise.com\\20260906_234129\\qa\\20260909_125719\\images\\162_06.jpg", "https://cdn.shopify.com/s/files/1/0792/5098/1063/files/ca05f793ad1004a8bcf1b14bc5f968c4664bf701819e6903e275f14d034862a6.jpg?v=1785104553"]</t>
        </is>
      </c>
    </row>
    <row r="15" ht="66" customHeight="1">
      <c r="A15" s="3" t="inlineStr">
        <is>
          <t>jeminise.com+norse-mythology-viking-shield-with-crossed-axes-quilt-ca630a284e-ca630a284e</t>
        </is>
      </c>
      <c r="B15" s="3" t="inlineStr">
        <is>
          <t>qaimg_21f36de75190d4bf</t>
        </is>
      </c>
      <c r="C15" s="4" t="inlineStr">
        <is>
          <t>https://cdn.shopify.com/s/files/1/0792/5098/1063/files/b002678b1b933df28fb349bc6ff5667b37b28acab3f3e263980071a114b93302.jpg?v=1785104552</t>
        </is>
      </c>
      <c r="D15" s="4" t="inlineStr">
        <is>
          <t>https://cdn.shopify.com/s/files/1/0792/5098/1063/files/b002678b1b933df28fb349bc6ff5667b37b28acab3f3e263980071a114b93302.jpg?v=1785104552</t>
        </is>
      </c>
      <c r="E15" s="3" t="inlineStr">
        <is>
          <t>47540537884871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2026-09-09T12:57:20+07:00</t>
        </is>
      </c>
      <c r="J15" s="3" t="inlineStr">
        <is>
          <t>QA opened 162_07.jpg (1200x1200) and checked against workbook observation: Fabric detail panel showing black Valhalla shield quilt print and quilt surface close-ups.</t>
        </is>
      </c>
      <c r="K15" s="3" t="inlineStr">
        <is>
          <t>Fabric detail panel showing black Valhalla shield quilt print and quilt surface close-ups.</t>
        </is>
      </c>
      <c r="L15" s="3" t="inlineStr">
        <is>
          <t>SET</t>
        </is>
      </c>
      <c r="M15" s="3" t="inlineStr">
        <is>
          <t>Valhalla Viking quilt fabric panel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["seo_runs\\jeminise.com\\20260906_234129\\qa\\20260909_125719\\images\\162_07.jpg", "https://cdn.shopify.com/s/files/1/0792/5098/1063/files/b002678b1b933df28fb349bc6ff5667b37b28acab3f3e263980071a114b93302.jpg?v=1785104552"]</t>
        </is>
      </c>
    </row>
    <row r="16" ht="66" customHeight="1">
      <c r="A16" s="2" t="inlineStr">
        <is>
          <t>jeminise.com+owl-patchwork-pattern-quilt-set-animals-quilt-set-style-owl-nights</t>
        </is>
      </c>
      <c r="B16" s="2" t="inlineStr">
        <is>
          <t>qaimg_5e43b7f408281013</t>
        </is>
      </c>
      <c r="C16" s="4" t="inlineStr">
        <is>
          <t>https://cdn.shopify.com/s/files/1/0792/5098/1063/files/b12b5b630d5361e095b70248a7029d44aa83474cedccaae8a99938e5a82aa9e5.jpg?v=1787233687</t>
        </is>
      </c>
      <c r="D16" s="4" t="inlineStr">
        <is>
          <t>https://cdn.shopify.com/s/files/1/0792/5098/1063/files/b12b5b630d5361e095b70248a7029d44aa83474cedccaae8a99938e5a82aa9e5.jpg?v=1787233687</t>
        </is>
      </c>
      <c r="E16" s="2" t="inlineStr">
        <is>
          <t>47933462872263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2026-09-09T12:57:20+07:00</t>
        </is>
      </c>
      <c r="J16" s="2" t="inlineStr">
        <is>
          <t>QA opened 163_01.jpg (1200x1200) and checked against workbook observation: Bedroom mockup of blue gold owl night quilt set with matching shams.</t>
        </is>
      </c>
      <c r="K16" s="2" t="inlineStr">
        <is>
          <t>Bedroom mockup of blue gold owl night quilt set with matching shams.</t>
        </is>
      </c>
      <c r="L16" s="2" t="inlineStr">
        <is>
          <t>SET</t>
        </is>
      </c>
      <c r="M16" s="2" t="inlineStr">
        <is>
          <t>Blue gold owl night quilt set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["seo_runs\\jeminise.com\\20260906_234129\\qa\\20260909_125719\\images\\163_01.jpg", "https://cdn.shopify.com/s/files/1/0792/5098/1063/files/b12b5b630d5361e095b70248a7029d44aa83474cedccaae8a99938e5a82aa9e5.jpg?v=1787233687"]</t>
        </is>
      </c>
    </row>
    <row r="17" ht="66" customHeight="1">
      <c r="A17" s="3" t="inlineStr">
        <is>
          <t>jeminise.com+owl-patchwork-pattern-quilt-set-animals-quilt-set-style-owl-nights</t>
        </is>
      </c>
      <c r="B17" s="3" t="inlineStr">
        <is>
          <t>qaimg_29b6ac67844755ba</t>
        </is>
      </c>
      <c r="C17" s="4" t="inlineStr">
        <is>
          <t>https://cdn.shopify.com/s/files/1/0792/5098/1063/files/41113dc58569ae2adc6d3dde435731253d18a0408ae05d7000f8517dee0c01a4.jpg?v=1787233687</t>
        </is>
      </c>
      <c r="D17" s="4" t="inlineStr">
        <is>
          <t>https://cdn.shopify.com/s/files/1/0792/5098/1063/files/41113dc58569ae2adc6d3dde435731253d18a0408ae05d7000f8517dee0c01a4.jpg?v=1787233687</t>
        </is>
      </c>
      <c r="E17" s="3" t="inlineStr">
        <is>
          <t>47933462905031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2026-09-09T12:57:20+07:00</t>
        </is>
      </c>
      <c r="J17" s="3" t="inlineStr">
        <is>
          <t>QA opened 163_02.jpg (1200x1200) and checked against workbook observation: Feature mockup of owl moon quilt with cozy, breathable, lightweight and washable icons.</t>
        </is>
      </c>
      <c r="K17" s="3" t="inlineStr">
        <is>
          <t>Feature mockup of owl moon quilt with cozy, breathable, lightweight and washable icons.</t>
        </is>
      </c>
      <c r="L17" s="3" t="inlineStr">
        <is>
          <t>SET</t>
        </is>
      </c>
      <c r="M17" s="3" t="inlineStr">
        <is>
          <t>Owl moon quilt feature panel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["seo_runs\\jeminise.com\\20260906_234129\\qa\\20260909_125719\\images\\163_02.jpg", "https://cdn.shopify.com/s/files/1/0792/5098/1063/files/41113dc58569ae2adc6d3dde435731253d18a0408ae05d7000f8517dee0c01a4.jpg?v=1787233687"]</t>
        </is>
      </c>
    </row>
    <row r="18" ht="66" customHeight="1">
      <c r="A18" s="2" t="inlineStr">
        <is>
          <t>jeminise.com+owl-patchwork-pattern-quilt-set-animals-quilt-set-style-owl-nights</t>
        </is>
      </c>
      <c r="B18" s="2" t="inlineStr">
        <is>
          <t>qaimg_390b79c0709c16e9</t>
        </is>
      </c>
      <c r="C18" s="4" t="inlineStr">
        <is>
          <t>https://cdn.shopify.com/s/files/1/0792/5098/1063/files/fd5e9ddd0678c2d4c24c4bd3dfda693b589b9dd151f9f214cdc48d107b8e6592.jpg?v=1787233688</t>
        </is>
      </c>
      <c r="D18" s="4" t="inlineStr">
        <is>
          <t>https://cdn.shopify.com/s/files/1/0792/5098/1063/files/fd5e9ddd0678c2d4c24c4bd3dfda693b589b9dd151f9f214cdc48d107b8e6592.jpg?v=1787233688</t>
        </is>
      </c>
      <c r="E18" s="2" t="inlineStr">
        <is>
          <t>47933462937799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2026-09-09T12:57:20+07:00</t>
        </is>
      </c>
      <c r="J18" s="2" t="inlineStr">
        <is>
          <t>QA opened 163_03.jpg (1200x1200) and checked against workbook observation: All seasons panel showing owl, moon frame and starry blue patchwork details.</t>
        </is>
      </c>
      <c r="K18" s="2" t="inlineStr">
        <is>
          <t>All seasons panel showing owl, moon frame and starry blue patchwork details.</t>
        </is>
      </c>
      <c r="L18" s="2" t="inlineStr">
        <is>
          <t>SET</t>
        </is>
      </c>
      <c r="M18" s="2" t="inlineStr">
        <is>
          <t>Owl night quilt detail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["seo_runs\\jeminise.com\\20260906_234129\\qa\\20260909_125719\\images\\163_03.jpg", "https://cdn.shopify.com/s/files/1/0792/5098/1063/files/fd5e9ddd0678c2d4c24c4bd3dfda693b589b9dd151f9f214cdc48d107b8e6592.jpg?v=1787233688"]</t>
        </is>
      </c>
    </row>
    <row r="19" ht="66" customHeight="1">
      <c r="A19" s="3" t="inlineStr">
        <is>
          <t>jeminise.com+owl-patchwork-pattern-quilt-set-animals-quilt-set-style-owl-nights</t>
        </is>
      </c>
      <c r="B19" s="3" t="inlineStr">
        <is>
          <t>qaimg_deadab12804da681</t>
        </is>
      </c>
      <c r="C19" s="4" t="inlineStr">
        <is>
          <t>https://cdn.shopify.com/s/files/1/0792/5098/1063/files/ce286ca93c0b88510ca875a37e7b75b32cb61e52da352d95c54cd2628b51fbf3.jpg?v=1787233687</t>
        </is>
      </c>
      <c r="D19" s="4" t="inlineStr">
        <is>
          <t>https://cdn.shopify.com/s/files/1/0792/5098/1063/files/ce286ca93c0b88510ca875a37e7b75b32cb61e52da352d95c54cd2628b51fbf3.jpg?v=1787233687</t>
        </is>
      </c>
      <c r="E19" s="3" t="inlineStr">
        <is>
          <t>47933462970567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2026-09-09T12:57:20+07:00</t>
        </is>
      </c>
      <c r="J19" s="3" t="inlineStr">
        <is>
          <t>QA opened 163_04.jpg (1200x1200) and checked against workbook observation: Precision stitching panel showing owl, branch and blue gold patchwork close-ups.</t>
        </is>
      </c>
      <c r="K19" s="3" t="inlineStr">
        <is>
          <t>Precision stitching panel showing owl, branch and blue gold patchwork close-ups.</t>
        </is>
      </c>
      <c r="L19" s="3" t="inlineStr">
        <is>
          <t>SET</t>
        </is>
      </c>
      <c r="M19" s="3" t="inlineStr">
        <is>
          <t>Owl patchwork quilt stitching panel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["seo_runs\\jeminise.com\\20260906_234129\\qa\\20260909_125719\\images\\163_04.jpg", "https://cdn.shopify.com/s/files/1/0792/5098/1063/files/ce286ca93c0b88510ca875a37e7b75b32cb61e52da352d95c54cd2628b51fbf3.jpg?v=1787233687"]</t>
        </is>
      </c>
    </row>
    <row r="20" ht="66" customHeight="1">
      <c r="A20" s="2" t="inlineStr">
        <is>
          <t>jeminise.com+owl-patchwork-pattern-quilt-set-animals-quilt-set-style-owl-nights</t>
        </is>
      </c>
      <c r="B20" s="2" t="inlineStr">
        <is>
          <t>qaimg_e18abc7b8bb452d0</t>
        </is>
      </c>
      <c r="C20" s="4" t="inlineStr">
        <is>
          <t>https://cdn.shopify.com/s/files/1/0792/5098/1063/files/dac8033ccef3e1ff953003c53d9a62b59fa1e74b2ab002ec0c056348688e6569.jpg?v=1787233688</t>
        </is>
      </c>
      <c r="D20" s="4" t="inlineStr">
        <is>
          <t>https://cdn.shopify.com/s/files/1/0792/5098/1063/files/dac8033ccef3e1ff953003c53d9a62b59fa1e74b2ab002ec0c056348688e6569.jpg?v=1787233688</t>
        </is>
      </c>
      <c r="E20" s="2" t="inlineStr">
        <is>
          <t>47933463003335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2026-09-09T12:57:20+07:00</t>
        </is>
      </c>
      <c r="J20" s="2" t="inlineStr">
        <is>
          <t>QA opened 163_05.jpg (1200x1200) and checked against workbook observation: Layer panel showing microfiber woven top, filling microfiber and back microfiber.</t>
        </is>
      </c>
      <c r="K20" s="2" t="inlineStr">
        <is>
          <t>Layer panel showing microfiber woven top, filling microfiber and back microfiber.</t>
        </is>
      </c>
      <c r="L20" s="2" t="inlineStr">
        <is>
          <t>SET</t>
        </is>
      </c>
      <c r="M20" s="2" t="inlineStr">
        <is>
          <t>Owl quilt microfiber layer panel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["seo_runs\\jeminise.com\\20260906_234129\\qa\\20260909_125719\\images\\163_05.jpg", "https://cdn.shopify.com/s/files/1/0792/5098/1063/files/dac8033ccef3e1ff953003c53d9a62b59fa1e74b2ab002ec0c056348688e6569.jpg?v=1787233688"]</t>
        </is>
      </c>
    </row>
    <row r="21" ht="66" customHeight="1">
      <c r="A21" s="3" t="inlineStr">
        <is>
          <t>jeminise.com+owl-patchwork-pattern-quilt-set-animals-quilt-set-style-owl-nights</t>
        </is>
      </c>
      <c r="B21" s="3" t="inlineStr">
        <is>
          <t>qaimg_f715dfbf4383f0bc</t>
        </is>
      </c>
      <c r="C21" s="4" t="inlineStr">
        <is>
          <t>https://cdn.shopify.com/s/files/1/0792/5098/1063/files/f095089ab7e2322f9d282beb998fa6a7ca93bd23ffea553618ab9ab073cac9e5.jpg?v=1787233687</t>
        </is>
      </c>
      <c r="D21" s="4" t="inlineStr">
        <is>
          <t>https://cdn.shopify.com/s/files/1/0792/5098/1063/files/f095089ab7e2322f9d282beb998fa6a7ca93bd23ffea553618ab9ab073cac9e5.jpg?v=1787233687</t>
        </is>
      </c>
      <c r="E21" s="3" t="inlineStr">
        <is>
          <t>47933463036103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2026-09-09T12:57:20+07:00</t>
        </is>
      </c>
      <c r="J21" s="3" t="inlineStr">
        <is>
          <t>QA opened 163_06.jpg (1200x1200) and checked against workbook observation: Premium quilt set size chart for blue gold owl night quilt with bed-size measurements.</t>
        </is>
      </c>
      <c r="K21" s="3" t="inlineStr">
        <is>
          <t>Premium quilt set size chart for blue gold owl night quilt with bed-size measurements.</t>
        </is>
      </c>
      <c r="L21" s="3" t="inlineStr">
        <is>
          <t>SET</t>
        </is>
      </c>
      <c r="M21" s="3" t="inlineStr">
        <is>
          <t>Size chart for blue gold owl night quilt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["seo_runs\\jeminise.com\\20260906_234129\\qa\\20260909_125719\\images\\163_06.jpg", "https://cdn.shopify.com/s/files/1/0792/5098/1063/files/f095089ab7e2322f9d282beb998fa6a7ca93bd23ffea553618ab9ab073cac9e5.jpg?v=1787233687"]</t>
        </is>
      </c>
    </row>
    <row r="22" ht="66" customHeight="1">
      <c r="A22" s="2" t="inlineStr">
        <is>
          <t>jeminise.com+owl-patchwork-pattern-quilt-set-animals-quilt-set-style-owl-nights</t>
        </is>
      </c>
      <c r="B22" s="2" t="inlineStr">
        <is>
          <t>qaimg_9b8c7a4cbcabc58c</t>
        </is>
      </c>
      <c r="C22" s="4" t="inlineStr">
        <is>
          <t>https://cdn.shopify.com/s/files/1/0792/5098/1063/files/4274176e594f473f9f9517f8df32a36888e067f66081c7c7ac33d02f839dab17.jpg?v=1787233688</t>
        </is>
      </c>
      <c r="D22" s="4" t="inlineStr">
        <is>
          <t>https://cdn.shopify.com/s/files/1/0792/5098/1063/files/4274176e594f473f9f9517f8df32a36888e067f66081c7c7ac33d02f839dab17.jpg?v=1787233688</t>
        </is>
      </c>
      <c r="E22" s="2" t="inlineStr">
        <is>
          <t>47933463068871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2026-09-09T12:57:20+07:00</t>
        </is>
      </c>
      <c r="J22" s="2" t="inlineStr">
        <is>
          <t>QA opened 163_07.jpg (1200x1200) and checked against workbook observation: Fabric detail panel showing owl night print and quilt surface close-ups.</t>
        </is>
      </c>
      <c r="K22" s="2" t="inlineStr">
        <is>
          <t>Fabric detail panel showing owl night print and quilt surface close-ups.</t>
        </is>
      </c>
      <c r="L22" s="2" t="inlineStr">
        <is>
          <t>SET</t>
        </is>
      </c>
      <c r="M22" s="2" t="inlineStr">
        <is>
          <t>Blue gold owl quilt fabric panel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["seo_runs\\jeminise.com\\20260906_234129\\qa\\20260909_125719\\images\\163_07.jpg", "https://cdn.shopify.com/s/files/1/0792/5098/1063/files/4274176e594f473f9f9517f8df32a36888e067f66081c7c7ac33d02f839dab17.jpg?v=1787233688"]</t>
        </is>
      </c>
    </row>
    <row r="23" ht="66" customHeight="1">
      <c r="A23" s="3" t="inlineStr">
        <is>
          <t>jeminise.com+pamnest-twin-halloween-comforter-set-with-sheets-5-pieces-design-01</t>
        </is>
      </c>
      <c r="B23" s="3" t="inlineStr">
        <is>
          <t>qaimg_70428f036fd72d25</t>
        </is>
      </c>
      <c r="C23" s="4" t="inlineStr">
        <is>
          <t>https://cdn.shopify.com/s/files/1/0792/5098/1063/files/78a96e41092763591645a0417450b0227ec7a4e31e21df8a327fb2d2f9428605.jpg?v=1787936155</t>
        </is>
      </c>
      <c r="D23" s="4" t="inlineStr">
        <is>
          <t>https://cdn.shopify.com/s/files/1/0792/5098/1063/files/78a96e41092763591645a0417450b0227ec7a4e31e21df8a327fb2d2f9428605.jpg?v=1787936155</t>
        </is>
      </c>
      <c r="E23" s="3" t="inlineStr">
        <is>
          <t>48066073723079</t>
        </is>
      </c>
      <c r="F23" s="3" t="inlineStr">
        <is>
          <t>47062244032711,47062244065479,47062244098247</t>
        </is>
      </c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2026-09-09T12:57:20+07:00</t>
        </is>
      </c>
      <c r="J23" s="3" t="inlineStr">
        <is>
          <t>QA opened 164_01.jpg (1500x1500) and checked against workbook observation: Bedroom mockup of black white witch moon Halloween comforter set with bats and pumpkins.</t>
        </is>
      </c>
      <c r="K23" s="3" t="inlineStr">
        <is>
          <t>Bedroom mockup of black white witch moon Halloween comforter set with bats and pumpkins.</t>
        </is>
      </c>
      <c r="L23" s="3" t="inlineStr">
        <is>
          <t>SET</t>
        </is>
      </c>
      <c r="M23" s="3" t="inlineStr">
        <is>
          <t>Witch moon Halloween comforter set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["seo_runs\\jeminise.com\\20260906_234129\\qa\\20260909_125719\\images\\164_01.jpg", "https://cdn.shopify.com/s/files/1/0792/5098/1063/files/78a96e41092763591645a0417450b0227ec7a4e31e21df8a327fb2d2f9428605.jpg?v=1787936155"]</t>
        </is>
      </c>
    </row>
    <row r="24" ht="66" customHeight="1">
      <c r="A24" s="2" t="inlineStr">
        <is>
          <t>jeminise.com+pamnest-twin-halloween-comforter-set-with-sheets-5-pieces-design-01</t>
        </is>
      </c>
      <c r="B24" s="2" t="inlineStr">
        <is>
          <t>qaimg_e0ceabb3cf8e21cb</t>
        </is>
      </c>
      <c r="C24" s="4" t="inlineStr">
        <is>
          <t>https://cdn.shopify.com/s/files/1/0792/5098/1063/files/8496cc324b64f4d38b8aec3e807b5b59dc024527330b8859a4ebd9c1c43313ff.jpg?v=1787936155</t>
        </is>
      </c>
      <c r="D24" s="4" t="inlineStr">
        <is>
          <t>https://cdn.shopify.com/s/files/1/0792/5098/1063/files/8496cc324b64f4d38b8aec3e807b5b59dc024527330b8859a4ebd9c1c43313ff.jpg?v=1787936155</t>
        </is>
      </c>
      <c r="E24" s="2" t="inlineStr">
        <is>
          <t>48066073886919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2026-09-09T12:57:20+07:00</t>
        </is>
      </c>
      <c r="J24" s="2" t="inlineStr">
        <is>
          <t>QA opened 164_02.jpg (1500x1500) and checked against workbook observation: Close-up of black comforter folded over white witch moon Halloween print.</t>
        </is>
      </c>
      <c r="K24" s="2" t="inlineStr">
        <is>
          <t>Close-up of black comforter folded over white witch moon Halloween print.</t>
        </is>
      </c>
      <c r="L24" s="2" t="inlineStr">
        <is>
          <t>SET</t>
        </is>
      </c>
      <c r="M24" s="2" t="inlineStr">
        <is>
          <t>Witch Halloween comforter close-up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["seo_runs\\jeminise.com\\20260906_234129\\qa\\20260909_125719\\images\\164_02.jpg", "https://cdn.shopify.com/s/files/1/0792/5098/1063/files/8496cc324b64f4d38b8aec3e807b5b59dc024527330b8859a4ebd9c1c43313ff.jpg?v=1787936155"]</t>
        </is>
      </c>
    </row>
    <row r="25" ht="66" customHeight="1">
      <c r="A25" s="3" t="inlineStr">
        <is>
          <t>jeminise.com+pamnest-twin-halloween-comforter-set-with-sheets-5-pieces-design-01</t>
        </is>
      </c>
      <c r="B25" s="3" t="inlineStr">
        <is>
          <t>qaimg_4264dffec46d7280</t>
        </is>
      </c>
      <c r="C25" s="4" t="inlineStr">
        <is>
          <t>https://cdn.shopify.com/s/files/1/0792/5098/1063/files/3a0f47e9dcbafab9191ddf7aa843e8572e2cec872b35c6521dc7218921e61123.jpg?v=1787936155</t>
        </is>
      </c>
      <c r="D25" s="4" t="inlineStr">
        <is>
          <t>https://cdn.shopify.com/s/files/1/0792/5098/1063/files/3a0f47e9dcbafab9191ddf7aa843e8572e2cec872b35c6521dc7218921e61123.jpg?v=1787936155</t>
        </is>
      </c>
      <c r="E25" s="3" t="inlineStr">
        <is>
          <t>48066073788615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2026-09-09T12:57:20+07:00</t>
        </is>
      </c>
      <c r="J25" s="3" t="inlineStr">
        <is>
          <t>QA opened 164_03.jpg (1500x1500) and checked against workbook observation: Warm and cozy room mockup of witch moon Halloween bedding with pumpkins.</t>
        </is>
      </c>
      <c r="K25" s="3" t="inlineStr">
        <is>
          <t>Warm and cozy room mockup of witch moon Halloween bedding with pumpkins.</t>
        </is>
      </c>
      <c r="L25" s="3" t="inlineStr">
        <is>
          <t>SET</t>
        </is>
      </c>
      <c r="M25" s="3" t="inlineStr">
        <is>
          <t>Witch moon Halloween bedding room mockup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["seo_runs\\jeminise.com\\20260906_234129\\qa\\20260909_125719\\images\\164_03.jpg", "https://cdn.shopify.com/s/files/1/0792/5098/1063/files/3a0f47e9dcbafab9191ddf7aa843e8572e2cec872b35c6521dc7218921e61123.jpg?v=1787936155"]</t>
        </is>
      </c>
    </row>
    <row r="26" ht="66" customHeight="1">
      <c r="A26" s="2" t="inlineStr">
        <is>
          <t>jeminise.com+pamnest-twin-halloween-comforter-set-with-sheets-5-pieces-design-01</t>
        </is>
      </c>
      <c r="B26" s="2" t="inlineStr">
        <is>
          <t>qaimg_5f4001ccd9c36248</t>
        </is>
      </c>
      <c r="C26" s="4" t="inlineStr">
        <is>
          <t>https://cdn.shopify.com/s/files/1/0792/5098/1063/files/1719f23b3d46b7c6722a21c797b77ed0780f9bbd492bf1c7f1046cc658013293.jpg?v=1787936155</t>
        </is>
      </c>
      <c r="D26" s="4" t="inlineStr">
        <is>
          <t>https://cdn.shopify.com/s/files/1/0792/5098/1063/files/1719f23b3d46b7c6722a21c797b77ed0780f9bbd492bf1c7f1046cc658013293.jpg?v=1787936155</t>
        </is>
      </c>
      <c r="E26" s="2" t="inlineStr">
        <is>
          <t>48066073821383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2026-09-09T12:57:20+07:00</t>
        </is>
      </c>
      <c r="J26" s="2" t="inlineStr">
        <is>
          <t>QA opened 164_04.jpg (1500x1500) and checked against workbook observation: Front bedroom mockup showing witch, moon, bats, pumpkins and HALLOWEEN text.</t>
        </is>
      </c>
      <c r="K26" s="2" t="inlineStr">
        <is>
          <t>Front bedroom mockup showing witch, moon, bats, pumpkins and HALLOWEEN text.</t>
        </is>
      </c>
      <c r="L26" s="2" t="inlineStr">
        <is>
          <t>SET</t>
        </is>
      </c>
      <c r="M26" s="2" t="inlineStr">
        <is>
          <t>Black white witch Halloween bedding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["seo_runs\\jeminise.com\\20260906_234129\\qa\\20260909_125719\\images\\164_04.jpg", "https://cdn.shopify.com/s/files/1/0792/5098/1063/files/1719f23b3d46b7c6722a21c797b77ed0780f9bbd492bf1c7f1046cc658013293.jpg?v=1787936155"]</t>
        </is>
      </c>
    </row>
    <row r="27" ht="66" customHeight="1">
      <c r="A27" s="3" t="inlineStr">
        <is>
          <t>jeminise.com+pamnest-twin-halloween-comforter-set-with-sheets-5-pieces-design-01</t>
        </is>
      </c>
      <c r="B27" s="3" t="inlineStr">
        <is>
          <t>qaimg_844ea128ebfebd3b</t>
        </is>
      </c>
      <c r="C27" s="4" t="inlineStr">
        <is>
          <t>https://cdn.shopify.com/s/files/1/0792/5098/1063/files/f05b5b4966cbfbf6e7138bce62a10e8d53a6554d2095ee522f5577dc8f19de13.jpg?v=1787936155</t>
        </is>
      </c>
      <c r="D27" s="4" t="inlineStr">
        <is>
          <t>https://cdn.shopify.com/s/files/1/0792/5098/1063/files/f05b5b4966cbfbf6e7138bce62a10e8d53a6554d2095ee522f5577dc8f19de13.jpg?v=1787936155</t>
        </is>
      </c>
      <c r="E27" s="3" t="inlineStr">
        <is>
          <t>48066073854151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2026-09-09T12:57:20+07:00</t>
        </is>
      </c>
      <c r="J27" s="3" t="inlineStr">
        <is>
          <t>QA opened 164_05.jpg (1500x1500) and checked against workbook observation: Fitted sheet panel showing standard and deep mattress fit up to 14 inches.</t>
        </is>
      </c>
      <c r="K27" s="3" t="inlineStr">
        <is>
          <t>Fitted sheet panel showing standard and deep mattress fit up to 14 inches.</t>
        </is>
      </c>
      <c r="L27" s="3" t="inlineStr">
        <is>
          <t>SET</t>
        </is>
      </c>
      <c r="M27" s="3" t="inlineStr">
        <is>
          <t>Fitted sheet panel for 14 inch mattress depth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["seo_runs\\jeminise.com\\20260906_234129\\qa\\20260909_125719\\images\\164_05.jpg", "https://cdn.shopify.com/s/files/1/0792/5098/1063/files/f05b5b4966cbfbf6e7138bce62a10e8d53a6554d2095ee522f5577dc8f19de13.jpg?v=1787936155"]</t>
        </is>
      </c>
    </row>
    <row r="28" ht="66" customHeight="1">
      <c r="A28" s="2" t="inlineStr">
        <is>
          <t>jeminise.com+pamnest-twin-halloween-comforter-set-with-sheets-5-pieces-design-01</t>
        </is>
      </c>
      <c r="B28" s="2" t="inlineStr">
        <is>
          <t>qaimg_0bb18f501e3bd7cd</t>
        </is>
      </c>
      <c r="C28" s="4" t="inlineStr">
        <is>
          <t>https://cdn.shopify.com/s/files/1/0792/5098/1063/files/29f57080b218682bc1f4e3c223af89a66eef5bc96e3704046ce51202cb67c670.jpg?v=1787936155</t>
        </is>
      </c>
      <c r="D28" s="4" t="inlineStr">
        <is>
          <t>https://cdn.shopify.com/s/files/1/0792/5098/1063/files/29f57080b218682bc1f4e3c223af89a66eef5bc96e3704046ce51202cb67c670.jpg?v=1787936155</t>
        </is>
      </c>
      <c r="E28" s="2" t="inlineStr">
        <is>
          <t>48066073919687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2026-09-09T12:57:20+07:00</t>
        </is>
      </c>
      <c r="J28" s="2" t="inlineStr">
        <is>
          <t>QA opened 164_06.jpg (1500x1500) and checked against workbook observation: Package include panel with witch moon Halloween bedding and size table.</t>
        </is>
      </c>
      <c r="K28" s="2" t="inlineStr">
        <is>
          <t>Package include panel with witch moon Halloween bedding and size table.</t>
        </is>
      </c>
      <c r="L28" s="2" t="inlineStr">
        <is>
          <t>SET</t>
        </is>
      </c>
      <c r="M28" s="2" t="inlineStr">
        <is>
          <t>Witch Halloween comforter package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["seo_runs\\jeminise.com\\20260906_234129\\qa\\20260909_125719\\images\\164_06.jpg", "https://cdn.shopify.com/s/files/1/0792/5098/1063/files/29f57080b218682bc1f4e3c223af89a66eef5bc96e3704046ce51202cb67c670.jpg?v=1787936155"]</t>
        </is>
      </c>
    </row>
    <row r="29" ht="66" customHeight="1">
      <c r="A29" s="3" t="inlineStr">
        <is>
          <t>jeminise.com+pamnest-twin-halloween-comforter-set-with-sheets-5-pieces-design-02</t>
        </is>
      </c>
      <c r="B29" s="3" t="inlineStr">
        <is>
          <t>qaimg_3725e0222a17650f</t>
        </is>
      </c>
      <c r="C29" s="4" t="inlineStr">
        <is>
          <t>https://cdn.shopify.com/s/files/1/0792/5098/1063/files/33827958b0d3465c97d89ef8a7a7e67a7aa5b22c8c0c87d5a26f80b5c0d5fd2b.jpg?v=1787936172</t>
        </is>
      </c>
      <c r="D29" s="4" t="inlineStr">
        <is>
          <t>https://cdn.shopify.com/s/files/1/0792/5098/1063/files/33827958b0d3465c97d89ef8a7a7e67a7aa5b22c8c0c87d5a26f80b5c0d5fd2b.jpg?v=1787936172</t>
        </is>
      </c>
      <c r="E29" s="3" t="inlineStr">
        <is>
          <t>48066074017991</t>
        </is>
      </c>
      <c r="F29" s="3" t="inlineStr">
        <is>
          <t>47062244327623,47062244360391,47062244393159,47062244425927</t>
        </is>
      </c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2026-09-09T12:57:20+07:00</t>
        </is>
      </c>
      <c r="J29" s="3" t="inlineStr">
        <is>
          <t>QA opened 165_01.jpg (1500x1500) and checked against workbook observation: Bedroom mockup of dark blue ghost pumpkin Halloween comforter set with matching pillows.</t>
        </is>
      </c>
      <c r="K29" s="3" t="inlineStr">
        <is>
          <t>Bedroom mockup of dark blue ghost pumpkin Halloween comforter set with matching pillows.</t>
        </is>
      </c>
      <c r="L29" s="3" t="inlineStr">
        <is>
          <t>SET</t>
        </is>
      </c>
      <c r="M29" s="3" t="inlineStr">
        <is>
          <t>Ghost pumpkin Halloween comforter set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["seo_runs\\jeminise.com\\20260906_234129\\qa\\20260909_125719\\images\\165_01.jpg", "https://cdn.shopify.com/s/files/1/0792/5098/1063/files/33827958b0d3465c97d89ef8a7a7e67a7aa5b22c8c0c87d5a26f80b5c0d5fd2b.jpg?v=1787936172"]</t>
        </is>
      </c>
    </row>
    <row r="30" ht="66" customHeight="1">
      <c r="A30" s="2" t="inlineStr">
        <is>
          <t>jeminise.com+pamnest-twin-halloween-comforter-set-with-sheets-5-pieces-design-02</t>
        </is>
      </c>
      <c r="B30" s="2" t="inlineStr">
        <is>
          <t>qaimg_df80f7b8f9afef68</t>
        </is>
      </c>
      <c r="C30" s="4" t="inlineStr">
        <is>
          <t>https://cdn.shopify.com/s/files/1/0792/5098/1063/files/fdc074927f13099e3ddba121f8393f7840633627dc879650a5a8ea085bd8febe.jpg?v=1787936172</t>
        </is>
      </c>
      <c r="D30" s="4" t="inlineStr">
        <is>
          <t>https://cdn.shopify.com/s/files/1/0792/5098/1063/files/fdc074927f13099e3ddba121f8393f7840633627dc879650a5a8ea085bd8febe.jpg?v=1787936172</t>
        </is>
      </c>
      <c r="E30" s="2" t="inlineStr">
        <is>
          <t>48066074181831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2026-09-09T12:57:20+07:00</t>
        </is>
      </c>
      <c r="J30" s="2" t="inlineStr">
        <is>
          <t>QA opened 165_02.jpg (1500x1500) and checked against workbook observation: Close-up of dark blue ghost pumpkin bedding pattern with spiderwebs and bats.</t>
        </is>
      </c>
      <c r="K30" s="2" t="inlineStr">
        <is>
          <t>Close-up of dark blue ghost pumpkin bedding pattern with spiderwebs and bats.</t>
        </is>
      </c>
      <c r="L30" s="2" t="inlineStr">
        <is>
          <t>SET</t>
        </is>
      </c>
      <c r="M30" s="2" t="inlineStr">
        <is>
          <t>Ghost pumpkin comforter close-up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["seo_runs\\jeminise.com\\20260906_234129\\qa\\20260909_125719\\images\\165_02.jpg", "https://cdn.shopify.com/s/files/1/0792/5098/1063/files/fdc074927f13099e3ddba121f8393f7840633627dc879650a5a8ea085bd8febe.jpg?v=1787936172"]</t>
        </is>
      </c>
    </row>
    <row r="31" ht="66" customHeight="1">
      <c r="A31" s="3" t="inlineStr">
        <is>
          <t>jeminise.com+pamnest-twin-halloween-comforter-set-with-sheets-5-pieces-design-02</t>
        </is>
      </c>
      <c r="B31" s="3" t="inlineStr">
        <is>
          <t>qaimg_59ca8f592f251f62</t>
        </is>
      </c>
      <c r="C31" s="4" t="inlineStr">
        <is>
          <t>https://cdn.shopify.com/s/files/1/0792/5098/1063/files/a18c5a71570f28636f9f2ca9d6b8130fc7d60bcb88cb88d9623b134efc54b9e5.jpg?v=1787936172</t>
        </is>
      </c>
      <c r="D31" s="4" t="inlineStr">
        <is>
          <t>https://cdn.shopify.com/s/files/1/0792/5098/1063/files/a18c5a71570f28636f9f2ca9d6b8130fc7d60bcb88cb88d9623b134efc54b9e5.jpg?v=1787936172</t>
        </is>
      </c>
      <c r="E31" s="3" t="inlineStr">
        <is>
          <t>48066074116295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2026-09-09T12:57:20+07:00</t>
        </is>
      </c>
      <c r="J31" s="3" t="inlineStr">
        <is>
          <t>QA opened 165_03.jpg (1500x1500) and checked against workbook observation: Warm and cozy room mockup of dark blue Halloween bedding with ghosts and pumpkins.</t>
        </is>
      </c>
      <c r="K31" s="3" t="inlineStr">
        <is>
          <t>Warm and cozy room mockup of dark blue Halloween bedding with ghosts and pumpkins.</t>
        </is>
      </c>
      <c r="L31" s="3" t="inlineStr">
        <is>
          <t>SET</t>
        </is>
      </c>
      <c r="M31" s="3" t="inlineStr">
        <is>
          <t>Dark blue Halloween bedding room mockup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["seo_runs\\jeminise.com\\20260906_234129\\qa\\20260909_125719\\images\\165_03.jpg", "https://cdn.shopify.com/s/files/1/0792/5098/1063/files/a18c5a71570f28636f9f2ca9d6b8130fc7d60bcb88cb88d9623b134efc54b9e5.jpg?v=1787936172"]</t>
        </is>
      </c>
    </row>
    <row r="32" ht="66" customHeight="1">
      <c r="A32" s="2" t="inlineStr">
        <is>
          <t>jeminise.com+pamnest-twin-halloween-comforter-set-with-sheets-5-pieces-design-02</t>
        </is>
      </c>
      <c r="B32" s="2" t="inlineStr">
        <is>
          <t>qaimg_0af23b0db0709219</t>
        </is>
      </c>
      <c r="C32" s="4" t="inlineStr">
        <is>
          <t>https://cdn.shopify.com/s/files/1/0792/5098/1063/files/1a110cdeb4611bb06dc73025e19e092ef38bf550ce9870452a33b81728254f09.jpg?v=1787936172</t>
        </is>
      </c>
      <c r="D32" s="4" t="inlineStr">
        <is>
          <t>https://cdn.shopify.com/s/files/1/0792/5098/1063/files/1a110cdeb4611bb06dc73025e19e092ef38bf550ce9870452a33b81728254f09.jpg?v=1787936172</t>
        </is>
      </c>
      <c r="E32" s="2" t="inlineStr">
        <is>
          <t>48066074149063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2026-09-09T12:57:20+07:00</t>
        </is>
      </c>
      <c r="J32" s="2" t="inlineStr">
        <is>
          <t>QA opened 165_04.jpg (1500x1500) and checked against workbook observation: Fitted sheet panel showing standard and deep mattress fit up to 14 inches.</t>
        </is>
      </c>
      <c r="K32" s="2" t="inlineStr">
        <is>
          <t>Fitted sheet panel showing standard and deep mattress fit up to 14 inches.</t>
        </is>
      </c>
      <c r="L32" s="2" t="inlineStr">
        <is>
          <t>SET</t>
        </is>
      </c>
      <c r="M32" s="2" t="inlineStr">
        <is>
          <t>Fitted sheet panel for 14 inch mattress depth for dark blue ghost pumpkin Halloween comforter set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["seo_runs\\jeminise.com\\20260906_234129\\qa\\20260909_125719\\images\\165_04.jpg", "https://cdn.shopify.com/s/files/1/0792/5098/1063/files/1a110cdeb4611bb06dc73025e19e092ef38bf550ce9870452a33b81728254f09.jpg?v=1787936172"]</t>
        </is>
      </c>
    </row>
    <row r="33" ht="66" customHeight="1">
      <c r="A33" s="3" t="inlineStr">
        <is>
          <t>jeminise.com+pamnest-twin-halloween-comforter-set-with-sheets-5-pieces-design-02</t>
        </is>
      </c>
      <c r="B33" s="3" t="inlineStr">
        <is>
          <t>qaimg_cca658befd626ce1</t>
        </is>
      </c>
      <c r="C33" s="4" t="inlineStr">
        <is>
          <t>https://cdn.shopify.com/s/files/1/0792/5098/1063/files/c103177b56d556545ef05a48d27d56626a4330b91a8a965b093c8a601908e1c2.jpg?v=1787936172</t>
        </is>
      </c>
      <c r="D33" s="4" t="inlineStr">
        <is>
          <t>https://cdn.shopify.com/s/files/1/0792/5098/1063/files/c103177b56d556545ef05a48d27d56626a4330b91a8a965b093c8a601908e1c2.jpg?v=1787936172</t>
        </is>
      </c>
      <c r="E33" s="3" t="inlineStr">
        <is>
          <t>48066074214599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2026-09-09T12:57:20+07:00</t>
        </is>
      </c>
      <c r="J33" s="3" t="inlineStr">
        <is>
          <t>QA opened 165_05.jpg (1500x1500) and checked against workbook observation: Package include panel with ghost pumpkin Halloween bedding and size table.</t>
        </is>
      </c>
      <c r="K33" s="3" t="inlineStr">
        <is>
          <t>Package include panel with ghost pumpkin Halloween bedding and size table.</t>
        </is>
      </c>
      <c r="L33" s="3" t="inlineStr">
        <is>
          <t>SET</t>
        </is>
      </c>
      <c r="M33" s="3" t="inlineStr">
        <is>
          <t>Ghost pumpkin comforter package panel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["seo_runs\\jeminise.com\\20260906_234129\\qa\\20260909_125719\\images\\165_05.jpg", "https://cdn.shopify.com/s/files/1/0792/5098/1063/files/c103177b56d556545ef05a48d27d56626a4330b91a8a965b093c8a601908e1c2.jpg?v=1787936172"]</t>
        </is>
      </c>
    </row>
    <row r="34" ht="66" customHeight="1">
      <c r="A34" s="2" t="inlineStr">
        <is>
          <t>jeminise.com+pamnest-twin-halloween-comforter-set-with-sheets-5-pieces-design-03</t>
        </is>
      </c>
      <c r="B34" s="2" t="inlineStr">
        <is>
          <t>qaimg_5e42a5bc09ef9acf</t>
        </is>
      </c>
      <c r="C34" s="4" t="inlineStr">
        <is>
          <t>https://cdn.shopify.com/s/files/1/0792/5098/1063/files/a04eaaab4fb68dc7448e32b7978cec1d481af7cf4430a3f72b91574bcb94ba65.jpg?v=1787936250</t>
        </is>
      </c>
      <c r="D34" s="4" t="inlineStr">
        <is>
          <t>https://cdn.shopify.com/s/files/1/0792/5098/1063/files/a04eaaab4fb68dc7448e32b7978cec1d481af7cf4430a3f72b91574bcb94ba65.jpg?v=1787936250</t>
        </is>
      </c>
      <c r="E34" s="2" t="inlineStr">
        <is>
          <t>48066075492551</t>
        </is>
      </c>
      <c r="F34" s="2" t="inlineStr">
        <is>
          <t>47062245146823,47062245179591,47062245212359,47062245245127</t>
        </is>
      </c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2026-09-09T12:57:20+07:00</t>
        </is>
      </c>
      <c r="J34" s="2" t="inlineStr">
        <is>
          <t>QA opened 166_01.jpg (1500x1500) and checked against workbook observation: Bedroom mockup of black Halloween comforter set covered with white ghost faces.</t>
        </is>
      </c>
      <c r="K34" s="2" t="inlineStr">
        <is>
          <t>Bedroom mockup of black Halloween comforter set covered with white ghost faces.</t>
        </is>
      </c>
      <c r="L34" s="2" t="inlineStr">
        <is>
          <t>SET</t>
        </is>
      </c>
      <c r="M34" s="2" t="inlineStr">
        <is>
          <t>Black ghost Halloween comforter set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["seo_runs\\jeminise.com\\20260906_234129\\qa\\20260909_125719\\images\\166_01.jpg", "https://cdn.shopify.com/s/files/1/0792/5098/1063/files/a04eaaab4fb68dc7448e32b7978cec1d481af7cf4430a3f72b91574bcb94ba65.jpg?v=1787936250"]</t>
        </is>
      </c>
    </row>
    <row r="35" ht="66" customHeight="1">
      <c r="A35" s="3" t="inlineStr">
        <is>
          <t>jeminise.com+pamnest-twin-halloween-comforter-set-with-sheets-5-pieces-design-03</t>
        </is>
      </c>
      <c r="B35" s="3" t="inlineStr">
        <is>
          <t>qaimg_63a40e3aaf210a12</t>
        </is>
      </c>
      <c r="C35" s="4" t="inlineStr">
        <is>
          <t>https://cdn.shopify.com/s/files/1/0792/5098/1063/files/31e8acfdca6c14ff3d16e962bde60baf0db1133fec8c67e2bf4325a3a7d561c1.jpg?v=1787936250</t>
        </is>
      </c>
      <c r="D35" s="4" t="inlineStr">
        <is>
          <t>https://cdn.shopify.com/s/files/1/0792/5098/1063/files/31e8acfdca6c14ff3d16e962bde60baf0db1133fec8c67e2bf4325a3a7d561c1.jpg?v=1787936250</t>
        </is>
      </c>
      <c r="E35" s="3" t="inlineStr">
        <is>
          <t>48066075656391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2026-09-09T12:57:20+07:00</t>
        </is>
      </c>
      <c r="J35" s="3" t="inlineStr">
        <is>
          <t>QA opened 166_02.jpg (1500x1500) and checked against workbook observation: Close-up of black comforter folded over repeated white ghost pattern.</t>
        </is>
      </c>
      <c r="K35" s="3" t="inlineStr">
        <is>
          <t>Close-up of black comforter folded over repeated white ghost pattern.</t>
        </is>
      </c>
      <c r="L35" s="3" t="inlineStr">
        <is>
          <t>SET</t>
        </is>
      </c>
      <c r="M35" s="3" t="inlineStr">
        <is>
          <t>Black ghost comforter close-up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["seo_runs\\jeminise.com\\20260906_234129\\qa\\20260909_125719\\images\\166_02.jpg", "https://cdn.shopify.com/s/files/1/0792/5098/1063/files/31e8acfdca6c14ff3d16e962bde60baf0db1133fec8c67e2bf4325a3a7d561c1.jpg?v=1787936250"]</t>
        </is>
      </c>
    </row>
    <row r="36" ht="66" customHeight="1">
      <c r="A36" s="2" t="inlineStr">
        <is>
          <t>jeminise.com+pamnest-twin-halloween-comforter-set-with-sheets-5-pieces-design-03</t>
        </is>
      </c>
      <c r="B36" s="2" t="inlineStr">
        <is>
          <t>qaimg_c68c142b7ca18f65</t>
        </is>
      </c>
      <c r="C36" s="4" t="inlineStr">
        <is>
          <t>https://cdn.shopify.com/s/files/1/0792/5098/1063/files/e96376384911eb815950bd49399e4d932894d33483e6a2657a308a3f851871b2.jpg?v=1787936250</t>
        </is>
      </c>
      <c r="D36" s="4" t="inlineStr">
        <is>
          <t>https://cdn.shopify.com/s/files/1/0792/5098/1063/files/e96376384911eb815950bd49399e4d932894d33483e6a2657a308a3f851871b2.jpg?v=1787936250</t>
        </is>
      </c>
      <c r="E36" s="2" t="inlineStr">
        <is>
          <t>48066075558087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2026-09-09T12:57:20+07:00</t>
        </is>
      </c>
      <c r="J36" s="2" t="inlineStr">
        <is>
          <t>QA opened 166_03.jpg (1500x1500) and checked against workbook observation: Warm and cozy room mockup of black white ghost Halloween bedding.</t>
        </is>
      </c>
      <c r="K36" s="2" t="inlineStr">
        <is>
          <t>Warm and cozy room mockup of black white ghost Halloween bedding.</t>
        </is>
      </c>
      <c r="L36" s="2" t="inlineStr">
        <is>
          <t>SET</t>
        </is>
      </c>
      <c r="M36" s="2" t="inlineStr">
        <is>
          <t>Black white ghost Halloween bedding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["seo_runs\\jeminise.com\\20260906_234129\\qa\\20260909_125719\\images\\166_03.jpg", "https://cdn.shopify.com/s/files/1/0792/5098/1063/files/e96376384911eb815950bd49399e4d932894d33483e6a2657a308a3f851871b2.jpg?v=1787936250"]</t>
        </is>
      </c>
    </row>
    <row r="37" ht="66" customHeight="1">
      <c r="A37" s="3" t="inlineStr">
        <is>
          <t>jeminise.com+pamnest-twin-halloween-comforter-set-with-sheets-5-pieces-design-03</t>
        </is>
      </c>
      <c r="B37" s="3" t="inlineStr">
        <is>
          <t>qaimg_47a615b0c0f3a080</t>
        </is>
      </c>
      <c r="C37" s="4" t="inlineStr">
        <is>
          <t>https://cdn.shopify.com/s/files/1/0792/5098/1063/files/ac42bb85dc2b37a8d6b9f4d966756ea755486c3f61c156cf8759fda5147a0335.jpg?v=1787936250</t>
        </is>
      </c>
      <c r="D37" s="4" t="inlineStr">
        <is>
          <t>https://cdn.shopify.com/s/files/1/0792/5098/1063/files/ac42bb85dc2b37a8d6b9f4d966756ea755486c3f61c156cf8759fda5147a0335.jpg?v=1787936250</t>
        </is>
      </c>
      <c r="E37" s="3" t="inlineStr">
        <is>
          <t>48066075590855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2026-09-09T12:57:20+07:00</t>
        </is>
      </c>
      <c r="J37" s="3" t="inlineStr">
        <is>
          <t>QA opened 166_04.jpg (1500x1500) and checked against workbook observation: Front bedroom mockup showing black ghost comforter and matching pillow pattern.</t>
        </is>
      </c>
      <c r="K37" s="3" t="inlineStr">
        <is>
          <t>Front bedroom mockup showing black ghost comforter and matching pillow pattern.</t>
        </is>
      </c>
      <c r="L37" s="3" t="inlineStr">
        <is>
          <t>SET</t>
        </is>
      </c>
      <c r="M37" s="3" t="inlineStr">
        <is>
          <t>White ghost bedding set front view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["seo_runs\\jeminise.com\\20260906_234129\\qa\\20260909_125719\\images\\166_04.jpg", "https://cdn.shopify.com/s/files/1/0792/5098/1063/files/ac42bb85dc2b37a8d6b9f4d966756ea755486c3f61c156cf8759fda5147a0335.jpg?v=1787936250"]</t>
        </is>
      </c>
    </row>
    <row r="38" ht="66" customHeight="1">
      <c r="A38" s="2" t="inlineStr">
        <is>
          <t>jeminise.com+pamnest-twin-halloween-comforter-set-with-sheets-5-pieces-design-03</t>
        </is>
      </c>
      <c r="B38" s="2" t="inlineStr">
        <is>
          <t>qaimg_08a979e93fa6fe58</t>
        </is>
      </c>
      <c r="C38" s="4" t="inlineStr">
        <is>
          <t>https://cdn.shopify.com/s/files/1/0792/5098/1063/files/f05b5b4966cbfbf6e7138bce62a10e8d53a6554d2095ee522f5577dc8f19de13_92bf2ffb-7887-4b37-986c-9db117295eff.jpg?v=1787936250</t>
        </is>
      </c>
      <c r="D38" s="4" t="inlineStr">
        <is>
          <t>https://cdn.shopify.com/s/files/1/0792/5098/1063/files/f05b5b4966cbfbf6e7138bce62a10e8d53a6554d2095ee522f5577dc8f19de13_92bf2ffb-7887-4b37-986c-9db117295eff.jpg?v=1787936250</t>
        </is>
      </c>
      <c r="E38" s="2" t="inlineStr">
        <is>
          <t>48066075623623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2026-09-09T12:57:20+07:00</t>
        </is>
      </c>
      <c r="J38" s="2" t="inlineStr">
        <is>
          <t>QA opened 166_05.jpg (1500x1500) and checked against workbook observation: Fitted sheet panel showing standard and deep mattress fit up to 14 inches.</t>
        </is>
      </c>
      <c r="K38" s="2" t="inlineStr">
        <is>
          <t>Fitted sheet panel showing standard and deep mattress fit up to 14 inches.</t>
        </is>
      </c>
      <c r="L38" s="2" t="inlineStr">
        <is>
          <t>SET</t>
        </is>
      </c>
      <c r="M38" s="2" t="inlineStr">
        <is>
          <t>Fitted sheet panel for 14 inch mattress depth for black white ghost Halloween comforter set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["seo_runs\\jeminise.com\\20260906_234129\\qa\\20260909_125719\\images\\166_05.jpg", "https://cdn.shopify.com/s/files/1/0792/5098/1063/files/f05b5b4966cbfbf6e7138bce62a10e8d53a6554d2095ee522f5577dc8f19de13_92bf2ffb-7887-4b37-986c-9db117295eff.jpg?v=1787936250"]</t>
        </is>
      </c>
    </row>
    <row r="39" ht="66" customHeight="1">
      <c r="A39" s="3" t="inlineStr">
        <is>
          <t>jeminise.com+pamnest-twin-halloween-comforter-set-with-sheets-5-pieces-design-03</t>
        </is>
      </c>
      <c r="B39" s="3" t="inlineStr">
        <is>
          <t>qaimg_266c9cbd12f90732</t>
        </is>
      </c>
      <c r="C39" s="4" t="inlineStr">
        <is>
          <t>https://cdn.shopify.com/s/files/1/0792/5098/1063/files/bbd8b3069747599cfa3e8e8deb179b9085c81592ba19d1c6287a8363a8238662.jpg?v=1787936250</t>
        </is>
      </c>
      <c r="D39" s="4" t="inlineStr">
        <is>
          <t>https://cdn.shopify.com/s/files/1/0792/5098/1063/files/bbd8b3069747599cfa3e8e8deb179b9085c81592ba19d1c6287a8363a8238662.jpg?v=1787936250</t>
        </is>
      </c>
      <c r="E39" s="3" t="inlineStr">
        <is>
          <t>48066075689159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2026-09-09T12:57:20+07:00</t>
        </is>
      </c>
      <c r="J39" s="3" t="inlineStr">
        <is>
          <t>QA opened 166_06.jpg (1500x1500) and checked against workbook observation: Package include panel with black ghost Halloween bedding and size table.</t>
        </is>
      </c>
      <c r="K39" s="3" t="inlineStr">
        <is>
          <t>Package include panel with black ghost Halloween bedding and size table.</t>
        </is>
      </c>
      <c r="L39" s="3" t="inlineStr">
        <is>
          <t>SET</t>
        </is>
      </c>
      <c r="M39" s="3" t="inlineStr">
        <is>
          <t>Black ghost comforter package panel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["seo_runs\\jeminise.com\\20260906_234129\\qa\\20260909_125719\\images\\166_06.jpg", "https://cdn.shopify.com/s/files/1/0792/5098/1063/files/bbd8b3069747599cfa3e8e8deb179b9085c81592ba19d1c6287a8363a8238662.jpg?v=1787936250"]</t>
        </is>
      </c>
    </row>
    <row r="40" ht="66" customHeight="1">
      <c r="A40" s="2" t="inlineStr">
        <is>
          <t>jeminise.com+pamnest-twin-halloween-comforter-set-with-sheets-5-pieces-design-04</t>
        </is>
      </c>
      <c r="B40" s="2" t="inlineStr">
        <is>
          <t>qaimg_0e91aba2e6b7789b</t>
        </is>
      </c>
      <c r="C40" s="4" t="inlineStr">
        <is>
          <t>https://cdn.shopify.com/s/files/1/0792/5098/1063/files/5d0f1cae5d8fbccfd0cedc69335c2f8dae57295710f0d39ce49b9d818247b5d7.jpg?v=1787936297</t>
        </is>
      </c>
      <c r="D40" s="4" t="inlineStr">
        <is>
          <t>https://cdn.shopify.com/s/files/1/0792/5098/1063/files/5d0f1cae5d8fbccfd0cedc69335c2f8dae57295710f0d39ce49b9d818247b5d7.jpg?v=1787936297</t>
        </is>
      </c>
      <c r="E40" s="2" t="inlineStr">
        <is>
          <t>48066077262023</t>
        </is>
      </c>
      <c r="F40" s="2" t="inlineStr">
        <is>
          <t>47062245343431,47062245376199,47062245408967</t>
        </is>
      </c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2026-09-09T12:57:20+07:00</t>
        </is>
      </c>
      <c r="J40" s="2" t="inlineStr">
        <is>
          <t>QA opened 167_01.jpg (1500x1500) and checked against workbook observation: Bedroom mockup of blue haunted pumpkin ghost comforter set with moon and graveyard silhouettes.</t>
        </is>
      </c>
      <c r="K40" s="2" t="inlineStr">
        <is>
          <t>Bedroom mockup of blue haunted pumpkin ghost comforter set with moon and graveyard silhouettes.</t>
        </is>
      </c>
      <c r="L40" s="2" t="inlineStr">
        <is>
          <t>SET</t>
        </is>
      </c>
      <c r="M40" s="2" t="inlineStr">
        <is>
          <t>Haunted pumpkin ghost comforter set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["seo_runs\\jeminise.com\\20260906_234129\\qa\\20260909_125719\\images\\167_01.jpg", "https://cdn.shopify.com/s/files/1/0792/5098/1063/files/5d0f1cae5d8fbccfd0cedc69335c2f8dae57295710f0d39ce49b9d818247b5d7.jpg?v=1787936297"]</t>
        </is>
      </c>
    </row>
    <row r="41" ht="66" customHeight="1">
      <c r="A41" s="3" t="inlineStr">
        <is>
          <t>jeminise.com+pamnest-twin-halloween-comforter-set-with-sheets-5-pieces-design-04</t>
        </is>
      </c>
      <c r="B41" s="3" t="inlineStr">
        <is>
          <t>qaimg_224727d4bfc1dbc6</t>
        </is>
      </c>
      <c r="C41" s="4" t="inlineStr">
        <is>
          <t>https://cdn.shopify.com/s/files/1/0792/5098/1063/files/fb6bb7ca24973834ed17ffc26166f515fd3c4a1ff52545d27cd1472dafdae0b0.jpg?v=1787936297</t>
        </is>
      </c>
      <c r="D41" s="4" t="inlineStr">
        <is>
          <t>https://cdn.shopify.com/s/files/1/0792/5098/1063/files/fb6bb7ca24973834ed17ffc26166f515fd3c4a1ff52545d27cd1472dafdae0b0.jpg?v=1787936297</t>
        </is>
      </c>
      <c r="E41" s="3" t="inlineStr">
        <is>
          <t>48066077425863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2026-09-09T12:57:20+07:00</t>
        </is>
      </c>
      <c r="J41" s="3" t="inlineStr">
        <is>
          <t>QA opened 167_02.jpg (1500x1500) and checked against workbook observation: Close-up of blue Halloween bedding with ghost, pumpkin, moon and bare tree details.</t>
        </is>
      </c>
      <c r="K41" s="3" t="inlineStr">
        <is>
          <t>Close-up of blue Halloween bedding with ghost, pumpkin, moon and bare tree details.</t>
        </is>
      </c>
      <c r="L41" s="3" t="inlineStr">
        <is>
          <t>SET</t>
        </is>
      </c>
      <c r="M41" s="3" t="inlineStr">
        <is>
          <t>Haunted ghost comforter close-up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["seo_runs\\jeminise.com\\20260906_234129\\qa\\20260909_125719\\images\\167_02.jpg", "https://cdn.shopify.com/s/files/1/0792/5098/1063/files/fb6bb7ca24973834ed17ffc26166f515fd3c4a1ff52545d27cd1472dafdae0b0.jpg?v=1787936297"]</t>
        </is>
      </c>
    </row>
    <row r="42" ht="66" customHeight="1">
      <c r="A42" s="2" t="inlineStr">
        <is>
          <t>jeminise.com+pamnest-twin-halloween-comforter-set-with-sheets-5-pieces-design-04</t>
        </is>
      </c>
      <c r="B42" s="2" t="inlineStr">
        <is>
          <t>qaimg_3a6e990121092d35</t>
        </is>
      </c>
      <c r="C42" s="4" t="inlineStr">
        <is>
          <t>https://cdn.shopify.com/s/files/1/0792/5098/1063/files/5ca4830cd71b5426ad687d0e98c5de6daada03acb8a658c0dbb56e9c1612eeb7.jpg?v=1787936297</t>
        </is>
      </c>
      <c r="D42" s="4" t="inlineStr">
        <is>
          <t>https://cdn.shopify.com/s/files/1/0792/5098/1063/files/5ca4830cd71b5426ad687d0e98c5de6daada03acb8a658c0dbb56e9c1612eeb7.jpg?v=1787936297</t>
        </is>
      </c>
      <c r="E42" s="2" t="inlineStr">
        <is>
          <t>48066077327559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2026-09-09T12:57:20+07:00</t>
        </is>
      </c>
      <c r="J42" s="2" t="inlineStr">
        <is>
          <t>QA opened 167_03.jpg (1500x1500) and checked against workbook observation: Warm and cozy room mockup of blue Halloween bedding with pumpkins and ghosts.</t>
        </is>
      </c>
      <c r="K42" s="2" t="inlineStr">
        <is>
          <t>Warm and cozy room mockup of blue Halloween bedding with pumpkins and ghosts.</t>
        </is>
      </c>
      <c r="L42" s="2" t="inlineStr">
        <is>
          <t>SET</t>
        </is>
      </c>
      <c r="M42" s="2" t="inlineStr">
        <is>
          <t>Blue Halloween bedding room mockup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["seo_runs\\jeminise.com\\20260906_234129\\qa\\20260909_125719\\images\\167_03.jpg", "https://cdn.shopify.com/s/files/1/0792/5098/1063/files/5ca4830cd71b5426ad687d0e98c5de6daada03acb8a658c0dbb56e9c1612eeb7.jpg?v=1787936297"]</t>
        </is>
      </c>
    </row>
    <row r="43" ht="66" customHeight="1">
      <c r="A43" s="3" t="inlineStr">
        <is>
          <t>jeminise.com+pamnest-twin-halloween-comforter-set-with-sheets-5-pieces-design-04</t>
        </is>
      </c>
      <c r="B43" s="3" t="inlineStr">
        <is>
          <t>qaimg_52f78230ffba5128</t>
        </is>
      </c>
      <c r="C43" s="4" t="inlineStr">
        <is>
          <t>https://cdn.shopify.com/s/files/1/0792/5098/1063/files/3e81ffaaf0deab65c1f4a3f78b8b479936f650a3a751ef521aab7f3ff885449e.jpg?v=1787936297</t>
        </is>
      </c>
      <c r="D43" s="4" t="inlineStr">
        <is>
          <t>https://cdn.shopify.com/s/files/1/0792/5098/1063/files/3e81ffaaf0deab65c1f4a3f78b8b479936f650a3a751ef521aab7f3ff885449e.jpg?v=1787936297</t>
        </is>
      </c>
      <c r="E43" s="3" t="inlineStr">
        <is>
          <t>48066077360327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2026-09-09T12:57:20+07:00</t>
        </is>
      </c>
      <c r="J43" s="3" t="inlineStr">
        <is>
          <t>QA opened 167_04.jpg (1500x1500) and checked against workbook observation: Front bedroom mockup showing moon, ghosts, jack-o-lanterns, trees and graveyard silhouettes.</t>
        </is>
      </c>
      <c r="K43" s="3" t="inlineStr">
        <is>
          <t>Front bedroom mockup showing moon, ghosts, jack-o-lanterns, trees and graveyard silhouettes.</t>
        </is>
      </c>
      <c r="L43" s="3" t="inlineStr">
        <is>
          <t>SET</t>
        </is>
      </c>
      <c r="M43" s="3" t="inlineStr">
        <is>
          <t>Pumpkin ghost Halloween bedding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["seo_runs\\jeminise.com\\20260906_234129\\qa\\20260909_125719\\images\\167_04.jpg", "https://cdn.shopify.com/s/files/1/0792/5098/1063/files/3e81ffaaf0deab65c1f4a3f78b8b479936f650a3a751ef521aab7f3ff885449e.jpg?v=1787936297"]</t>
        </is>
      </c>
    </row>
    <row r="44" ht="66" customHeight="1">
      <c r="A44" s="2" t="inlineStr">
        <is>
          <t>jeminise.com+pamnest-twin-halloween-comforter-set-with-sheets-5-pieces-design-04</t>
        </is>
      </c>
      <c r="B44" s="2" t="inlineStr">
        <is>
          <t>qaimg_8f7ad647879e67a5</t>
        </is>
      </c>
      <c r="C44" s="4" t="inlineStr">
        <is>
          <t>https://cdn.shopify.com/s/files/1/0792/5098/1063/files/f05b5b4966cbfbf6e7138bce62a10e8d53a6554d2095ee522f5577dc8f19de13_dd05aaf9-5cce-4b0d-acf1-02de91c3b744.jpg?v=1787936297</t>
        </is>
      </c>
      <c r="D44" s="4" t="inlineStr">
        <is>
          <t>https://cdn.shopify.com/s/files/1/0792/5098/1063/files/f05b5b4966cbfbf6e7138bce62a10e8d53a6554d2095ee522f5577dc8f19de13_dd05aaf9-5cce-4b0d-acf1-02de91c3b744.jpg?v=1787936297</t>
        </is>
      </c>
      <c r="E44" s="2" t="inlineStr">
        <is>
          <t>48066077393095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2026-09-09T12:57:20+07:00</t>
        </is>
      </c>
      <c r="J44" s="2" t="inlineStr">
        <is>
          <t>QA opened 167_05.jpg (1500x1500) and checked against workbook observation: Fitted sheet panel showing standard and deep mattress fit up to 14 inches.</t>
        </is>
      </c>
      <c r="K44" s="2" t="inlineStr">
        <is>
          <t>Fitted sheet panel showing standard and deep mattress fit up to 14 inches.</t>
        </is>
      </c>
      <c r="L44" s="2" t="inlineStr">
        <is>
          <t>SET</t>
        </is>
      </c>
      <c r="M44" s="2" t="inlineStr">
        <is>
          <t>Fitted sheet panel for 14 inch mattress depth for blue haunted pumpkin ghost Halloween comforter set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["seo_runs\\jeminise.com\\20260906_234129\\qa\\20260909_125719\\images\\167_05.jpg", "https://cdn.shopify.com/s/files/1/0792/5098/1063/files/f05b5b4966cbfbf6e7138bce62a10e8d53a6554d2095ee522f5577dc8f19de13_dd05aaf9-5cce-4b0d-acf1-02de91c3b744.jpg?v=1787936297"]</t>
        </is>
      </c>
    </row>
    <row r="45" ht="66" customHeight="1">
      <c r="A45" s="3" t="inlineStr">
        <is>
          <t>jeminise.com+pamnest-twin-halloween-comforter-set-with-sheets-5-pieces-design-04</t>
        </is>
      </c>
      <c r="B45" s="3" t="inlineStr">
        <is>
          <t>qaimg_d0e92cc1714e4161</t>
        </is>
      </c>
      <c r="C45" s="4" t="inlineStr">
        <is>
          <t>https://cdn.shopify.com/s/files/1/0792/5098/1063/files/b0d1da8d8060da04652dfbd8ac59558b6bb3e731d6cda0161cad77ec3b3c8fe2.jpg?v=1787936297</t>
        </is>
      </c>
      <c r="D45" s="4" t="inlineStr">
        <is>
          <t>https://cdn.shopify.com/s/files/1/0792/5098/1063/files/b0d1da8d8060da04652dfbd8ac59558b6bb3e731d6cda0161cad77ec3b3c8fe2.jpg?v=1787936297</t>
        </is>
      </c>
      <c r="E45" s="3" t="inlineStr">
        <is>
          <t>48066077458631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2026-09-09T12:57:20+07:00</t>
        </is>
      </c>
      <c r="J45" s="3" t="inlineStr">
        <is>
          <t>QA opened 167_06.jpg (1500x1500) and checked against workbook observation: Package include panel with haunted pumpkin ghost bedding and size table.</t>
        </is>
      </c>
      <c r="K45" s="3" t="inlineStr">
        <is>
          <t>Package include panel with haunted pumpkin ghost bedding and size table.</t>
        </is>
      </c>
      <c r="L45" s="3" t="inlineStr">
        <is>
          <t>SET</t>
        </is>
      </c>
      <c r="M45" s="3" t="inlineStr">
        <is>
          <t>Haunted pumpkin comforter package panel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["seo_runs\\jeminise.com\\20260906_234129\\qa\\20260909_125719\\images\\167_06.jpg", "https://cdn.shopify.com/s/files/1/0792/5098/1063/files/b0d1da8d8060da04652dfbd8ac59558b6bb3e731d6cda0161cad77ec3b3c8fe2.jpg?v=1787936297"]</t>
        </is>
      </c>
    </row>
    <row r="46" ht="66" customHeight="1">
      <c r="A46" s="2" t="inlineStr">
        <is>
          <t>jeminise.com+pamnest-twin-halloween-comforter-set-with-sheets-5-pieces-design-05</t>
        </is>
      </c>
      <c r="B46" s="2" t="inlineStr">
        <is>
          <t>qaimg_9c7f44ecde5f2b15</t>
        </is>
      </c>
      <c r="C46" s="4" t="inlineStr">
        <is>
          <t>https://cdn.shopify.com/s/files/1/0792/5098/1063/files/0378abcf551bb373bc058a8d932a075b2e7062138286ccd5675aab241cbc2aa8.jpg?v=1787936303</t>
        </is>
      </c>
      <c r="D46" s="4" t="inlineStr">
        <is>
          <t>https://cdn.shopify.com/s/files/1/0792/5098/1063/files/0378abcf551bb373bc058a8d932a075b2e7062138286ccd5675aab241cbc2aa8.jpg?v=1787936303</t>
        </is>
      </c>
      <c r="E46" s="2" t="inlineStr">
        <is>
          <t>48066077524167</t>
        </is>
      </c>
      <c r="F46" s="2" t="inlineStr">
        <is>
          <t>47062245507271,47062245540039,47062245572807,47062245605575</t>
        </is>
      </c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2026-09-09T12:57:20+07:00</t>
        </is>
      </c>
      <c r="J46" s="2" t="inlineStr">
        <is>
          <t>QA opened 168_01.jpg (1500x1500) and checked against workbook observation: Bedroom mockup of pink cute ghost Halloween comforter set with matching pillows.</t>
        </is>
      </c>
      <c r="K46" s="2" t="inlineStr">
        <is>
          <t>Bedroom mockup of pink cute ghost Halloween comforter set with matching pillows.</t>
        </is>
      </c>
      <c r="L46" s="2" t="inlineStr">
        <is>
          <t>SET</t>
        </is>
      </c>
      <c r="M46" s="2" t="inlineStr">
        <is>
          <t>Pink cute ghost Halloween comforter set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["seo_runs\\jeminise.com\\20260906_234129\\qa\\20260909_125719\\images\\168_01.jpg", "https://cdn.shopify.com/s/files/1/0792/5098/1063/files/0378abcf551bb373bc058a8d932a075b2e7062138286ccd5675aab241cbc2aa8.jpg?v=1787936303"]</t>
        </is>
      </c>
    </row>
    <row r="47" ht="66" customHeight="1">
      <c r="A47" s="3" t="inlineStr">
        <is>
          <t>jeminise.com+pamnest-twin-halloween-comforter-set-with-sheets-5-pieces-design-05</t>
        </is>
      </c>
      <c r="B47" s="3" t="inlineStr">
        <is>
          <t>qaimg_b5243f78652ec98e</t>
        </is>
      </c>
      <c r="C47" s="4" t="inlineStr">
        <is>
          <t>https://cdn.shopify.com/s/files/1/0792/5098/1063/files/d443d634870cf5702ce02c12be0e9199f6c0ef35f8992890f2ee49e88fd55e59.jpg?v=1787936303</t>
        </is>
      </c>
      <c r="D47" s="4" t="inlineStr">
        <is>
          <t>https://cdn.shopify.com/s/files/1/0792/5098/1063/files/d443d634870cf5702ce02c12be0e9199f6c0ef35f8992890f2ee49e88fd55e59.jpg?v=1787936303</t>
        </is>
      </c>
      <c r="E47" s="3" t="inlineStr">
        <is>
          <t>48066077688007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2026-09-09T12:57:20+07:00</t>
        </is>
      </c>
      <c r="J47" s="3" t="inlineStr">
        <is>
          <t>QA opened 168_02.jpg (1500x1500) and checked against workbook observation: Close-up of pink ghost bedding pattern with witch hats, candy and small stars.</t>
        </is>
      </c>
      <c r="K47" s="3" t="inlineStr">
        <is>
          <t>Close-up of pink ghost bedding pattern with witch hats, candy and small stars.</t>
        </is>
      </c>
      <c r="L47" s="3" t="inlineStr">
        <is>
          <t>SET</t>
        </is>
      </c>
      <c r="M47" s="3" t="inlineStr">
        <is>
          <t>Pink ghost comforter close-up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["seo_runs\\jeminise.com\\20260906_234129\\qa\\20260909_125719\\images\\168_02.jpg", "https://cdn.shopify.com/s/files/1/0792/5098/1063/files/d443d634870cf5702ce02c12be0e9199f6c0ef35f8992890f2ee49e88fd55e59.jpg?v=1787936303"]</t>
        </is>
      </c>
    </row>
    <row r="48" ht="66" customHeight="1">
      <c r="A48" s="2" t="inlineStr">
        <is>
          <t>jeminise.com+pamnest-twin-halloween-comforter-set-with-sheets-5-pieces-design-05</t>
        </is>
      </c>
      <c r="B48" s="2" t="inlineStr">
        <is>
          <t>qaimg_138e26098b89859b</t>
        </is>
      </c>
      <c r="C48" s="4" t="inlineStr">
        <is>
          <t>https://cdn.shopify.com/s/files/1/0792/5098/1063/files/3c149552706148b88d709b4170ededcaf07b0afcd786b0fc80da64aee42ef97a.jpg?v=1787936303</t>
        </is>
      </c>
      <c r="D48" s="4" t="inlineStr">
        <is>
          <t>https://cdn.shopify.com/s/files/1/0792/5098/1063/files/3c149552706148b88d709b4170ededcaf07b0afcd786b0fc80da64aee42ef97a.jpg?v=1787936303</t>
        </is>
      </c>
      <c r="E48" s="2" t="inlineStr">
        <is>
          <t>48066077589703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2026-09-09T12:57:20+07:00</t>
        </is>
      </c>
      <c r="J48" s="2" t="inlineStr">
        <is>
          <t>QA opened 168_03.jpg (1500x1500) and checked against workbook observation: Warm and cozy room mockup of pink Halloween bedding with cute ghosts.</t>
        </is>
      </c>
      <c r="K48" s="2" t="inlineStr">
        <is>
          <t>Warm and cozy room mockup of pink Halloween bedding with cute ghosts.</t>
        </is>
      </c>
      <c r="L48" s="2" t="inlineStr">
        <is>
          <t>SET</t>
        </is>
      </c>
      <c r="M48" s="2" t="inlineStr">
        <is>
          <t>Pink Halloween bedding room mockup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["seo_runs\\jeminise.com\\20260906_234129\\qa\\20260909_125719\\images\\168_03.jpg", "https://cdn.shopify.com/s/files/1/0792/5098/1063/files/3c149552706148b88d709b4170ededcaf07b0afcd786b0fc80da64aee42ef97a.jpg?v=1787936303"]</t>
        </is>
      </c>
    </row>
    <row r="49" ht="66" customHeight="1">
      <c r="A49" s="3" t="inlineStr">
        <is>
          <t>jeminise.com+pamnest-twin-halloween-comforter-set-with-sheets-5-pieces-design-05</t>
        </is>
      </c>
      <c r="B49" s="3" t="inlineStr">
        <is>
          <t>qaimg_06b071f3d2ee53e0</t>
        </is>
      </c>
      <c r="C49" s="4" t="inlineStr">
        <is>
          <t>https://cdn.shopify.com/s/files/1/0792/5098/1063/files/27b0e98d00c806f90ce26194ac5961ee72b1843f7ded8b1cdc58421da8ff1af5.jpg?v=1787936303</t>
        </is>
      </c>
      <c r="D49" s="4" t="inlineStr">
        <is>
          <t>https://cdn.shopify.com/s/files/1/0792/5098/1063/files/27b0e98d00c806f90ce26194ac5961ee72b1843f7ded8b1cdc58421da8ff1af5.jpg?v=1787936303</t>
        </is>
      </c>
      <c r="E49" s="3" t="inlineStr">
        <is>
          <t>48066077622471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2026-09-09T12:57:20+07:00</t>
        </is>
      </c>
      <c r="J49" s="3" t="inlineStr">
        <is>
          <t>QA opened 168_04.jpg (1500x1500) and checked against workbook observation: Front bedroom mockup showing pink ghost pattern with witch hats and candy motifs.</t>
        </is>
      </c>
      <c r="K49" s="3" t="inlineStr">
        <is>
          <t>Front bedroom mockup showing pink ghost pattern with witch hats and candy motifs.</t>
        </is>
      </c>
      <c r="L49" s="3" t="inlineStr">
        <is>
          <t>SET</t>
        </is>
      </c>
      <c r="M49" s="3" t="inlineStr">
        <is>
          <t>Cute ghost Halloween bedding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["seo_runs\\jeminise.com\\20260906_234129\\qa\\20260909_125719\\images\\168_04.jpg", "https://cdn.shopify.com/s/files/1/0792/5098/1063/files/27b0e98d00c806f90ce26194ac5961ee72b1843f7ded8b1cdc58421da8ff1af5.jpg?v=1787936303"]</t>
        </is>
      </c>
    </row>
    <row r="50" ht="66" customHeight="1">
      <c r="A50" s="2" t="inlineStr">
        <is>
          <t>jeminise.com+pamnest-twin-halloween-comforter-set-with-sheets-5-pieces-design-05</t>
        </is>
      </c>
      <c r="B50" s="2" t="inlineStr">
        <is>
          <t>qaimg_be9c90afa4fce405</t>
        </is>
      </c>
      <c r="C50" s="4" t="inlineStr">
        <is>
          <t>https://cdn.shopify.com/s/files/1/0792/5098/1063/files/4b609c485183f596d7a7cde020b39e4bda79acee2753d3dc2aded93519980ecf.jpg?v=1787936303</t>
        </is>
      </c>
      <c r="D50" s="4" t="inlineStr">
        <is>
          <t>https://cdn.shopify.com/s/files/1/0792/5098/1063/files/4b609c485183f596d7a7cde020b39e4bda79acee2753d3dc2aded93519980ecf.jpg?v=1787936303</t>
        </is>
      </c>
      <c r="E50" s="2" t="inlineStr">
        <is>
          <t>48066077655239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2026-09-09T12:57:20+07:00</t>
        </is>
      </c>
      <c r="J50" s="2" t="inlineStr">
        <is>
          <t>QA opened 168_05.jpg (1500x1500) and checked against workbook observation: Fitted sheet panel showing standard and deep mattress fit up to 14 inches.</t>
        </is>
      </c>
      <c r="K50" s="2" t="inlineStr">
        <is>
          <t>Fitted sheet panel showing standard and deep mattress fit up to 14 inches.</t>
        </is>
      </c>
      <c r="L50" s="2" t="inlineStr">
        <is>
          <t>SET</t>
        </is>
      </c>
      <c r="M50" s="2" t="inlineStr">
        <is>
          <t>Fitted sheet panel for 14 inch mattress depth for pink cute ghost witch hat Halloween comforter set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["seo_runs\\jeminise.com\\20260906_234129\\qa\\20260909_125719\\images\\168_05.jpg", "https://cdn.shopify.com/s/files/1/0792/5098/1063/files/4b609c485183f596d7a7cde020b39e4bda79acee2753d3dc2aded93519980ecf.jpg?v=1787936303"]</t>
        </is>
      </c>
    </row>
    <row r="51" ht="66" customHeight="1">
      <c r="A51" s="3" t="inlineStr">
        <is>
          <t>jeminise.com+pamnest-twin-halloween-comforter-set-with-sheets-5-pieces-design-05</t>
        </is>
      </c>
      <c r="B51" s="3" t="inlineStr">
        <is>
          <t>qaimg_0d37101936215157</t>
        </is>
      </c>
      <c r="C51" s="4" t="inlineStr">
        <is>
          <t>https://cdn.shopify.com/s/files/1/0792/5098/1063/files/7e2ec7c0c42511286cd153cc90aaaa3c14a07010ca3b6583e65c64cf25c53aa4.jpg?v=1787936303</t>
        </is>
      </c>
      <c r="D51" s="4" t="inlineStr">
        <is>
          <t>https://cdn.shopify.com/s/files/1/0792/5098/1063/files/7e2ec7c0c42511286cd153cc90aaaa3c14a07010ca3b6583e65c64cf25c53aa4.jpg?v=1787936303</t>
        </is>
      </c>
      <c r="E51" s="3" t="inlineStr">
        <is>
          <t>48066077720775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2026-09-09T12:57:20+07:00</t>
        </is>
      </c>
      <c r="J51" s="3" t="inlineStr">
        <is>
          <t>QA opened 168_06.jpg (1500x1500) and checked against workbook observation: Package include panel with pink cute ghost Halloween bedding and size table.</t>
        </is>
      </c>
      <c r="K51" s="3" t="inlineStr">
        <is>
          <t>Package include panel with pink cute ghost Halloween bedding and size table.</t>
        </is>
      </c>
      <c r="L51" s="3" t="inlineStr">
        <is>
          <t>SET</t>
        </is>
      </c>
      <c r="M51" s="3" t="inlineStr">
        <is>
          <t>Pink ghost comforter package panel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["seo_runs\\jeminise.com\\20260906_234129\\qa\\20260909_125719\\images\\168_06.jpg", "https://cdn.shopify.com/s/files/1/0792/5098/1063/files/7e2ec7c0c42511286cd153cc90aaaa3c14a07010ca3b6583e65c64cf25c53aa4.jpg?v=1787936303"]</t>
        </is>
      </c>
    </row>
    <row r="52" ht="66" customHeight="1">
      <c r="A52" s="2" t="inlineStr">
        <is>
          <t>jeminise.com+pamnest-twin-halloween-comforter-set-with-sheets-5-pieces-design-06</t>
        </is>
      </c>
      <c r="B52" s="2" t="inlineStr">
        <is>
          <t>qaimg_3b7c315548124102</t>
        </is>
      </c>
      <c r="C52" s="4" t="inlineStr">
        <is>
          <t>https://cdn.shopify.com/s/files/1/0792/5098/1063/files/56881a19a51c01cc553fffe6fc20529fd559dd35981c52ef5bde9f745e19e0c6.jpg?v=1787936307</t>
        </is>
      </c>
      <c r="D52" s="4" t="inlineStr">
        <is>
          <t>https://cdn.shopify.com/s/files/1/0792/5098/1063/files/56881a19a51c01cc553fffe6fc20529fd559dd35981c52ef5bde9f745e19e0c6.jpg?v=1787936307</t>
        </is>
      </c>
      <c r="E52" s="2" t="inlineStr">
        <is>
          <t>48066077786311</t>
        </is>
      </c>
      <c r="F52" s="2" t="inlineStr">
        <is>
          <t>47062245671111,47062245703879,47062245736647,47062245769415</t>
        </is>
      </c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2026-09-09T12:57:20+07:00</t>
        </is>
      </c>
      <c r="J52" s="2" t="inlineStr">
        <is>
          <t>QA opened 169_01.jpg (1500x1500) and checked against workbook observation: Bedroom mockup of white red handprint Halloween comforter set with red sheet pieces.</t>
        </is>
      </c>
      <c r="K52" s="2" t="inlineStr">
        <is>
          <t>Bedroom mockup of white red handprint Halloween comforter set with red sheet pieces.</t>
        </is>
      </c>
      <c r="L52" s="2" t="inlineStr">
        <is>
          <t>SET</t>
        </is>
      </c>
      <c r="M52" s="2" t="inlineStr">
        <is>
          <t>Red handprint Halloween comforter set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["seo_runs\\jeminise.com\\20260906_234129\\qa\\20260909_125719\\images\\169_01.jpg", "https://cdn.shopify.com/s/files/1/0792/5098/1063/files/56881a19a51c01cc553fffe6fc20529fd559dd35981c52ef5bde9f745e19e0c6.jpg?v=1787936307"]</t>
        </is>
      </c>
    </row>
    <row r="53" ht="66" customHeight="1">
      <c r="A53" s="3" t="inlineStr">
        <is>
          <t>jeminise.com+pamnest-twin-halloween-comforter-set-with-sheets-5-pieces-design-06</t>
        </is>
      </c>
      <c r="B53" s="3" t="inlineStr">
        <is>
          <t>qaimg_fc2d7e72084fcb0b</t>
        </is>
      </c>
      <c r="C53" s="4" t="inlineStr">
        <is>
          <t>https://cdn.shopify.com/s/files/1/0792/5098/1063/files/1a90986a710d8ec7e3fd994a8c712b5b6adf1486722d0ac1005cdfab2898c774.jpg?v=1787936307</t>
        </is>
      </c>
      <c r="D53" s="4" t="inlineStr">
        <is>
          <t>https://cdn.shopify.com/s/files/1/0792/5098/1063/files/1a90986a710d8ec7e3fd994a8c712b5b6adf1486722d0ac1005cdfab2898c774.jpg?v=1787936307</t>
        </is>
      </c>
      <c r="E53" s="3" t="inlineStr">
        <is>
          <t>48066077950151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2026-09-09T12:57:20+07:00</t>
        </is>
      </c>
      <c r="J53" s="3" t="inlineStr">
        <is>
          <t>QA opened 169_02.jpg (1500x1500) and checked against workbook observation: Close-up of red handprint and splatter-style Halloween bedding pattern.</t>
        </is>
      </c>
      <c r="K53" s="3" t="inlineStr">
        <is>
          <t>Close-up of red handprint and splatter-style Halloween bedding pattern.</t>
        </is>
      </c>
      <c r="L53" s="3" t="inlineStr">
        <is>
          <t>SET</t>
        </is>
      </c>
      <c r="M53" s="3" t="inlineStr">
        <is>
          <t>Red handprint comforter close-up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["seo_runs\\jeminise.com\\20260906_234129\\qa\\20260909_125719\\images\\169_02.jpg", "https://cdn.shopify.com/s/files/1/0792/5098/1063/files/1a90986a710d8ec7e3fd994a8c712b5b6adf1486722d0ac1005cdfab2898c774.jpg?v=1787936307"]</t>
        </is>
      </c>
    </row>
    <row r="54" ht="66" customHeight="1">
      <c r="A54" s="2" t="inlineStr">
        <is>
          <t>jeminise.com+pamnest-twin-halloween-comforter-set-with-sheets-5-pieces-design-06</t>
        </is>
      </c>
      <c r="B54" s="2" t="inlineStr">
        <is>
          <t>qaimg_7264fd11a93ae90c</t>
        </is>
      </c>
      <c r="C54" s="4" t="inlineStr">
        <is>
          <t>https://cdn.shopify.com/s/files/1/0792/5098/1063/files/14e0c414dcf8f732a3efcb85f1038b86f760c8561254aa5ccba8af1194c7a4b9.jpg?v=1787936307</t>
        </is>
      </c>
      <c r="D54" s="4" t="inlineStr">
        <is>
          <t>https://cdn.shopify.com/s/files/1/0792/5098/1063/files/14e0c414dcf8f732a3efcb85f1038b86f760c8561254aa5ccba8af1194c7a4b9.jpg?v=1787936307</t>
        </is>
      </c>
      <c r="E54" s="2" t="inlineStr">
        <is>
          <t>48066077851847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2026-09-09T12:57:20+07:00</t>
        </is>
      </c>
      <c r="J54" s="2" t="inlineStr">
        <is>
          <t>QA opened 169_03.jpg (1500x1500) and checked against workbook observation: Warm and cozy room mockup of red handprint Halloween bedding.</t>
        </is>
      </c>
      <c r="K54" s="2" t="inlineStr">
        <is>
          <t>Warm and cozy room mockup of red handprint Halloween bedding.</t>
        </is>
      </c>
      <c r="L54" s="2" t="inlineStr">
        <is>
          <t>SET</t>
        </is>
      </c>
      <c r="M54" s="2" t="inlineStr">
        <is>
          <t>Red handprint Halloween bedding room mockup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["seo_runs\\jeminise.com\\20260906_234129\\qa\\20260909_125719\\images\\169_03.jpg", "https://cdn.shopify.com/s/files/1/0792/5098/1063/files/14e0c414dcf8f732a3efcb85f1038b86f760c8561254aa5ccba8af1194c7a4b9.jpg?v=1787936307"]</t>
        </is>
      </c>
    </row>
    <row r="55" ht="66" customHeight="1">
      <c r="A55" s="3" t="inlineStr">
        <is>
          <t>jeminise.com+pamnest-twin-halloween-comforter-set-with-sheets-5-pieces-design-06</t>
        </is>
      </c>
      <c r="B55" s="3" t="inlineStr">
        <is>
          <t>qaimg_18edcd83ec0de767</t>
        </is>
      </c>
      <c r="C55" s="4" t="inlineStr">
        <is>
          <t>https://cdn.shopify.com/s/files/1/0792/5098/1063/files/60955256316c3a7bdd4e572c3f1101f8d5511e78a1d363f9d70104b52b193f71.jpg?v=1787936307</t>
        </is>
      </c>
      <c r="D55" s="4" t="inlineStr">
        <is>
          <t>https://cdn.shopify.com/s/files/1/0792/5098/1063/files/60955256316c3a7bdd4e572c3f1101f8d5511e78a1d363f9d70104b52b193f71.jpg?v=1787936307</t>
        </is>
      </c>
      <c r="E55" s="3" t="inlineStr">
        <is>
          <t>48066077884615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2026-09-09T12:57:20+07:00</t>
        </is>
      </c>
      <c r="J55" s="3" t="inlineStr">
        <is>
          <t>QA opened 169_04.jpg (1500x1500) and checked against workbook observation: Front bedroom mockup showing red handprints and splatter-style marks on white bedding.</t>
        </is>
      </c>
      <c r="K55" s="3" t="inlineStr">
        <is>
          <t>Front bedroom mockup showing red handprints and splatter-style marks on white bedding.</t>
        </is>
      </c>
      <c r="L55" s="3" t="inlineStr">
        <is>
          <t>SET</t>
        </is>
      </c>
      <c r="M55" s="3" t="inlineStr">
        <is>
          <t>Red splatter Halloween bedding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["seo_runs\\jeminise.com\\20260906_234129\\qa\\20260909_125719\\images\\169_04.jpg", "https://cdn.shopify.com/s/files/1/0792/5098/1063/files/60955256316c3a7bdd4e572c3f1101f8d5511e78a1d363f9d70104b52b193f71.jpg?v=1787936307"]</t>
        </is>
      </c>
    </row>
    <row r="56" ht="66" customHeight="1">
      <c r="A56" s="2" t="inlineStr">
        <is>
          <t>jeminise.com+pamnest-twin-halloween-comforter-set-with-sheets-5-pieces-design-06</t>
        </is>
      </c>
      <c r="B56" s="2" t="inlineStr">
        <is>
          <t>qaimg_78d261b686dc2356</t>
        </is>
      </c>
      <c r="C56" s="4" t="inlineStr">
        <is>
          <t>https://cdn.shopify.com/s/files/1/0792/5098/1063/files/e1fbf76f0a4f56333e589145881221e54d4d698d00057714af3d90bfcfcbcde8.jpg?v=1787936307</t>
        </is>
      </c>
      <c r="D56" s="4" t="inlineStr">
        <is>
          <t>https://cdn.shopify.com/s/files/1/0792/5098/1063/files/e1fbf76f0a4f56333e589145881221e54d4d698d00057714af3d90bfcfcbcde8.jpg?v=1787936307</t>
        </is>
      </c>
      <c r="E56" s="2" t="inlineStr">
        <is>
          <t>48066077917383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2026-09-09T12:57:20+07:00</t>
        </is>
      </c>
      <c r="J56" s="2" t="inlineStr">
        <is>
          <t>QA opened 169_05.jpg (1500x1500) and checked against workbook observation: Fitted sheet panel showing standard and deep mattress fit up to 14 inches.</t>
        </is>
      </c>
      <c r="K56" s="2" t="inlineStr">
        <is>
          <t>Fitted sheet panel showing standard and deep mattress fit up to 14 inches.</t>
        </is>
      </c>
      <c r="L56" s="2" t="inlineStr">
        <is>
          <t>SET</t>
        </is>
      </c>
      <c r="M56" s="2" t="inlineStr">
        <is>
          <t>Fitted sheet panel for 14 inch mattress depth for red handprint splatter Halloween comforter set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["seo_runs\\jeminise.com\\20260906_234129\\qa\\20260909_125719\\images\\169_05.jpg", "https://cdn.shopify.com/s/files/1/0792/5098/1063/files/e1fbf76f0a4f56333e589145881221e54d4d698d00057714af3d90bfcfcbcde8.jpg?v=1787936307"]</t>
        </is>
      </c>
    </row>
    <row r="57" ht="66" customHeight="1">
      <c r="A57" s="3" t="inlineStr">
        <is>
          <t>jeminise.com+pamnest-twin-halloween-comforter-set-with-sheets-5-pieces-design-06</t>
        </is>
      </c>
      <c r="B57" s="3" t="inlineStr">
        <is>
          <t>qaimg_7a780e0ec378c86d</t>
        </is>
      </c>
      <c r="C57" s="4" t="inlineStr">
        <is>
          <t>https://cdn.shopify.com/s/files/1/0792/5098/1063/files/c704e78fea6b0af8659e3bb6318e69c7a083dd569ad0e78c293e9f2bb37a0b50.jpg?v=1787936307</t>
        </is>
      </c>
      <c r="D57" s="4" t="inlineStr">
        <is>
          <t>https://cdn.shopify.com/s/files/1/0792/5098/1063/files/c704e78fea6b0af8659e3bb6318e69c7a083dd569ad0e78c293e9f2bb37a0b50.jpg?v=1787936307</t>
        </is>
      </c>
      <c r="E57" s="3" t="inlineStr">
        <is>
          <t>48066077982919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2026-09-09T12:57:20+07:00</t>
        </is>
      </c>
      <c r="J57" s="3" t="inlineStr">
        <is>
          <t>QA opened 169_06.jpg (1500x1500) and checked against workbook observation: Package include panel with red handprint Halloween bedding and size table.</t>
        </is>
      </c>
      <c r="K57" s="3" t="inlineStr">
        <is>
          <t>Package include panel with red handprint Halloween bedding and size table.</t>
        </is>
      </c>
      <c r="L57" s="3" t="inlineStr">
        <is>
          <t>SET</t>
        </is>
      </c>
      <c r="M57" s="3" t="inlineStr">
        <is>
          <t>Red handprint comforter package panel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["seo_runs\\jeminise.com\\20260906_234129\\qa\\20260909_125719\\images\\169_06.jpg", "https://cdn.shopify.com/s/files/1/0792/5098/1063/files/c704e78fea6b0af8659e3bb6318e69c7a083dd569ad0e78c293e9f2bb37a0b50.jpg?v=1787936307"]</t>
        </is>
      </c>
    </row>
    <row r="58" ht="66" customHeight="1">
      <c r="A58" s="2" t="inlineStr">
        <is>
          <t>jeminise.com+pamnest-twin-halloween-comforter-set-with-sheets-5-pieces-design-07</t>
        </is>
      </c>
      <c r="B58" s="2" t="inlineStr">
        <is>
          <t>qaimg_65bdd922c784bedd</t>
        </is>
      </c>
      <c r="C58" s="4" t="inlineStr">
        <is>
          <t>https://cdn.shopify.com/s/files/1/0792/5098/1063/files/feceab1269e0c41029cfcb73e8317439de8337d84336b09e87d52e7744326f5e.jpg?v=1787936313</t>
        </is>
      </c>
      <c r="D58" s="4" t="inlineStr">
        <is>
          <t>https://cdn.shopify.com/s/files/1/0792/5098/1063/files/feceab1269e0c41029cfcb73e8317439de8337d84336b09e87d52e7744326f5e.jpg?v=1787936313</t>
        </is>
      </c>
      <c r="E58" s="2" t="inlineStr">
        <is>
          <t>48066078015687</t>
        </is>
      </c>
      <c r="F58" s="2" t="inlineStr">
        <is>
          <t>47062245834951</t>
        </is>
      </c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2026-09-09T12:57:20+07:00</t>
        </is>
      </c>
      <c r="J58" s="2" t="inlineStr">
        <is>
          <t>QA opened 170_01.jpg (1500x1500) and checked against workbook observation: Bedroom mockup of white haunted house pumpkin comforter set with black cats and rust sheets.</t>
        </is>
      </c>
      <c r="K58" s="2" t="inlineStr">
        <is>
          <t>Bedroom mockup of white haunted house pumpkin comforter set with black cats and rust sheets.</t>
        </is>
      </c>
      <c r="L58" s="2" t="inlineStr">
        <is>
          <t>SET</t>
        </is>
      </c>
      <c r="M58" s="2" t="inlineStr">
        <is>
          <t>Haunted house pumpkin comforter set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["seo_runs\\jeminise.com\\20260906_234129\\qa\\20260909_125719\\images\\170_01.jpg", "https://cdn.shopify.com/s/files/1/0792/5098/1063/files/feceab1269e0c41029cfcb73e8317439de8337d84336b09e87d52e7744326f5e.jpg?v=1787936313"]</t>
        </is>
      </c>
    </row>
    <row r="59" ht="66" customHeight="1">
      <c r="A59" s="3" t="inlineStr">
        <is>
          <t>jeminise.com+pamnest-twin-halloween-comforter-set-with-sheets-5-pieces-design-07</t>
        </is>
      </c>
      <c r="B59" s="3" t="inlineStr">
        <is>
          <t>qaimg_2d210724d2140104</t>
        </is>
      </c>
      <c r="C59" s="4" t="inlineStr">
        <is>
          <t>https://cdn.shopify.com/s/files/1/0792/5098/1063/files/7683974b7a31c9cf865fb550d243761f446de029999d81b730d1be1d4bffd71a.jpg?v=1787936313</t>
        </is>
      </c>
      <c r="D59" s="4" t="inlineStr">
        <is>
          <t>https://cdn.shopify.com/s/files/1/0792/5098/1063/files/7683974b7a31c9cf865fb550d243761f446de029999d81b730d1be1d4bffd71a.jpg?v=1787936313</t>
        </is>
      </c>
      <c r="E59" s="3" t="inlineStr">
        <is>
          <t>48066078179527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2026-09-09T12:57:20+07:00</t>
        </is>
      </c>
      <c r="J59" s="3" t="inlineStr">
        <is>
          <t>QA opened 170_02.jpg (1500x1500) and checked against workbook observation: Close-up of white Halloween bedding with haunted houses, pumpkins, cats and spiderwebs.</t>
        </is>
      </c>
      <c r="K59" s="3" t="inlineStr">
        <is>
          <t>Close-up of white Halloween bedding with haunted houses, pumpkins, cats and spiderwebs.</t>
        </is>
      </c>
      <c r="L59" s="3" t="inlineStr">
        <is>
          <t>SET</t>
        </is>
      </c>
      <c r="M59" s="3" t="inlineStr">
        <is>
          <t>Haunted house comforter close-up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["seo_runs\\jeminise.com\\20260906_234129\\qa\\20260909_125719\\images\\170_02.jpg", "https://cdn.shopify.com/s/files/1/0792/5098/1063/files/7683974b7a31c9cf865fb550d243761f446de029999d81b730d1be1d4bffd71a.jpg?v=1787936313"]</t>
        </is>
      </c>
    </row>
    <row r="60" ht="66" customHeight="1">
      <c r="A60" s="2" t="inlineStr">
        <is>
          <t>jeminise.com+pamnest-twin-halloween-comforter-set-with-sheets-5-pieces-design-07</t>
        </is>
      </c>
      <c r="B60" s="2" t="inlineStr">
        <is>
          <t>qaimg_390457b9147914cc</t>
        </is>
      </c>
      <c r="C60" s="4" t="inlineStr">
        <is>
          <t>https://cdn.shopify.com/s/files/1/0792/5098/1063/files/d15de982cf49c61d63dcb3e70a085c7480d7757447c46dfe1f4e360681c9f501.jpg?v=1787936313</t>
        </is>
      </c>
      <c r="D60" s="4" t="inlineStr">
        <is>
          <t>https://cdn.shopify.com/s/files/1/0792/5098/1063/files/d15de982cf49c61d63dcb3e70a085c7480d7757447c46dfe1f4e360681c9f501.jpg?v=1787936313</t>
        </is>
      </c>
      <c r="E60" s="2" t="inlineStr">
        <is>
          <t>48066078081223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2026-09-09T12:57:20+07:00</t>
        </is>
      </c>
      <c r="J60" s="2" t="inlineStr">
        <is>
          <t>QA opened 170_03.jpg (1500x1500) and checked against workbook observation: Warm and cozy room mockup of white Halloween bedding with haunted houses and pumpkins.</t>
        </is>
      </c>
      <c r="K60" s="2" t="inlineStr">
        <is>
          <t>Warm and cozy room mockup of white Halloween bedding with haunted houses and pumpkins.</t>
        </is>
      </c>
      <c r="L60" s="2" t="inlineStr">
        <is>
          <t>SET</t>
        </is>
      </c>
      <c r="M60" s="2" t="inlineStr">
        <is>
          <t>White Halloween bedding room mockup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["seo_runs\\jeminise.com\\20260906_234129\\qa\\20260909_125719\\images\\170_03.jpg", "https://cdn.shopify.com/s/files/1/0792/5098/1063/files/d15de982cf49c61d63dcb3e70a085c7480d7757447c46dfe1f4e360681c9f501.jpg?v=1787936313"]</t>
        </is>
      </c>
    </row>
    <row r="61" ht="66" customHeight="1">
      <c r="A61" s="3" t="inlineStr">
        <is>
          <t>jeminise.com+pamnest-twin-halloween-comforter-set-with-sheets-5-pieces-design-07</t>
        </is>
      </c>
      <c r="B61" s="3" t="inlineStr">
        <is>
          <t>qaimg_ab6d18b5b4d9f833</t>
        </is>
      </c>
      <c r="C61" s="4" t="inlineStr">
        <is>
          <t>https://cdn.shopify.com/s/files/1/0792/5098/1063/files/30ac2af2067079c32aee59f6826a158fdef74dbd36e4a379b1f3dad211c0c404.jpg?v=1787936313</t>
        </is>
      </c>
      <c r="D61" s="4" t="inlineStr">
        <is>
          <t>https://cdn.shopify.com/s/files/1/0792/5098/1063/files/30ac2af2067079c32aee59f6826a158fdef74dbd36e4a379b1f3dad211c0c404.jpg?v=1787936313</t>
        </is>
      </c>
      <c r="E61" s="3" t="inlineStr">
        <is>
          <t>48066078113991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2026-09-09T12:57:20+07:00</t>
        </is>
      </c>
      <c r="J61" s="3" t="inlineStr">
        <is>
          <t>QA opened 170_04.jpg (1500x1500) and checked against workbook observation: Front bedroom mockup showing haunted houses, pumpkins, black cats, spiderwebs and leaves.</t>
        </is>
      </c>
      <c r="K61" s="3" t="inlineStr">
        <is>
          <t>Front bedroom mockup showing haunted houses, pumpkins, black cats, spiderwebs and leaves.</t>
        </is>
      </c>
      <c r="L61" s="3" t="inlineStr">
        <is>
          <t>SET</t>
        </is>
      </c>
      <c r="M61" s="3" t="inlineStr">
        <is>
          <t>Haunted house pumpkin bedding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["seo_runs\\jeminise.com\\20260906_234129\\qa\\20260909_125719\\images\\170_04.jpg", "https://cdn.shopify.com/s/files/1/0792/5098/1063/files/30ac2af2067079c32aee59f6826a158fdef74dbd36e4a379b1f3dad211c0c404.jpg?v=1787936313"]</t>
        </is>
      </c>
    </row>
    <row r="62" ht="66" customHeight="1">
      <c r="A62" s="2" t="inlineStr">
        <is>
          <t>jeminise.com+pamnest-twin-halloween-comforter-set-with-sheets-5-pieces-design-07</t>
        </is>
      </c>
      <c r="B62" s="2" t="inlineStr">
        <is>
          <t>qaimg_91d9a65a9bc44cb9</t>
        </is>
      </c>
      <c r="C62" s="4" t="inlineStr">
        <is>
          <t>https://cdn.shopify.com/s/files/1/0792/5098/1063/files/9d916a0bc9f840d4bf410947c3497d6a50cfc268bce2c2020b74a8951bbd4f62.jpg?v=1787936313</t>
        </is>
      </c>
      <c r="D62" s="4" t="inlineStr">
        <is>
          <t>https://cdn.shopify.com/s/files/1/0792/5098/1063/files/9d916a0bc9f840d4bf410947c3497d6a50cfc268bce2c2020b74a8951bbd4f62.jpg?v=1787936313</t>
        </is>
      </c>
      <c r="E62" s="2" t="inlineStr">
        <is>
          <t>48066078146759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2026-09-09T12:57:20+07:00</t>
        </is>
      </c>
      <c r="J62" s="2" t="inlineStr">
        <is>
          <t>QA opened 170_05.jpg (1500x1500) and checked against workbook observation: Fitted sheet panel showing standard and deep mattress fit up to 14 inches.</t>
        </is>
      </c>
      <c r="K62" s="2" t="inlineStr">
        <is>
          <t>Fitted sheet panel showing standard and deep mattress fit up to 14 inches.</t>
        </is>
      </c>
      <c r="L62" s="2" t="inlineStr">
        <is>
          <t>SET</t>
        </is>
      </c>
      <c r="M62" s="2" t="inlineStr">
        <is>
          <t>Fitted sheet panel for 14 inch mattress depth for white haunted house pumpkin cat Halloween comforter set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["seo_runs\\jeminise.com\\20260906_234129\\qa\\20260909_125719\\images\\170_05.jpg", "https://cdn.shopify.com/s/files/1/0792/5098/1063/files/9d916a0bc9f840d4bf410947c3497d6a50cfc268bce2c2020b74a8951bbd4f62.jpg?v=1787936313"]</t>
        </is>
      </c>
    </row>
    <row r="63" ht="66" customHeight="1">
      <c r="A63" s="3" t="inlineStr">
        <is>
          <t>jeminise.com+pamnest-twin-halloween-comforter-set-with-sheets-5-pieces-design-07</t>
        </is>
      </c>
      <c r="B63" s="3" t="inlineStr">
        <is>
          <t>qaimg_6a090438e1cce9ab</t>
        </is>
      </c>
      <c r="C63" s="4" t="inlineStr">
        <is>
          <t>https://cdn.shopify.com/s/files/1/0792/5098/1063/files/3e227101e2e9c24d641f1ea4dd5f5e1cb8ef75e8fe6c70b298e93002e2905f25.jpg?v=1787936313</t>
        </is>
      </c>
      <c r="D63" s="4" t="inlineStr">
        <is>
          <t>https://cdn.shopify.com/s/files/1/0792/5098/1063/files/3e227101e2e9c24d641f1ea4dd5f5e1cb8ef75e8fe6c70b298e93002e2905f25.jpg?v=1787936313</t>
        </is>
      </c>
      <c r="E63" s="3" t="inlineStr">
        <is>
          <t>48066078212295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2026-09-09T12:57:20+07:00</t>
        </is>
      </c>
      <c r="J63" s="3" t="inlineStr">
        <is>
          <t>QA opened 170_06.jpg (1500x1500) and checked against workbook observation: Package include panel with haunted house pumpkin bedding and size table.</t>
        </is>
      </c>
      <c r="K63" s="3" t="inlineStr">
        <is>
          <t>Package include panel with haunted house pumpkin bedding and size table.</t>
        </is>
      </c>
      <c r="L63" s="3" t="inlineStr">
        <is>
          <t>SET</t>
        </is>
      </c>
      <c r="M63" s="3" t="inlineStr">
        <is>
          <t>Haunted house comforter package panel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["seo_runs\\jeminise.com\\20260906_234129\\qa\\20260909_125719\\images\\170_06.jpg", "https://cdn.shopify.com/s/files/1/0792/5098/1063/files/3e227101e2e9c24d641f1ea4dd5f5e1cb8ef75e8fe6c70b298e93002e2905f25.jpg?v=1787936313"]</t>
        </is>
      </c>
    </row>
  </sheetData>
  <autoFilter ref="A1:X6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B17R5-MIN-001</t>
        </is>
      </c>
      <c r="B2" s="2" t="inlineStr">
        <is>
          <t>jeminise.com+norse-mythology-raven-within-celtic-knot-frame-quilt-906ee24d68-906ee24d68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Pos 161: description is customer-facing overall, but contains fallback wording instead of exact verified panel names.</t>
        </is>
      </c>
      <c r="H2" s="2" t="inlineStr">
        <is>
          <t>The phrase is not a blocker, yet it makes the publish copy less precise than the available image evidence.</t>
        </is>
      </c>
      <c r="I2" s="2" t="inlineStr">
        <is>
          <t>Rewrite the gallery-panel sentence in English for Blue Raven Celtic Knot Quilt using only panels verified in Image_Audit/live gallery.</t>
        </is>
      </c>
      <c r="J2" s="2" t="inlineStr">
        <is>
          <t>D:\Shopify_Workspace\jeminise_seo\resutls\jeminise.com\20260906_234129\revisions\qa_batch_017_r5\SEO_Product_Optimization_qa_batch_017_r5.xlsx | pos 161 | description_proposed_html</t>
        </is>
      </c>
      <c r="K2" s="2" t="inlineStr">
        <is>
          <t>No fallback phrase remains; panel claims match visible gallery.</t>
        </is>
      </c>
    </row>
    <row r="3" ht="84" customHeight="1">
      <c r="A3" s="3" t="inlineStr">
        <is>
          <t>B17R5-MIN-002</t>
        </is>
      </c>
      <c r="B3" s="3" t="inlineStr">
        <is>
          <t>jeminise.com+norse-mythology-viking-shield-with-crossed-axes-quilt-ca630a284e-ca630a284e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Pos 162: description is customer-facing overall, but contains fallback wording instead of exact verified panel names.</t>
        </is>
      </c>
      <c r="H3" s="3" t="inlineStr">
        <is>
          <t>The phrase is not a blocker, yet it makes the publish copy less precise than the available image evidence.</t>
        </is>
      </c>
      <c r="I3" s="3" t="inlineStr">
        <is>
          <t>Rewrite the gallery-panel sentence in English for Valhalla Viking Shield Quilt using only panels verified in Image_Audit/live gallery.</t>
        </is>
      </c>
      <c r="J3" s="3" t="inlineStr">
        <is>
          <t>D:\Shopify_Workspace\jeminise_seo\resutls\jeminise.com\20260906_234129\revisions\qa_batch_017_r5\SEO_Product_Optimization_qa_batch_017_r5.xlsx | pos 162 | description_proposed_html</t>
        </is>
      </c>
      <c r="K3" s="3" t="inlineStr">
        <is>
          <t>No fallback phrase remains; panel claims match visible gallery.</t>
        </is>
      </c>
    </row>
    <row r="4" ht="84" customHeight="1">
      <c r="A4" s="2" t="inlineStr">
        <is>
          <t>B17R5-MIN-003</t>
        </is>
      </c>
      <c r="B4" s="2" t="inlineStr">
        <is>
          <t>jeminise.com+owl-patchwork-pattern-quilt-set-animals-quilt-set-style-owl-nights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Pos 163: description is customer-facing overall, but contains fallback wording instead of exact verified panel names.</t>
        </is>
      </c>
      <c r="H4" s="2" t="inlineStr">
        <is>
          <t>The phrase is not a blocker, yet it makes the publish copy less precise than the available image evidence.</t>
        </is>
      </c>
      <c r="I4" s="2" t="inlineStr">
        <is>
          <t>Rewrite the gallery-panel sentence in English for Blue Gold Owl Night Quilt Set using only panels verified in Image_Audit/live gallery.</t>
        </is>
      </c>
      <c r="J4" s="2" t="inlineStr">
        <is>
          <t>D:\Shopify_Workspace\jeminise_seo\resutls\jeminise.com\20260906_234129\revisions\qa_batch_017_r5\SEO_Product_Optimization_qa_batch_017_r5.xlsx | pos 163 | description_proposed_html</t>
        </is>
      </c>
      <c r="K4" s="2" t="inlineStr">
        <is>
          <t>No fallback phrase remains; panel claims match visible gallery.</t>
        </is>
      </c>
    </row>
    <row r="5" ht="84" customHeight="1">
      <c r="A5" s="3" t="inlineStr">
        <is>
          <t>B17R5-LIM-TRACE-001</t>
        </is>
      </c>
      <c r="B5" s="3" t="inlineStr"/>
      <c r="C5" s="3" t="inlineStr"/>
      <c r="D5" s="3" t="inlineStr">
        <is>
          <t>LIMITATION</t>
        </is>
      </c>
      <c r="E5" s="3" t="inlineStr">
        <is>
          <t>revision traceability</t>
        </is>
      </c>
      <c r="F5" s="3" t="inlineStr">
        <is>
          <t>SEO_Products/Image_Audit row-level revision values still show r4 in the r5 workbook.</t>
        </is>
      </c>
      <c r="G5" s="3" t="inlineStr">
        <is>
          <t>Workbook filename/path/hash identify qa_batch_017_r5, while row metadata was not fully relabeled after r5.</t>
        </is>
      </c>
      <c r="H5" s="3" t="inlineStr">
        <is>
          <t>Traceability limitation only; it does not prove the submitted r5 content is wrong.</t>
        </is>
      </c>
      <c r="I5" s="3" t="inlineStr">
        <is>
          <t>Update row-level revision values and revision_summary paths in the next package.</t>
        </is>
      </c>
      <c r="J5" s="3" t="inlineStr">
        <is>
          <t>D:\Shopify_Workspace\jeminise_seo\resutls\jeminise.com\20260906_234129\revisions\qa_batch_017_r5\SEO_Product_Optimization_qa_batch_017_r5.xlsx</t>
        </is>
      </c>
      <c r="K5" s="3" t="inlineStr">
        <is>
          <t>All row-level revision fields and summary paths consistently identify r5.</t>
        </is>
      </c>
    </row>
  </sheetData>
  <autoFilter ref="A1:K5"/>
  <conditionalFormatting sqref="D2:D5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2026-09-09T05:57:36Z</dcterms:created>
  <dcterms:modified xmlns:dcterms="http://purl.org/dc/terms/" xmlns:xsi="http://www.w3.org/2001/XMLSchema-instance" xsi:type="dcterms:W3CDTF">2026-09-09T05:57:37Z</dcterms:modified>
</cp:coreProperties>
</file>