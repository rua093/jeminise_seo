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'QA_Summary'!$A$1:$C$15</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'QA_Images'!$A$1:$Z$53</definedName>
    <definedName name="_xlnm.Print_Titles" localSheetId="3">'QA_Images'!$1:$1</definedName>
    <definedName name="_xlnm._FilterDatabase" localSheetId="4" hidden="1">'QA_Issues'!$A$1:$K$89</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pamnest-twin-halloween-comforter-set-with-sheets-5-pieces-design-08" TargetMode="External" Id="rId1"/><Relationship Type="http://schemas.openxmlformats.org/officeDocument/2006/relationships/hyperlink" Target="https://jeminise.com/products/pamnest-twin-halloween-comforter-set-with-sheets-5-pieces-design-09" TargetMode="External" Id="rId2"/><Relationship Type="http://schemas.openxmlformats.org/officeDocument/2006/relationships/hyperlink" Target="https://jeminise.com/products/pamnest-twin-halloween-comforter-set-with-sheets-5-pieces-evil" TargetMode="External" Id="rId3"/><Relationship Type="http://schemas.openxmlformats.org/officeDocument/2006/relationships/hyperlink" Target="https://jeminise.com/products/personalized-and-romance-music-player-interface-quilt-with-photo-b8a3dc4155-b8a3dc4155" TargetMode="External" Id="rId4"/><Relationship Type="http://schemas.openxmlformats.org/officeDocument/2006/relationships/hyperlink" Target="https://jeminise.com/products/personalized-autumn-tree-of-life-birds-flowers-quilt-sets-radiant" TargetMode="External" Id="rId5"/><Relationship Type="http://schemas.openxmlformats.org/officeDocument/2006/relationships/hyperlink" Target="https://jeminise.com/products/personalized-baseball-bedding-full-size-flag-custom-name-d-design-01" TargetMode="External" Id="rId6"/><Relationship Type="http://schemas.openxmlformats.org/officeDocument/2006/relationships/hyperlink" Target="https://jeminise.com/products/personalized-baseball-bedding-full-size-flag-custom-name-d-design-02" TargetMode="External" Id="rId7"/><Relationship Type="http://schemas.openxmlformats.org/officeDocument/2006/relationships/hyperlink" Target="https://jeminise.com/products/personalized-baseball-bedding-full-size-flag-custom-name-d-design-03" TargetMode="External" Id="rId8"/><Relationship Type="http://schemas.openxmlformats.org/officeDocument/2006/relationships/hyperlink" Target="https://jeminise.com/products/personalized-baseball-bedding-full-size-flag-custom-name-d-design-04" TargetMode="External" Id="rId9"/><Relationship Type="http://schemas.openxmlformats.org/officeDocument/2006/relationships/hyperlink" Target="https://jeminise.com/products/personalized-baseball-bedding-full-size-flag-custom-name-d-design-05"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1414cb561f6df4ab8d6ead2b6e9a0e8ee121f1b5aaf58a9de1efdb785e9232ca.jpg?v=1787936323" TargetMode="External" Id="rId1"/><Relationship Type="http://schemas.openxmlformats.org/officeDocument/2006/relationships/hyperlink" Target="https://cdn.shopify.com/s/files/1/0792/5098/1063/files/1414cb561f6df4ab8d6ead2b6e9a0e8ee121f1b5aaf58a9de1efdb785e9232ca.jpg?v=1787936323" TargetMode="External" Id="rId2"/><Relationship Type="http://schemas.openxmlformats.org/officeDocument/2006/relationships/hyperlink" Target="https://cdn.shopify.com/s/files/1/0792/5098/1063/files/805000fbbd933e0a2489a3e979b6fba5cc968fc2782bce3816b4857490140e9a.jpg?v=1787936323" TargetMode="External" Id="rId3"/><Relationship Type="http://schemas.openxmlformats.org/officeDocument/2006/relationships/hyperlink" Target="https://cdn.shopify.com/s/files/1/0792/5098/1063/files/805000fbbd933e0a2489a3e979b6fba5cc968fc2782bce3816b4857490140e9a.jpg?v=1787936323" TargetMode="External" Id="rId4"/><Relationship Type="http://schemas.openxmlformats.org/officeDocument/2006/relationships/hyperlink" Target="https://cdn.shopify.com/s/files/1/0792/5098/1063/files/2728a23abdc49441c2c155cd7929b8a1cc9f41c97236fd8c2f144ead03fc4c79.jpg?v=1787936323" TargetMode="External" Id="rId5"/><Relationship Type="http://schemas.openxmlformats.org/officeDocument/2006/relationships/hyperlink" Target="https://cdn.shopify.com/s/files/1/0792/5098/1063/files/2728a23abdc49441c2c155cd7929b8a1cc9f41c97236fd8c2f144ead03fc4c79.jpg?v=1787936323" TargetMode="External" Id="rId6"/><Relationship Type="http://schemas.openxmlformats.org/officeDocument/2006/relationships/hyperlink" Target="https://cdn.shopify.com/s/files/1/0792/5098/1063/files/8a9bf6c406851ba19e675b0222fd0e4553c9cf6cd0602764bb3cbe6ef731c157.jpg?v=1787936323" TargetMode="External" Id="rId7"/><Relationship Type="http://schemas.openxmlformats.org/officeDocument/2006/relationships/hyperlink" Target="https://cdn.shopify.com/s/files/1/0792/5098/1063/files/8a9bf6c406851ba19e675b0222fd0e4553c9cf6cd0602764bb3cbe6ef731c157.jpg?v=1787936323" TargetMode="External" Id="rId8"/><Relationship Type="http://schemas.openxmlformats.org/officeDocument/2006/relationships/hyperlink" Target="https://cdn.shopify.com/s/files/1/0792/5098/1063/files/1a110cdeb4611bb06dc73025e19e092ef38bf550ce9870452a33b81728254f09_ac2a8fc2-9cb0-4d34-a3da-10cc0d94e91a.jpg?v=1787936323" TargetMode="External" Id="rId9"/><Relationship Type="http://schemas.openxmlformats.org/officeDocument/2006/relationships/hyperlink" Target="https://cdn.shopify.com/s/files/1/0792/5098/1063/files/1a110cdeb4611bb06dc73025e19e092ef38bf550ce9870452a33b81728254f09_ac2a8fc2-9cb0-4d34-a3da-10cc0d94e91a.jpg?v=1787936323" TargetMode="External" Id="rId10"/><Relationship Type="http://schemas.openxmlformats.org/officeDocument/2006/relationships/hyperlink" Target="https://cdn.shopify.com/s/files/1/0792/5098/1063/files/ea04152d8b142a6d590a5ddfdc02601aa8a9d8d785f56bc4eca30f642edbb7eb.jpg?v=1787936323" TargetMode="External" Id="rId11"/><Relationship Type="http://schemas.openxmlformats.org/officeDocument/2006/relationships/hyperlink" Target="https://cdn.shopify.com/s/files/1/0792/5098/1063/files/ea04152d8b142a6d590a5ddfdc02601aa8a9d8d785f56bc4eca30f642edbb7eb.jpg?v=1787936323" TargetMode="External" Id="rId12"/><Relationship Type="http://schemas.openxmlformats.org/officeDocument/2006/relationships/hyperlink" Target="https://cdn.shopify.com/s/files/1/0792/5098/1063/files/5f6b3ffa6d1b25d15b04641037bd7eb2b56065ea9e8dbb07633375ab9f848645.jpg?v=1787936329" TargetMode="External" Id="rId13"/><Relationship Type="http://schemas.openxmlformats.org/officeDocument/2006/relationships/hyperlink" Target="https://cdn.shopify.com/s/files/1/0792/5098/1063/files/5f6b3ffa6d1b25d15b04641037bd7eb2b56065ea9e8dbb07633375ab9f848645.jpg?v=1787936329" TargetMode="External" Id="rId14"/><Relationship Type="http://schemas.openxmlformats.org/officeDocument/2006/relationships/hyperlink" Target="https://cdn.shopify.com/s/files/1/0792/5098/1063/files/595097cee0d9955bd52f4b1f7b49af4558262e7c3d35d8fdc7368c2dd7e48aaa.jpg?v=1787936329" TargetMode="External" Id="rId15"/><Relationship Type="http://schemas.openxmlformats.org/officeDocument/2006/relationships/hyperlink" Target="https://cdn.shopify.com/s/files/1/0792/5098/1063/files/595097cee0d9955bd52f4b1f7b49af4558262e7c3d35d8fdc7368c2dd7e48aaa.jpg?v=1787936329" TargetMode="External" Id="rId16"/><Relationship Type="http://schemas.openxmlformats.org/officeDocument/2006/relationships/hyperlink" Target="https://cdn.shopify.com/s/files/1/0792/5098/1063/files/292b1822d4957871ea066bd5256725b3c42b3da499773973f5481529a7dff977.jpg?v=1787936329" TargetMode="External" Id="rId17"/><Relationship Type="http://schemas.openxmlformats.org/officeDocument/2006/relationships/hyperlink" Target="https://cdn.shopify.com/s/files/1/0792/5098/1063/files/292b1822d4957871ea066bd5256725b3c42b3da499773973f5481529a7dff977.jpg?v=1787936329" TargetMode="External" Id="rId18"/><Relationship Type="http://schemas.openxmlformats.org/officeDocument/2006/relationships/hyperlink" Target="https://cdn.shopify.com/s/files/1/0792/5098/1063/files/1aa720a0e20bf14801e041af538733bf6e42104b44e5ee6952dcd10b1be384f9.jpg?v=1787936345" TargetMode="External" Id="rId19"/><Relationship Type="http://schemas.openxmlformats.org/officeDocument/2006/relationships/hyperlink" Target="https://cdn.shopify.com/s/files/1/0792/5098/1063/files/1aa720a0e20bf14801e041af538733bf6e42104b44e5ee6952dcd10b1be384f9.jpg?v=1787936345" TargetMode="External" Id="rId20"/><Relationship Type="http://schemas.openxmlformats.org/officeDocument/2006/relationships/hyperlink" Target="https://cdn.shopify.com/s/files/1/0792/5098/1063/files/f05b5b4966cbfbf6e7138bce62a10e8d53a6554d2095ee522f5577dc8f19de13_3bca0338-af59-4fc3-a836-03d426c73ed0.jpg?v=1787936328" TargetMode="External" Id="rId21"/><Relationship Type="http://schemas.openxmlformats.org/officeDocument/2006/relationships/hyperlink" Target="https://cdn.shopify.com/s/files/1/0792/5098/1063/files/f05b5b4966cbfbf6e7138bce62a10e8d53a6554d2095ee522f5577dc8f19de13_3bca0338-af59-4fc3-a836-03d426c73ed0.jpg?v=1787936328" TargetMode="External" Id="rId22"/><Relationship Type="http://schemas.openxmlformats.org/officeDocument/2006/relationships/hyperlink" Target="https://cdn.shopify.com/s/files/1/0792/5098/1063/files/6abf30b3d2c6cd0aff034437ff25ac87b964f7fc79cb73b460c7b0f17a36956d.jpg?v=1787936329" TargetMode="External" Id="rId23"/><Relationship Type="http://schemas.openxmlformats.org/officeDocument/2006/relationships/hyperlink" Target="https://cdn.shopify.com/s/files/1/0792/5098/1063/files/6abf30b3d2c6cd0aff034437ff25ac87b964f7fc79cb73b460c7b0f17a36956d.jpg?v=1787936329" TargetMode="External" Id="rId24"/><Relationship Type="http://schemas.openxmlformats.org/officeDocument/2006/relationships/hyperlink" Target="https://cdn.shopify.com/s/files/1/0792/5098/1063/files/1f37711843552e811d34b03499b81c9d5785fd1cc3e1583509a63c36390e6e7d.jpg?v=1787936145" TargetMode="External" Id="rId25"/><Relationship Type="http://schemas.openxmlformats.org/officeDocument/2006/relationships/hyperlink" Target="https://cdn.shopify.com/s/files/1/0792/5098/1063/files/1f37711843552e811d34b03499b81c9d5785fd1cc3e1583509a63c36390e6e7d.jpg?v=1787936145" TargetMode="External" Id="rId26"/><Relationship Type="http://schemas.openxmlformats.org/officeDocument/2006/relationships/hyperlink" Target="https://cdn.shopify.com/s/files/1/0792/5098/1063/files/e56e8aced3e989692dd9bf1c23b4a225328e8d0fea66009e73b4084392ea0c2e.jpg?v=1787936161" TargetMode="External" Id="rId27"/><Relationship Type="http://schemas.openxmlformats.org/officeDocument/2006/relationships/hyperlink" Target="https://cdn.shopify.com/s/files/1/0792/5098/1063/files/e56e8aced3e989692dd9bf1c23b4a225328e8d0fea66009e73b4084392ea0c2e.jpg?v=1787936161" TargetMode="External" Id="rId28"/><Relationship Type="http://schemas.openxmlformats.org/officeDocument/2006/relationships/hyperlink" Target="https://cdn.shopify.com/s/files/1/0792/5098/1063/files/1979a29f833fb8025e53c517613c6d03b36c25e8662d27c2fb6bc34a912889c3.jpg?v=1787936144" TargetMode="External" Id="rId29"/><Relationship Type="http://schemas.openxmlformats.org/officeDocument/2006/relationships/hyperlink" Target="https://cdn.shopify.com/s/files/1/0792/5098/1063/files/1979a29f833fb8025e53c517613c6d03b36c25e8662d27c2fb6bc34a912889c3.jpg?v=1787936144" TargetMode="External" Id="rId30"/><Relationship Type="http://schemas.openxmlformats.org/officeDocument/2006/relationships/hyperlink" Target="https://cdn.shopify.com/s/files/1/0792/5098/1063/files/bacf0277965f8020606b9e83034a662044f1253d4027305dac42b9ee615e71ad.jpg?v=1787936144" TargetMode="External" Id="rId31"/><Relationship Type="http://schemas.openxmlformats.org/officeDocument/2006/relationships/hyperlink" Target="https://cdn.shopify.com/s/files/1/0792/5098/1063/files/bacf0277965f8020606b9e83034a662044f1253d4027305dac42b9ee615e71ad.jpg?v=1787936144" TargetMode="External" Id="rId32"/><Relationship Type="http://schemas.openxmlformats.org/officeDocument/2006/relationships/hyperlink" Target="https://cdn.shopify.com/s/files/1/0792/5098/1063/files/870b145d05eb0c164fb8e3c80b7784c4ed4883727b64f89609c97bff8778bcd7.jpg?v=1787936144" TargetMode="External" Id="rId33"/><Relationship Type="http://schemas.openxmlformats.org/officeDocument/2006/relationships/hyperlink" Target="https://cdn.shopify.com/s/files/1/0792/5098/1063/files/870b145d05eb0c164fb8e3c80b7784c4ed4883727b64f89609c97bff8778bcd7.jpg?v=1787936144" TargetMode="External" Id="rId34"/><Relationship Type="http://schemas.openxmlformats.org/officeDocument/2006/relationships/hyperlink" Target="https://cdn.shopify.com/s/files/1/0792/5098/1063/files/51c5512488c313adc9a08e18c0f0de957e7d3f41ed5d2ce794cb6765b7051f7f.jpg?v=1787936144" TargetMode="External" Id="rId35"/><Relationship Type="http://schemas.openxmlformats.org/officeDocument/2006/relationships/hyperlink" Target="https://cdn.shopify.com/s/files/1/0792/5098/1063/files/51c5512488c313adc9a08e18c0f0de957e7d3f41ed5d2ce794cb6765b7051f7f.jpg?v=1787936144" TargetMode="External" Id="rId36"/><Relationship Type="http://schemas.openxmlformats.org/officeDocument/2006/relationships/hyperlink" Target="https://cdn.shopify.com/s/files/1/0792/5098/1063/files/9df0bd134caafb80cef543e0fa9ad7f956cd590354e7ab38b19d069b5fedd77a.jpg?v=1785103605" TargetMode="External" Id="rId37"/><Relationship Type="http://schemas.openxmlformats.org/officeDocument/2006/relationships/hyperlink" Target="https://cdn.shopify.com/s/files/1/0792/5098/1063/files/9df0bd134caafb80cef543e0fa9ad7f956cd590354e7ab38b19d069b5fedd77a.jpg?v=1785103605" TargetMode="External" Id="rId38"/><Relationship Type="http://schemas.openxmlformats.org/officeDocument/2006/relationships/hyperlink" Target="https://cdn.shopify.com/s/files/1/0792/5098/1063/files/44ba6b918e03007da3fc84d7e71d7fd9b1132b2182aed08bea42aed1149b7149.jpg?v=1785103606" TargetMode="External" Id="rId39"/><Relationship Type="http://schemas.openxmlformats.org/officeDocument/2006/relationships/hyperlink" Target="https://cdn.shopify.com/s/files/1/0792/5098/1063/files/44ba6b918e03007da3fc84d7e71d7fd9b1132b2182aed08bea42aed1149b7149.jpg?v=1785103606" TargetMode="External" Id="rId40"/><Relationship Type="http://schemas.openxmlformats.org/officeDocument/2006/relationships/hyperlink" Target="https://cdn.shopify.com/s/files/1/0792/5098/1063/files/ada188324d65131d6d5d25a2a12d7b12cae7dc6a6a29f750589e8acc2aadf240.jpg?v=1785103605" TargetMode="External" Id="rId41"/><Relationship Type="http://schemas.openxmlformats.org/officeDocument/2006/relationships/hyperlink" Target="https://cdn.shopify.com/s/files/1/0792/5098/1063/files/ada188324d65131d6d5d25a2a12d7b12cae7dc6a6a29f750589e8acc2aadf240.jpg?v=1785103605" TargetMode="External" Id="rId42"/><Relationship Type="http://schemas.openxmlformats.org/officeDocument/2006/relationships/hyperlink" Target="https://cdn.shopify.com/s/files/1/0792/5098/1063/files/0ef4a2cf2af0944419c4d2e67a29d6f9d4c5405e2e59137b056c95c1f1eccfd1.jpg?v=1785103605" TargetMode="External" Id="rId43"/><Relationship Type="http://schemas.openxmlformats.org/officeDocument/2006/relationships/hyperlink" Target="https://cdn.shopify.com/s/files/1/0792/5098/1063/files/0ef4a2cf2af0944419c4d2e67a29d6f9d4c5405e2e59137b056c95c1f1eccfd1.jpg?v=1785103605" TargetMode="External" Id="rId44"/><Relationship Type="http://schemas.openxmlformats.org/officeDocument/2006/relationships/hyperlink" Target="https://cdn.shopify.com/s/files/1/0792/5098/1063/files/4d6a288f3e1f77ceabddb188f9a9809ea332bb528a83f48fccc688a298c61bc9.jpg?v=1785103605" TargetMode="External" Id="rId45"/><Relationship Type="http://schemas.openxmlformats.org/officeDocument/2006/relationships/hyperlink" Target="https://cdn.shopify.com/s/files/1/0792/5098/1063/files/4d6a288f3e1f77ceabddb188f9a9809ea332bb528a83f48fccc688a298c61bc9.jpg?v=1785103605" TargetMode="External" Id="rId46"/><Relationship Type="http://schemas.openxmlformats.org/officeDocument/2006/relationships/hyperlink" Target="https://cdn.shopify.com/s/files/1/0792/5098/1063/files/89f35e8d5de515e1b75dcf0c65c85ef13b058ae4f9983fe7da44c702d7374b45.jpg?v=1785103605" TargetMode="External" Id="rId47"/><Relationship Type="http://schemas.openxmlformats.org/officeDocument/2006/relationships/hyperlink" Target="https://cdn.shopify.com/s/files/1/0792/5098/1063/files/89f35e8d5de515e1b75dcf0c65c85ef13b058ae4f9983fe7da44c702d7374b45.jpg?v=1785103605" TargetMode="External" Id="rId48"/><Relationship Type="http://schemas.openxmlformats.org/officeDocument/2006/relationships/hyperlink" Target="https://cdn.shopify.com/s/files/1/0792/5098/1063/files/ab6a0a01e28e814d8f3cbc64e88430ceb1b8a226c57a04429ff8ee2f9f8470ea.jpg?v=1785103606" TargetMode="External" Id="rId49"/><Relationship Type="http://schemas.openxmlformats.org/officeDocument/2006/relationships/hyperlink" Target="https://cdn.shopify.com/s/files/1/0792/5098/1063/files/ab6a0a01e28e814d8f3cbc64e88430ceb1b8a226c57a04429ff8ee2f9f8470ea.jpg?v=1785103606" TargetMode="External" Id="rId50"/><Relationship Type="http://schemas.openxmlformats.org/officeDocument/2006/relationships/hyperlink" Target="https://cdn.shopify.com/s/files/1/0792/5098/1063/files/76e83bca36e7d6cbe9d52534b537497ba2da302985d2500484b04ef5c13e86f1.jpg?v=1786569190" TargetMode="External" Id="rId51"/><Relationship Type="http://schemas.openxmlformats.org/officeDocument/2006/relationships/hyperlink" Target="https://cdn.shopify.com/s/files/1/0792/5098/1063/files/76e83bca36e7d6cbe9d52534b537497ba2da302985d2500484b04ef5c13e86f1.jpg?v=1786569190" TargetMode="External" Id="rId52"/><Relationship Type="http://schemas.openxmlformats.org/officeDocument/2006/relationships/hyperlink" Target="https://cdn.shopify.com/s/files/1/0792/5098/1063/files/e88f9c91210002eaa2f256be9d65bf02c309f8b3dc9a23c994a72d37aa8df308.jpg?v=1786569190" TargetMode="External" Id="rId53"/><Relationship Type="http://schemas.openxmlformats.org/officeDocument/2006/relationships/hyperlink" Target="https://cdn.shopify.com/s/files/1/0792/5098/1063/files/e88f9c91210002eaa2f256be9d65bf02c309f8b3dc9a23c994a72d37aa8df308.jpg?v=1786569190" TargetMode="External" Id="rId54"/><Relationship Type="http://schemas.openxmlformats.org/officeDocument/2006/relationships/hyperlink" Target="https://cdn.shopify.com/s/files/1/0792/5098/1063/files/14fdab197c2fb28af22fc3dad45c9f6e647085505ad1d22079f42b99ff4512c9.jpg?v=1786569190" TargetMode="External" Id="rId55"/><Relationship Type="http://schemas.openxmlformats.org/officeDocument/2006/relationships/hyperlink" Target="https://cdn.shopify.com/s/files/1/0792/5098/1063/files/14fdab197c2fb28af22fc3dad45c9f6e647085505ad1d22079f42b99ff4512c9.jpg?v=1786569190" TargetMode="External" Id="rId56"/><Relationship Type="http://schemas.openxmlformats.org/officeDocument/2006/relationships/hyperlink" Target="https://cdn.shopify.com/s/files/1/0792/5098/1063/files/75a8841341082afa024eccaf666cc50689cb0804b1b5c6121a143f1ad7fd0f5c.jpg?v=1786569190" TargetMode="External" Id="rId57"/><Relationship Type="http://schemas.openxmlformats.org/officeDocument/2006/relationships/hyperlink" Target="https://cdn.shopify.com/s/files/1/0792/5098/1063/files/75a8841341082afa024eccaf666cc50689cb0804b1b5c6121a143f1ad7fd0f5c.jpg?v=1786569190" TargetMode="External" Id="rId58"/><Relationship Type="http://schemas.openxmlformats.org/officeDocument/2006/relationships/hyperlink" Target="https://cdn.shopify.com/s/files/1/0792/5098/1063/files/e219e0bbc1c8ff23741eccef9f119feb831d13dc409a2b2543144c43134d1124.jpg?v=1786569190" TargetMode="External" Id="rId59"/><Relationship Type="http://schemas.openxmlformats.org/officeDocument/2006/relationships/hyperlink" Target="https://cdn.shopify.com/s/files/1/0792/5098/1063/files/e219e0bbc1c8ff23741eccef9f119feb831d13dc409a2b2543144c43134d1124.jpg?v=1786569190" TargetMode="External" Id="rId60"/><Relationship Type="http://schemas.openxmlformats.org/officeDocument/2006/relationships/hyperlink" Target="https://cdn.shopify.com/s/files/1/0792/5098/1063/files/4e3bd5db7f8f32bc843c373deb779457b0bc909907e444f3fd479b1487f44f0c.jpg?v=1786569190" TargetMode="External" Id="rId61"/><Relationship Type="http://schemas.openxmlformats.org/officeDocument/2006/relationships/hyperlink" Target="https://cdn.shopify.com/s/files/1/0792/5098/1063/files/4e3bd5db7f8f32bc843c373deb779457b0bc909907e444f3fd479b1487f44f0c.jpg?v=1786569190" TargetMode="External" Id="rId62"/><Relationship Type="http://schemas.openxmlformats.org/officeDocument/2006/relationships/hyperlink" Target="https://cdn.shopify.com/s/files/1/0792/5098/1063/files/1ac440907b13bbfe69aa9df8b823b1b2403e9b7593955f0dc4a32ec79c5ad5dd.jpg?v=1786569191" TargetMode="External" Id="rId63"/><Relationship Type="http://schemas.openxmlformats.org/officeDocument/2006/relationships/hyperlink" Target="https://cdn.shopify.com/s/files/1/0792/5098/1063/files/1ac440907b13bbfe69aa9df8b823b1b2403e9b7593955f0dc4a32ec79c5ad5dd.jpg?v=1786569191" TargetMode="External" Id="rId64"/><Relationship Type="http://schemas.openxmlformats.org/officeDocument/2006/relationships/hyperlink" Target="https://cdn.shopify.com/s/files/1/0792/5098/1063/files/7b5c51aa3d8e7b0ede2b944964c9def4c11bee595091e278a8a03e64c42de41e.jpg?v=1787242220" TargetMode="External" Id="rId65"/><Relationship Type="http://schemas.openxmlformats.org/officeDocument/2006/relationships/hyperlink" Target="https://cdn.shopify.com/s/files/1/0792/5098/1063/files/7b5c51aa3d8e7b0ede2b944964c9def4c11bee595091e278a8a03e64c42de41e.jpg?v=1787242220" TargetMode="External" Id="rId66"/><Relationship Type="http://schemas.openxmlformats.org/officeDocument/2006/relationships/hyperlink" Target="https://cdn.shopify.com/s/files/1/0792/5098/1063/files/ef81c56fe7d5f4f60045bfbd0778e14ad11ce2a6824c23132d2b864ef763fe85_83117c85-a870-4095-b779-416d250e7276.jpg?v=1787242220" TargetMode="External" Id="rId67"/><Relationship Type="http://schemas.openxmlformats.org/officeDocument/2006/relationships/hyperlink" Target="https://cdn.shopify.com/s/files/1/0792/5098/1063/files/ef81c56fe7d5f4f60045bfbd0778e14ad11ce2a6824c23132d2b864ef763fe85_83117c85-a870-4095-b779-416d250e7276.jpg?v=1787242220" TargetMode="External" Id="rId68"/><Relationship Type="http://schemas.openxmlformats.org/officeDocument/2006/relationships/hyperlink" Target="https://cdn.shopify.com/s/files/1/0792/5098/1063/files/b495d9b37eafdceff5caf3643256f7b3a83de826d49a14bdc531b13424296018_88164598-e9f4-4928-b053-76791a3a0dcf.jpg?v=1787242220" TargetMode="External" Id="rId69"/><Relationship Type="http://schemas.openxmlformats.org/officeDocument/2006/relationships/hyperlink" Target="https://cdn.shopify.com/s/files/1/0792/5098/1063/files/b495d9b37eafdceff5caf3643256f7b3a83de826d49a14bdc531b13424296018_88164598-e9f4-4928-b053-76791a3a0dcf.jpg?v=1787242220" TargetMode="External" Id="rId70"/><Relationship Type="http://schemas.openxmlformats.org/officeDocument/2006/relationships/hyperlink" Target="https://cdn.shopify.com/s/files/1/0792/5098/1063/files/d51e3360a3e4b984af63b01c4b53d517484ca3d6cb1beeea158bcf59acab9ed4_987bc884-03f1-4194-a3cf-9a2acfe15561.jpg?v=1787242220" TargetMode="External" Id="rId71"/><Relationship Type="http://schemas.openxmlformats.org/officeDocument/2006/relationships/hyperlink" Target="https://cdn.shopify.com/s/files/1/0792/5098/1063/files/d51e3360a3e4b984af63b01c4b53d517484ca3d6cb1beeea158bcf59acab9ed4_987bc884-03f1-4194-a3cf-9a2acfe15561.jpg?v=1787242220" TargetMode="External" Id="rId72"/><Relationship Type="http://schemas.openxmlformats.org/officeDocument/2006/relationships/hyperlink" Target="https://cdn.shopify.com/s/files/1/0792/5098/1063/files/6f4d49a4f378e1d847ce6c5fba523fd3e99a8eb747a9dd8bc23b8fd0282b9151.jpg?v=1787242229" TargetMode="External" Id="rId73"/><Relationship Type="http://schemas.openxmlformats.org/officeDocument/2006/relationships/hyperlink" Target="https://cdn.shopify.com/s/files/1/0792/5098/1063/files/6f4d49a4f378e1d847ce6c5fba523fd3e99a8eb747a9dd8bc23b8fd0282b9151.jpg?v=1787242229" TargetMode="External" Id="rId74"/><Relationship Type="http://schemas.openxmlformats.org/officeDocument/2006/relationships/hyperlink" Target="https://cdn.shopify.com/s/files/1/0792/5098/1063/files/ef81c56fe7d5f4f60045bfbd0778e14ad11ce2a6824c23132d2b864ef763fe85_952918f8-4644-43e8-b268-9f0431d5aecc.jpg?v=1787242229" TargetMode="External" Id="rId75"/><Relationship Type="http://schemas.openxmlformats.org/officeDocument/2006/relationships/hyperlink" Target="https://cdn.shopify.com/s/files/1/0792/5098/1063/files/ef81c56fe7d5f4f60045bfbd0778e14ad11ce2a6824c23132d2b864ef763fe85_952918f8-4644-43e8-b268-9f0431d5aecc.jpg?v=1787242229" TargetMode="External" Id="rId76"/><Relationship Type="http://schemas.openxmlformats.org/officeDocument/2006/relationships/hyperlink" Target="https://cdn.shopify.com/s/files/1/0792/5098/1063/files/b495d9b37eafdceff5caf3643256f7b3a83de826d49a14bdc531b13424296018_dfb03393-cd58-4da6-9667-2c2debadf87d.jpg?v=1787242229" TargetMode="External" Id="rId77"/><Relationship Type="http://schemas.openxmlformats.org/officeDocument/2006/relationships/hyperlink" Target="https://cdn.shopify.com/s/files/1/0792/5098/1063/files/b495d9b37eafdceff5caf3643256f7b3a83de826d49a14bdc531b13424296018_dfb03393-cd58-4da6-9667-2c2debadf87d.jpg?v=1787242229" TargetMode="External" Id="rId78"/><Relationship Type="http://schemas.openxmlformats.org/officeDocument/2006/relationships/hyperlink" Target="https://cdn.shopify.com/s/files/1/0792/5098/1063/files/d51e3360a3e4b984af63b01c4b53d517484ca3d6cb1beeea158bcf59acab9ed4_e691d30e-f1b0-45d9-9db3-4cfb5842444a.jpg?v=1787242229" TargetMode="External" Id="rId79"/><Relationship Type="http://schemas.openxmlformats.org/officeDocument/2006/relationships/hyperlink" Target="https://cdn.shopify.com/s/files/1/0792/5098/1063/files/d51e3360a3e4b984af63b01c4b53d517484ca3d6cb1beeea158bcf59acab9ed4_e691d30e-f1b0-45d9-9db3-4cfb5842444a.jpg?v=1787242229" TargetMode="External" Id="rId80"/><Relationship Type="http://schemas.openxmlformats.org/officeDocument/2006/relationships/hyperlink" Target="https://cdn.shopify.com/s/files/1/0792/5098/1063/files/ed0de96ab2ac6dbaf3ca19c66570314baff970eed7b3354a16d3982fb106adf2.jpg?v=1787242226" TargetMode="External" Id="rId81"/><Relationship Type="http://schemas.openxmlformats.org/officeDocument/2006/relationships/hyperlink" Target="https://cdn.shopify.com/s/files/1/0792/5098/1063/files/ed0de96ab2ac6dbaf3ca19c66570314baff970eed7b3354a16d3982fb106adf2.jpg?v=1787242226" TargetMode="External" Id="rId82"/><Relationship Type="http://schemas.openxmlformats.org/officeDocument/2006/relationships/hyperlink" Target="https://cdn.shopify.com/s/files/1/0792/5098/1063/files/ef81c56fe7d5f4f60045bfbd0778e14ad11ce2a6824c23132d2b864ef763fe85_5d33a8a1-9e4f-4f88-a0fd-c61670c2a2a8.jpg?v=1787242226" TargetMode="External" Id="rId83"/><Relationship Type="http://schemas.openxmlformats.org/officeDocument/2006/relationships/hyperlink" Target="https://cdn.shopify.com/s/files/1/0792/5098/1063/files/ef81c56fe7d5f4f60045bfbd0778e14ad11ce2a6824c23132d2b864ef763fe85_5d33a8a1-9e4f-4f88-a0fd-c61670c2a2a8.jpg?v=1787242226" TargetMode="External" Id="rId84"/><Relationship Type="http://schemas.openxmlformats.org/officeDocument/2006/relationships/hyperlink" Target="https://cdn.shopify.com/s/files/1/0792/5098/1063/files/b495d9b37eafdceff5caf3643256f7b3a83de826d49a14bdc531b13424296018_2b33ed3c-86f2-46fc-9402-38337778b41b.jpg?v=1787242226" TargetMode="External" Id="rId85"/><Relationship Type="http://schemas.openxmlformats.org/officeDocument/2006/relationships/hyperlink" Target="https://cdn.shopify.com/s/files/1/0792/5098/1063/files/b495d9b37eafdceff5caf3643256f7b3a83de826d49a14bdc531b13424296018_2b33ed3c-86f2-46fc-9402-38337778b41b.jpg?v=1787242226" TargetMode="External" Id="rId86"/><Relationship Type="http://schemas.openxmlformats.org/officeDocument/2006/relationships/hyperlink" Target="https://cdn.shopify.com/s/files/1/0792/5098/1063/files/d51e3360a3e4b984af63b01c4b53d517484ca3d6cb1beeea158bcf59acab9ed4_aef6b386-0ac2-46fc-90ba-47ef022ead61.jpg?v=1787242226" TargetMode="External" Id="rId87"/><Relationship Type="http://schemas.openxmlformats.org/officeDocument/2006/relationships/hyperlink" Target="https://cdn.shopify.com/s/files/1/0792/5098/1063/files/d51e3360a3e4b984af63b01c4b53d517484ca3d6cb1beeea158bcf59acab9ed4_aef6b386-0ac2-46fc-90ba-47ef022ead61.jpg?v=1787242226" TargetMode="External" Id="rId88"/><Relationship Type="http://schemas.openxmlformats.org/officeDocument/2006/relationships/hyperlink" Target="https://cdn.shopify.com/s/files/1/0792/5098/1063/files/48c9a495af03f8c5e581f6726f9481edb34e36374ef10042200509fdf7544237.jpg?v=1787242233" TargetMode="External" Id="rId89"/><Relationship Type="http://schemas.openxmlformats.org/officeDocument/2006/relationships/hyperlink" Target="https://cdn.shopify.com/s/files/1/0792/5098/1063/files/48c9a495af03f8c5e581f6726f9481edb34e36374ef10042200509fdf7544237.jpg?v=1787242233" TargetMode="External" Id="rId90"/><Relationship Type="http://schemas.openxmlformats.org/officeDocument/2006/relationships/hyperlink" Target="https://cdn.shopify.com/s/files/1/0792/5098/1063/files/ef81c56fe7d5f4f60045bfbd0778e14ad11ce2a6824c23132d2b864ef763fe85_74cdb648-8c51-446a-ad9e-ab11cc339f4c.jpg?v=1787242233" TargetMode="External" Id="rId91"/><Relationship Type="http://schemas.openxmlformats.org/officeDocument/2006/relationships/hyperlink" Target="https://cdn.shopify.com/s/files/1/0792/5098/1063/files/ef81c56fe7d5f4f60045bfbd0778e14ad11ce2a6824c23132d2b864ef763fe85_74cdb648-8c51-446a-ad9e-ab11cc339f4c.jpg?v=1787242233" TargetMode="External" Id="rId92"/><Relationship Type="http://schemas.openxmlformats.org/officeDocument/2006/relationships/hyperlink" Target="https://cdn.shopify.com/s/files/1/0792/5098/1063/files/b495d9b37eafdceff5caf3643256f7b3a83de826d49a14bdc531b13424296018_5bbbf685-1a1a-4ecf-b528-e7d90a979aeb.jpg?v=1787242233" TargetMode="External" Id="rId93"/><Relationship Type="http://schemas.openxmlformats.org/officeDocument/2006/relationships/hyperlink" Target="https://cdn.shopify.com/s/files/1/0792/5098/1063/files/b495d9b37eafdceff5caf3643256f7b3a83de826d49a14bdc531b13424296018_5bbbf685-1a1a-4ecf-b528-e7d90a979aeb.jpg?v=1787242233" TargetMode="External" Id="rId94"/><Relationship Type="http://schemas.openxmlformats.org/officeDocument/2006/relationships/hyperlink" Target="https://cdn.shopify.com/s/files/1/0792/5098/1063/files/d51e3360a3e4b984af63b01c4b53d517484ca3d6cb1beeea158bcf59acab9ed4_f11c41aa-24d3-495d-961d-3a238f8334db.jpg?v=1787242278" TargetMode="External" Id="rId95"/><Relationship Type="http://schemas.openxmlformats.org/officeDocument/2006/relationships/hyperlink" Target="https://cdn.shopify.com/s/files/1/0792/5098/1063/files/d51e3360a3e4b984af63b01c4b53d517484ca3d6cb1beeea158bcf59acab9ed4_f11c41aa-24d3-495d-961d-3a238f8334db.jpg?v=1787242278" TargetMode="External" Id="rId96"/><Relationship Type="http://schemas.openxmlformats.org/officeDocument/2006/relationships/hyperlink" Target="https://cdn.shopify.com/s/files/1/0792/5098/1063/files/d378f1a48f335b21aefca30b88f78840020f51ab8fbc27d3943bcd358c24aa0f.jpg?v=1787242242" TargetMode="External" Id="rId97"/><Relationship Type="http://schemas.openxmlformats.org/officeDocument/2006/relationships/hyperlink" Target="https://cdn.shopify.com/s/files/1/0792/5098/1063/files/d378f1a48f335b21aefca30b88f78840020f51ab8fbc27d3943bcd358c24aa0f.jpg?v=1787242242" TargetMode="External" Id="rId98"/><Relationship Type="http://schemas.openxmlformats.org/officeDocument/2006/relationships/hyperlink" Target="https://cdn.shopify.com/s/files/1/0792/5098/1063/files/ef81c56fe7d5f4f60045bfbd0778e14ad11ce2a6824c23132d2b864ef763fe85_53ad15e0-efaa-4e95-912c-fe1de02e8270.jpg?v=1787242243" TargetMode="External" Id="rId99"/><Relationship Type="http://schemas.openxmlformats.org/officeDocument/2006/relationships/hyperlink" Target="https://cdn.shopify.com/s/files/1/0792/5098/1063/files/ef81c56fe7d5f4f60045bfbd0778e14ad11ce2a6824c23132d2b864ef763fe85_53ad15e0-efaa-4e95-912c-fe1de02e8270.jpg?v=1787242243" TargetMode="External" Id="rId100"/><Relationship Type="http://schemas.openxmlformats.org/officeDocument/2006/relationships/hyperlink" Target="https://cdn.shopify.com/s/files/1/0792/5098/1063/files/b495d9b37eafdceff5caf3643256f7b3a83de826d49a14bdc531b13424296018_f9f0eeec-4dae-411e-a33a-449c47bc2ea9.jpg?v=1787242242" TargetMode="External" Id="rId101"/><Relationship Type="http://schemas.openxmlformats.org/officeDocument/2006/relationships/hyperlink" Target="https://cdn.shopify.com/s/files/1/0792/5098/1063/files/b495d9b37eafdceff5caf3643256f7b3a83de826d49a14bdc531b13424296018_f9f0eeec-4dae-411e-a33a-449c47bc2ea9.jpg?v=1787242242" TargetMode="External" Id="rId102"/><Relationship Type="http://schemas.openxmlformats.org/officeDocument/2006/relationships/hyperlink" Target="https://cdn.shopify.com/s/files/1/0792/5098/1063/files/d51e3360a3e4b984af63b01c4b53d517484ca3d6cb1beeea158bcf59acab9ed4_50f3a975-3368-46bf-b2b6-f3ee3fcca066.jpg?v=1787242243" TargetMode="External" Id="rId103"/><Relationship Type="http://schemas.openxmlformats.org/officeDocument/2006/relationships/hyperlink" Target="https://cdn.shopify.com/s/files/1/0792/5098/1063/files/d51e3360a3e4b984af63b01c4b53d517484ca3d6cb1beeea158bcf59acab9ed4_50f3a975-3368-46bf-b2b6-f3ee3fcca066.jpg?v=1787242243" TargetMode="External" Id="rId104"/></Relationships>
</file>

<file path=xl/worksheets/sheet1.xml><?xml version="1.0" encoding="utf-8"?>
<worksheet xmlns="http://schemas.openxmlformats.org/spreadsheetml/2006/main">
  <sheetPr>
    <outlinePr summaryBelow="1" summaryRight="1"/>
    <pageSetUpPr fitToPage="1"/>
  </sheetPr>
  <dimension ref="A1:C15"/>
  <sheetViews>
    <sheetView showGridLines="0" workbookViewId="0">
      <pane ySplit="1" topLeftCell="A2" activePane="bottomLeft" state="frozen"/>
      <selection pane="bottomLeft" activeCell="A1" sqref="A1"/>
    </sheetView>
  </sheetViews>
  <sheetFormatPr baseColWidth="8" defaultRowHeight="15"/>
  <cols>
    <col width="23"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shop_domain</t>
        </is>
      </c>
      <c r="B2" s="2" t="inlineStr">
        <is>
          <t>jeminise.com</t>
        </is>
      </c>
      <c r="C2" s="2" t="inlineStr">
        <is>
          <t>Shop being QAed.</t>
        </is>
      </c>
    </row>
    <row r="3" ht="42" customHeight="1">
      <c r="A3" s="3" t="inlineStr">
        <is>
          <t>source_run_id</t>
        </is>
      </c>
      <c r="B3" s="3" t="inlineStr">
        <is>
          <t>20260906_234129</t>
        </is>
      </c>
      <c r="C3" s="3" t="inlineStr">
        <is>
          <t>Original SEO drafting run.</t>
        </is>
      </c>
    </row>
    <row r="4" ht="42" customHeight="1">
      <c r="A4" s="2" t="inlineStr">
        <is>
          <t>qa_run_id</t>
        </is>
      </c>
      <c r="B4" s="2" t="inlineStr">
        <is>
          <t>20260907_213100</t>
        </is>
      </c>
      <c r="C4" s="2" t="inlineStr">
        <is>
          <t>QA run folder for this corrected rerun.</t>
        </is>
      </c>
    </row>
    <row r="5" ht="42" customHeight="1">
      <c r="A5" s="3" t="inlineStr">
        <is>
          <t>qa_batch_id</t>
        </is>
      </c>
      <c r="B5" s="3" t="inlineStr">
        <is>
          <t>qa_batch_018</t>
        </is>
      </c>
      <c r="C5" s="3" t="inlineStr">
        <is>
          <t>Batch being independently checked.</t>
        </is>
      </c>
    </row>
    <row r="6" ht="42" customHeight="1">
      <c r="A6" s="2" t="inlineStr">
        <is>
          <t>revision</t>
        </is>
      </c>
      <c r="B6" s="2" t="inlineStr">
        <is>
          <t>r1</t>
        </is>
      </c>
      <c r="C6" s="2" t="inlineStr">
        <is>
          <t>Initial independent QA revision for qa_batch_018.</t>
        </is>
      </c>
    </row>
    <row r="7" ht="42" customHeight="1">
      <c r="A7" s="3" t="inlineStr">
        <is>
          <t>source_workbook</t>
        </is>
      </c>
      <c r="B7" s="3" t="inlineStr">
        <is>
          <t>D:\Shopify_Workspace\jeminise_seo\resutls\jeminise.com\20260906_234129\batches\SEO_Product_Optimization_through_batch_018.xlsx</t>
        </is>
      </c>
      <c r="C7" s="3" t="inlineStr">
        <is>
          <t>Frozen workbook source path.</t>
        </is>
      </c>
    </row>
    <row r="8" ht="42" customHeight="1">
      <c r="A8" s="2" t="inlineStr">
        <is>
          <t>source_sha256</t>
        </is>
      </c>
      <c r="B8" s="2" t="inlineStr">
        <is>
          <t>498CAE6B358DFD17FD9E5F75E7855A503726E24627851E604C1804FDB3969C00</t>
        </is>
      </c>
      <c r="C8" s="2" t="inlineStr">
        <is>
          <t>SHA-256 at freeze/final handoff time.</t>
        </is>
      </c>
    </row>
    <row r="9" ht="42" customHeight="1">
      <c r="A9" s="3" t="inlineStr">
        <is>
          <t>snapshot_sha256</t>
        </is>
      </c>
      <c r="B9" s="3" t="inlineStr">
        <is>
          <t>498CAE6B358DFD17FD9E5F75E7855A503726E24627851E604C1804FDB3969C00</t>
        </is>
      </c>
      <c r="C9" s="3" t="inlineStr">
        <is>
          <t>SHA-256 of workbook copy in source_snapshot.</t>
        </is>
      </c>
    </row>
    <row r="10" ht="42" customHeight="1">
      <c r="A10" s="2" t="inlineStr">
        <is>
          <t>scope</t>
        </is>
      </c>
      <c r="B10" s="2" t="inlineStr">
        <is>
          <t>10 products, 52/52 images</t>
        </is>
      </c>
      <c r="C10" s="2" t="inlineStr">
        <is>
          <t>Batch scope and image coverage.</t>
        </is>
      </c>
    </row>
    <row r="11" ht="42" customHeight="1">
      <c r="A11" s="3" t="inlineStr">
        <is>
          <t>batch_final_score</t>
        </is>
      </c>
      <c r="B11" s="3">
        <f>AVERAGE('QA_Products'!$K$2:$K$11)</f>
        <v/>
      </c>
      <c r="C11" s="3" t="inlineStr">
        <is>
          <t>Formula-driven average final score in workbook.</t>
        </is>
      </c>
    </row>
    <row r="12" ht="42" customHeight="1">
      <c r="A12" s="2" t="inlineStr">
        <is>
          <t>batch_result</t>
        </is>
      </c>
      <c r="B12" s="2">
        <f>IF(COUNTIF('QA_Products'!$L$2:$L$11,"QA_PASS")=ROWS('QA_Products'!$L$2:$L$11),"PASSED","NOT_PASSED")</f>
        <v/>
      </c>
      <c r="C12" s="2" t="inlineStr">
        <is>
          <t>PASSED only if all products are QA_PASS.</t>
        </is>
      </c>
    </row>
    <row r="13" ht="42" customHeight="1">
      <c r="A13" s="3" t="inlineStr">
        <is>
          <t>status_counts</t>
        </is>
      </c>
      <c r="B13" s="3">
        <f>"PASS="&amp;COUNTIF('QA_Products'!$L$2:$L$11,"QA_PASS")&amp;"; REVISE="&amp;COUNTIF('QA_Products'!$L$2:$L$11,"QA_REVISE")&amp;"; FAIL="&amp;COUNTIF('QA_Products'!$L$2:$L$11,"QA_FAIL")&amp;"; INCOMPLETE="&amp;COUNTIF('QA_Products'!$L$2:$L$11,"QA_INCOMPLETE")</f>
        <v/>
      </c>
      <c r="C13" s="3" t="inlineStr">
        <is>
          <t>Product QA status counts.</t>
        </is>
      </c>
    </row>
    <row r="14" ht="42" customHeight="1">
      <c r="A14" s="2" t="inlineStr">
        <is>
          <t>issue_counts</t>
        </is>
      </c>
      <c r="B14" s="2" t="inlineStr">
        <is>
          <t>CRITICAL=5; MAJOR=21; MINOR=52; LIMITATION=10</t>
        </is>
      </c>
      <c r="C14" s="2" t="inlineStr">
        <is>
          <t>Issue severity counts.</t>
        </is>
      </c>
    </row>
    <row r="15" ht="42" customHeight="1">
      <c r="A15" s="3" t="inlineStr">
        <is>
          <t>awaiting_confirmation</t>
        </is>
      </c>
      <c r="B15" s="3" t="b">
        <v>1</v>
      </c>
      <c r="C15" s="3" t="inlineStr">
        <is>
          <t>Do not QA next batch until user confirms.</t>
        </is>
      </c>
    </row>
  </sheetData>
  <autoFilter ref="A1:C15"/>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171</v>
      </c>
      <c r="B2" s="2" t="inlineStr">
        <is>
          <t>jeminise.com+pamnest-twin-halloween-comforter-set-with-sheets-5-pieces-design-08</t>
        </is>
      </c>
      <c r="C2" s="4" t="inlineStr">
        <is>
          <t>https://jeminise.com/products/pamnest-twin-halloween-comforter-set-with-sheets-5-pieces-design-08</t>
        </is>
      </c>
      <c r="D2" s="2" t="inlineStr">
        <is>
          <t>pamnest-twin-halloween-comforter-set-with-sheets-5-pieces-design-08</t>
        </is>
      </c>
      <c r="E2" s="2" t="inlineStr">
        <is>
          <t>8879779446983</t>
        </is>
      </c>
      <c r="F2" s="2" t="inlineStr">
        <is>
          <t>r1</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6</v>
      </c>
      <c r="O2" s="2" t="n">
        <v>6</v>
      </c>
      <c r="P2" s="2" t="b">
        <v>1</v>
      </c>
      <c r="Q2" s="6" t="n">
        <v>1</v>
      </c>
      <c r="R2" s="2">
        <f>COUNTIFS('QA_Issues'!$B$2:$B$89,B2,'QA_Issues'!$D$2:$D$89,"CRITICAL")</f>
        <v/>
      </c>
      <c r="S2" s="2">
        <f>COUNTIFS('QA_Issues'!$B$2:$B$89,B2,'QA_Issues'!$D$2:$D$89,"MAJOR")</f>
        <v/>
      </c>
      <c r="T2" s="2">
        <f>COUNTIFS('QA_Issues'!$B$2:$B$89,B2,'QA_Issues'!$D$2:$D$89,"MINOR")</f>
        <v/>
      </c>
      <c r="U2" s="2">
        <f>COUNTIFS('QA_Issues'!$B$2:$B$89,B2,'QA_Issues'!$D$2:$D$89,"LIMITATION")</f>
        <v/>
      </c>
      <c r="V2" s="2" t="inlineStr">
        <is>
          <t>ISSUE-0001; ISSUE-0002; ISSUE-0003; ISSUE-0004; ISSUE-0005; ISSUE-0006; ISSUE-0007; ISSUE-0008; ISSUE-0009; ISSUE-0010</t>
        </is>
      </c>
      <c r="W2" s="2" t="inlineStr">
        <is>
          <t>evidence_batch_018_171; live_source_comparison; customizer_audit; serp_evidence</t>
        </is>
      </c>
    </row>
    <row r="3" ht="42" customHeight="1">
      <c r="A3" s="3" t="n">
        <v>172</v>
      </c>
      <c r="B3" s="3" t="inlineStr">
        <is>
          <t>jeminise.com+pamnest-twin-halloween-comforter-set-with-sheets-5-pieces-design-09</t>
        </is>
      </c>
      <c r="C3" s="4" t="inlineStr">
        <is>
          <t>https://jeminise.com/products/pamnest-twin-halloween-comforter-set-with-sheets-5-pieces-design-09</t>
        </is>
      </c>
      <c r="D3" s="3" t="inlineStr">
        <is>
          <t>pamnest-twin-halloween-comforter-set-with-sheets-5-pieces-design-09</t>
        </is>
      </c>
      <c r="E3" s="3" t="inlineStr">
        <is>
          <t>8879779479751</t>
        </is>
      </c>
      <c r="F3" s="3" t="inlineStr">
        <is>
          <t>r1</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6</v>
      </c>
      <c r="O3" s="3" t="n">
        <v>6</v>
      </c>
      <c r="P3" s="3" t="b">
        <v>1</v>
      </c>
      <c r="Q3" s="8" t="n">
        <v>1</v>
      </c>
      <c r="R3" s="3">
        <f>COUNTIFS('QA_Issues'!$B$2:$B$89,B3,'QA_Issues'!$D$2:$D$89,"CRITICAL")</f>
        <v/>
      </c>
      <c r="S3" s="3">
        <f>COUNTIFS('QA_Issues'!$B$2:$B$89,B3,'QA_Issues'!$D$2:$D$89,"MAJOR")</f>
        <v/>
      </c>
      <c r="T3" s="3">
        <f>COUNTIFS('QA_Issues'!$B$2:$B$89,B3,'QA_Issues'!$D$2:$D$89,"MINOR")</f>
        <v/>
      </c>
      <c r="U3" s="3">
        <f>COUNTIFS('QA_Issues'!$B$2:$B$89,B3,'QA_Issues'!$D$2:$D$89,"LIMITATION")</f>
        <v/>
      </c>
      <c r="V3" s="3" t="inlineStr">
        <is>
          <t>ISSUE-0011; ISSUE-0012; ISSUE-0013; ISSUE-0014; ISSUE-0015; ISSUE-0016; ISSUE-0017; ISSUE-0018; ISSUE-0019; ISSUE-0020</t>
        </is>
      </c>
      <c r="W3" s="3" t="inlineStr">
        <is>
          <t>evidence_batch_018_172; live_source_comparison; customizer_audit; serp_evidence</t>
        </is>
      </c>
    </row>
    <row r="4" ht="42" customHeight="1">
      <c r="A4" s="2" t="n">
        <v>173</v>
      </c>
      <c r="B4" s="2" t="inlineStr">
        <is>
          <t>jeminise.com+pamnest-twin-halloween-comforter-set-with-sheets-5-pieces-evil</t>
        </is>
      </c>
      <c r="C4" s="4" t="inlineStr">
        <is>
          <t>https://jeminise.com/products/pamnest-twin-halloween-comforter-set-with-sheets-5-pieces-evil</t>
        </is>
      </c>
      <c r="D4" s="2" t="inlineStr">
        <is>
          <t>pamnest-twin-halloween-comforter-set-with-sheets-5-pieces-evil</t>
        </is>
      </c>
      <c r="E4" s="2" t="inlineStr">
        <is>
          <t>8879778726087</t>
        </is>
      </c>
      <c r="F4" s="2" t="inlineStr">
        <is>
          <t>r1</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6</v>
      </c>
      <c r="O4" s="2" t="n">
        <v>6</v>
      </c>
      <c r="P4" s="2" t="b">
        <v>1</v>
      </c>
      <c r="Q4" s="6" t="n">
        <v>1</v>
      </c>
      <c r="R4" s="2">
        <f>COUNTIFS('QA_Issues'!$B$2:$B$89,B4,'QA_Issues'!$D$2:$D$89,"CRITICAL")</f>
        <v/>
      </c>
      <c r="S4" s="2">
        <f>COUNTIFS('QA_Issues'!$B$2:$B$89,B4,'QA_Issues'!$D$2:$D$89,"MAJOR")</f>
        <v/>
      </c>
      <c r="T4" s="2">
        <f>COUNTIFS('QA_Issues'!$B$2:$B$89,B4,'QA_Issues'!$D$2:$D$89,"MINOR")</f>
        <v/>
      </c>
      <c r="U4" s="2">
        <f>COUNTIFS('QA_Issues'!$B$2:$B$89,B4,'QA_Issues'!$D$2:$D$89,"LIMITATION")</f>
        <v/>
      </c>
      <c r="V4" s="2" t="inlineStr">
        <is>
          <t>ISSUE-0021; ISSUE-0022; ISSUE-0023; ISSUE-0024; ISSUE-0025; ISSUE-0026; ISSUE-0027; ISSUE-0028; ISSUE-0029; ISSUE-0030</t>
        </is>
      </c>
      <c r="W4" s="2" t="inlineStr">
        <is>
          <t>evidence_batch_018_173; live_source_comparison; customizer_audit; serp_evidence</t>
        </is>
      </c>
    </row>
    <row r="5" ht="42" customHeight="1">
      <c r="A5" s="3" t="n">
        <v>174</v>
      </c>
      <c r="B5" s="3" t="inlineStr">
        <is>
          <t>jeminise.com+personalized-and-romance-music-player-interface-quilt-with-photo-b8a3dc4155-b8a3dc4155</t>
        </is>
      </c>
      <c r="C5" s="4" t="inlineStr">
        <is>
          <t>https://jeminise.com/products/personalized-and-romance-music-player-interface-quilt-with-photo-b8a3dc4155-b8a3dc4155</t>
        </is>
      </c>
      <c r="D5" s="3" t="inlineStr">
        <is>
          <t>personalized-and-romance-music-player-interface-quilt-with-photo-b8a3dc4155-b8a3dc4155</t>
        </is>
      </c>
      <c r="E5" s="3" t="inlineStr">
        <is>
          <t>8834791506119</t>
        </is>
      </c>
      <c r="F5" s="3" t="inlineStr">
        <is>
          <t>r1</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7</v>
      </c>
      <c r="O5" s="3" t="n">
        <v>7</v>
      </c>
      <c r="P5" s="3" t="b">
        <v>1</v>
      </c>
      <c r="Q5" s="8" t="n">
        <v>1</v>
      </c>
      <c r="R5" s="3">
        <f>COUNTIFS('QA_Issues'!$B$2:$B$89,B5,'QA_Issues'!$D$2:$D$89,"CRITICAL")</f>
        <v/>
      </c>
      <c r="S5" s="3">
        <f>COUNTIFS('QA_Issues'!$B$2:$B$89,B5,'QA_Issues'!$D$2:$D$89,"MAJOR")</f>
        <v/>
      </c>
      <c r="T5" s="3">
        <f>COUNTIFS('QA_Issues'!$B$2:$B$89,B5,'QA_Issues'!$D$2:$D$89,"MINOR")</f>
        <v/>
      </c>
      <c r="U5" s="3">
        <f>COUNTIFS('QA_Issues'!$B$2:$B$89,B5,'QA_Issues'!$D$2:$D$89,"LIMITATION")</f>
        <v/>
      </c>
      <c r="V5" s="3" t="inlineStr">
        <is>
          <t>ISSUE-0031; ISSUE-0032; ISSUE-0033; ISSUE-0034; ISSUE-0035; ISSUE-0036; ISSUE-0037; ISSUE-0038; ISSUE-0039; ISSUE-0040</t>
        </is>
      </c>
      <c r="W5" s="3" t="inlineStr">
        <is>
          <t>evidence_batch_018_174; live_source_comparison; customizer_audit; serp_evidence</t>
        </is>
      </c>
    </row>
    <row r="6" ht="42" customHeight="1">
      <c r="A6" s="2" t="n">
        <v>175</v>
      </c>
      <c r="B6" s="2" t="inlineStr">
        <is>
          <t>jeminise.com+personalized-autumn-tree-of-life-birds-flowers-quilt-sets-radiant</t>
        </is>
      </c>
      <c r="C6" s="4" t="inlineStr">
        <is>
          <t>https://jeminise.com/products/personalized-autumn-tree-of-life-birds-flowers-quilt-sets-radiant</t>
        </is>
      </c>
      <c r="D6" s="2" t="inlineStr">
        <is>
          <t>personalized-autumn-tree-of-life-birds-flowers-quilt-sets-radiant</t>
        </is>
      </c>
      <c r="E6" s="2" t="inlineStr">
        <is>
          <t>8859733885127</t>
        </is>
      </c>
      <c r="F6" s="2" t="inlineStr">
        <is>
          <t>r1</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7</v>
      </c>
      <c r="O6" s="2" t="n">
        <v>7</v>
      </c>
      <c r="P6" s="2" t="b">
        <v>1</v>
      </c>
      <c r="Q6" s="6" t="n">
        <v>1</v>
      </c>
      <c r="R6" s="2">
        <f>COUNTIFS('QA_Issues'!$B$2:$B$89,B6,'QA_Issues'!$D$2:$D$89,"CRITICAL")</f>
        <v/>
      </c>
      <c r="S6" s="2">
        <f>COUNTIFS('QA_Issues'!$B$2:$B$89,B6,'QA_Issues'!$D$2:$D$89,"MAJOR")</f>
        <v/>
      </c>
      <c r="T6" s="2">
        <f>COUNTIFS('QA_Issues'!$B$2:$B$89,B6,'QA_Issues'!$D$2:$D$89,"MINOR")</f>
        <v/>
      </c>
      <c r="U6" s="2">
        <f>COUNTIFS('QA_Issues'!$B$2:$B$89,B6,'QA_Issues'!$D$2:$D$89,"LIMITATION")</f>
        <v/>
      </c>
      <c r="V6" s="2" t="inlineStr">
        <is>
          <t>ISSUE-0041; ISSUE-0042; ISSUE-0043; ISSUE-0044; ISSUE-0045; ISSUE-0046; ISSUE-0047; ISSUE-0048; ISSUE-0049; ISSUE-0050; ISSUE-0051</t>
        </is>
      </c>
      <c r="W6" s="2" t="inlineStr">
        <is>
          <t>evidence_batch_018_175; live_source_comparison; customizer_audit; serp_evidence</t>
        </is>
      </c>
    </row>
    <row r="7" ht="42" customHeight="1">
      <c r="A7" s="3" t="n">
        <v>176</v>
      </c>
      <c r="B7" s="3" t="inlineStr">
        <is>
          <t>jeminise.com+personalized-baseball-bedding-full-size-flag-custom-name-d-design-01</t>
        </is>
      </c>
      <c r="C7" s="4" t="inlineStr">
        <is>
          <t>https://jeminise.com/products/personalized-baseball-bedding-full-size-flag-custom-name-d-design-01</t>
        </is>
      </c>
      <c r="D7" s="3" t="inlineStr">
        <is>
          <t>personalized-baseball-bedding-full-size-flag-custom-name-d-design-01</t>
        </is>
      </c>
      <c r="E7" s="3" t="inlineStr">
        <is>
          <t>8867178610887</t>
        </is>
      </c>
      <c r="F7" s="3" t="inlineStr">
        <is>
          <t>r1</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4</v>
      </c>
      <c r="O7" s="3" t="n">
        <v>4</v>
      </c>
      <c r="P7" s="3" t="b">
        <v>1</v>
      </c>
      <c r="Q7" s="8" t="n">
        <v>1</v>
      </c>
      <c r="R7" s="3">
        <f>COUNTIFS('QA_Issues'!$B$2:$B$89,B7,'QA_Issues'!$D$2:$D$89,"CRITICAL")</f>
        <v/>
      </c>
      <c r="S7" s="3">
        <f>COUNTIFS('QA_Issues'!$B$2:$B$89,B7,'QA_Issues'!$D$2:$D$89,"MAJOR")</f>
        <v/>
      </c>
      <c r="T7" s="3">
        <f>COUNTIFS('QA_Issues'!$B$2:$B$89,B7,'QA_Issues'!$D$2:$D$89,"MINOR")</f>
        <v/>
      </c>
      <c r="U7" s="3">
        <f>COUNTIFS('QA_Issues'!$B$2:$B$89,B7,'QA_Issues'!$D$2:$D$89,"LIMITATION")</f>
        <v/>
      </c>
      <c r="V7" s="3" t="inlineStr">
        <is>
          <t>ISSUE-0052; ISSUE-0053; ISSUE-0054; ISSUE-0055; ISSUE-0056; ISSUE-0057; ISSUE-0058</t>
        </is>
      </c>
      <c r="W7" s="3" t="inlineStr">
        <is>
          <t>evidence_batch_018_176; live_source_comparison; customizer_audit; serp_evidence</t>
        </is>
      </c>
    </row>
    <row r="8" ht="42" customHeight="1">
      <c r="A8" s="2" t="n">
        <v>177</v>
      </c>
      <c r="B8" s="2" t="inlineStr">
        <is>
          <t>jeminise.com+personalized-baseball-bedding-full-size-flag-custom-name-d-design-02</t>
        </is>
      </c>
      <c r="C8" s="4" t="inlineStr">
        <is>
          <t>https://jeminise.com/products/personalized-baseball-bedding-full-size-flag-custom-name-d-design-02</t>
        </is>
      </c>
      <c r="D8" s="2" t="inlineStr">
        <is>
          <t>personalized-baseball-bedding-full-size-flag-custom-name-d-design-02</t>
        </is>
      </c>
      <c r="E8" s="2" t="inlineStr">
        <is>
          <t>8867178905799</t>
        </is>
      </c>
      <c r="F8" s="2" t="inlineStr">
        <is>
          <t>r1</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4</v>
      </c>
      <c r="O8" s="2" t="n">
        <v>4</v>
      </c>
      <c r="P8" s="2" t="b">
        <v>1</v>
      </c>
      <c r="Q8" s="6" t="n">
        <v>1</v>
      </c>
      <c r="R8" s="2">
        <f>COUNTIFS('QA_Issues'!$B$2:$B$89,B8,'QA_Issues'!$D$2:$D$89,"CRITICAL")</f>
        <v/>
      </c>
      <c r="S8" s="2">
        <f>COUNTIFS('QA_Issues'!$B$2:$B$89,B8,'QA_Issues'!$D$2:$D$89,"MAJOR")</f>
        <v/>
      </c>
      <c r="T8" s="2">
        <f>COUNTIFS('QA_Issues'!$B$2:$B$89,B8,'QA_Issues'!$D$2:$D$89,"MINOR")</f>
        <v/>
      </c>
      <c r="U8" s="2">
        <f>COUNTIFS('QA_Issues'!$B$2:$B$89,B8,'QA_Issues'!$D$2:$D$89,"LIMITATION")</f>
        <v/>
      </c>
      <c r="V8" s="2" t="inlineStr">
        <is>
          <t>ISSUE-0059; ISSUE-0060; ISSUE-0061; ISSUE-0062; ISSUE-0063; ISSUE-0064; ISSUE-0065</t>
        </is>
      </c>
      <c r="W8" s="2" t="inlineStr">
        <is>
          <t>evidence_batch_018_177; live_source_comparison; customizer_audit; serp_evidence</t>
        </is>
      </c>
    </row>
    <row r="9" ht="42" customHeight="1">
      <c r="A9" s="3" t="n">
        <v>178</v>
      </c>
      <c r="B9" s="3" t="inlineStr">
        <is>
          <t>jeminise.com+personalized-baseball-bedding-full-size-flag-custom-name-d-design-03</t>
        </is>
      </c>
      <c r="C9" s="4" t="inlineStr">
        <is>
          <t>https://jeminise.com/products/personalized-baseball-bedding-full-size-flag-custom-name-d-design-03</t>
        </is>
      </c>
      <c r="D9" s="3" t="inlineStr">
        <is>
          <t>personalized-baseball-bedding-full-size-flag-custom-name-d-design-03</t>
        </is>
      </c>
      <c r="E9" s="3" t="inlineStr">
        <is>
          <t>8867178741959</t>
        </is>
      </c>
      <c r="F9" s="3" t="inlineStr">
        <is>
          <t>r1</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4</v>
      </c>
      <c r="O9" s="3" t="n">
        <v>4</v>
      </c>
      <c r="P9" s="3" t="b">
        <v>1</v>
      </c>
      <c r="Q9" s="8" t="n">
        <v>1</v>
      </c>
      <c r="R9" s="3">
        <f>COUNTIFS('QA_Issues'!$B$2:$B$89,B9,'QA_Issues'!$D$2:$D$89,"CRITICAL")</f>
        <v/>
      </c>
      <c r="S9" s="3">
        <f>COUNTIFS('QA_Issues'!$B$2:$B$89,B9,'QA_Issues'!$D$2:$D$89,"MAJOR")</f>
        <v/>
      </c>
      <c r="T9" s="3">
        <f>COUNTIFS('QA_Issues'!$B$2:$B$89,B9,'QA_Issues'!$D$2:$D$89,"MINOR")</f>
        <v/>
      </c>
      <c r="U9" s="3">
        <f>COUNTIFS('QA_Issues'!$B$2:$B$89,B9,'QA_Issues'!$D$2:$D$89,"LIMITATION")</f>
        <v/>
      </c>
      <c r="V9" s="3" t="inlineStr">
        <is>
          <t>ISSUE-0066; ISSUE-0067; ISSUE-0068; ISSUE-0069; ISSUE-0070; ISSUE-0071; ISSUE-0072; ISSUE-0073</t>
        </is>
      </c>
      <c r="W9" s="3" t="inlineStr">
        <is>
          <t>evidence_batch_018_178; live_source_comparison; customizer_audit; serp_evidence</t>
        </is>
      </c>
    </row>
    <row r="10" ht="42" customHeight="1">
      <c r="A10" s="2" t="n">
        <v>179</v>
      </c>
      <c r="B10" s="2" t="inlineStr">
        <is>
          <t>jeminise.com+personalized-baseball-bedding-full-size-flag-custom-name-d-design-04</t>
        </is>
      </c>
      <c r="C10" s="4" t="inlineStr">
        <is>
          <t>https://jeminise.com/products/personalized-baseball-bedding-full-size-flag-custom-name-d-design-04</t>
        </is>
      </c>
      <c r="D10" s="2" t="inlineStr">
        <is>
          <t>personalized-baseball-bedding-full-size-flag-custom-name-d-design-04</t>
        </is>
      </c>
      <c r="E10" s="2" t="inlineStr">
        <is>
          <t>8867179004103</t>
        </is>
      </c>
      <c r="F10" s="2" t="inlineStr">
        <is>
          <t>r1</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4</v>
      </c>
      <c r="O10" s="2" t="n">
        <v>4</v>
      </c>
      <c r="P10" s="2" t="b">
        <v>1</v>
      </c>
      <c r="Q10" s="6" t="n">
        <v>1</v>
      </c>
      <c r="R10" s="2">
        <f>COUNTIFS('QA_Issues'!$B$2:$B$89,B10,'QA_Issues'!$D$2:$D$89,"CRITICAL")</f>
        <v/>
      </c>
      <c r="S10" s="2">
        <f>COUNTIFS('QA_Issues'!$B$2:$B$89,B10,'QA_Issues'!$D$2:$D$89,"MAJOR")</f>
        <v/>
      </c>
      <c r="T10" s="2">
        <f>COUNTIFS('QA_Issues'!$B$2:$B$89,B10,'QA_Issues'!$D$2:$D$89,"MINOR")</f>
        <v/>
      </c>
      <c r="U10" s="2">
        <f>COUNTIFS('QA_Issues'!$B$2:$B$89,B10,'QA_Issues'!$D$2:$D$89,"LIMITATION")</f>
        <v/>
      </c>
      <c r="V10" s="2" t="inlineStr">
        <is>
          <t>ISSUE-0074; ISSUE-0075; ISSUE-0076; ISSUE-0077; ISSUE-0078; ISSUE-0079; ISSUE-0080</t>
        </is>
      </c>
      <c r="W10" s="2" t="inlineStr">
        <is>
          <t>evidence_batch_018_179; live_source_comparison; customizer_audit; serp_evidence</t>
        </is>
      </c>
    </row>
    <row r="11" ht="42" customHeight="1">
      <c r="A11" s="3" t="n">
        <v>180</v>
      </c>
      <c r="B11" s="3" t="inlineStr">
        <is>
          <t>jeminise.com+personalized-baseball-bedding-full-size-flag-custom-name-d-design-05</t>
        </is>
      </c>
      <c r="C11" s="4" t="inlineStr">
        <is>
          <t>https://jeminise.com/products/personalized-baseball-bedding-full-size-flag-custom-name-d-design-05</t>
        </is>
      </c>
      <c r="D11" s="3" t="inlineStr">
        <is>
          <t>personalized-baseball-bedding-full-size-flag-custom-name-d-design-05</t>
        </is>
      </c>
      <c r="E11" s="3" t="inlineStr">
        <is>
          <t>8867179299015</t>
        </is>
      </c>
      <c r="F11" s="3" t="inlineStr">
        <is>
          <t>r1</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4</v>
      </c>
      <c r="O11" s="3" t="n">
        <v>4</v>
      </c>
      <c r="P11" s="3" t="b">
        <v>1</v>
      </c>
      <c r="Q11" s="8" t="n">
        <v>1</v>
      </c>
      <c r="R11" s="3">
        <f>COUNTIFS('QA_Issues'!$B$2:$B$89,B11,'QA_Issues'!$D$2:$D$89,"CRITICAL")</f>
        <v/>
      </c>
      <c r="S11" s="3">
        <f>COUNTIFS('QA_Issues'!$B$2:$B$89,B11,'QA_Issues'!$D$2:$D$89,"MAJOR")</f>
        <v/>
      </c>
      <c r="T11" s="3">
        <f>COUNTIFS('QA_Issues'!$B$2:$B$89,B11,'QA_Issues'!$D$2:$D$89,"MINOR")</f>
        <v/>
      </c>
      <c r="U11" s="3">
        <f>COUNTIFS('QA_Issues'!$B$2:$B$89,B11,'QA_Issues'!$D$2:$D$89,"LIMITATION")</f>
        <v/>
      </c>
      <c r="V11" s="3" t="inlineStr">
        <is>
          <t>ISSUE-0081; ISSUE-0082; ISSUE-0083; ISSUE-0084; ISSUE-0085; ISSUE-0086; ISSUE-0087; ISSUE-0088</t>
        </is>
      </c>
      <c r="W11" s="3" t="inlineStr">
        <is>
          <t>evidence_batch_018_180; live_source_comparison; customizer_audit; serp_evidence</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jeminise.com+pamnest-twin-halloween-comforter-set-with-sheets-5-pieces-design-08</t>
        </is>
      </c>
      <c r="B2" s="2" t="inlineStr">
        <is>
          <t>P1</t>
        </is>
      </c>
      <c r="C2" s="2" t="n">
        <v>15</v>
      </c>
      <c r="D2" s="2" t="inlineStr">
        <is>
          <t>FULL</t>
        </is>
      </c>
      <c r="E2" s="5">
        <f>IF(B2="I1",AVERAGEIF('QA_Images'!$A$2:$A$53,A2,'QA_Images'!$T$2:$T$53)/100,IF(D2="FULL",1,IF(D2="PARTIAL",0.5,IF(D2="FAIL",0,""))))</f>
        <v/>
      </c>
      <c r="F2" s="5">
        <f>IF(E2="",0,C2*E2)</f>
        <v/>
      </c>
      <c r="G2" s="5">
        <f>IF(B2="I1",20*AVERAGEIF('QA_Images'!$A$2:$A$53,A2,'QA_Images'!$U$2:$U$53)/100,IF(D2="NOT_CHECKED",0,C2))</f>
        <v/>
      </c>
      <c r="H2" s="2" t="inlineStr">
        <is>
          <t>Product identity, handle, product ID, URL and canonical match source/live evidence. Product key/handle/product ID/canonical checked against frozen workbook and live product evidence.</t>
        </is>
      </c>
      <c r="I2" s="2" t="inlineStr">
        <is>
          <t>evidence_batch_018_171</t>
        </is>
      </c>
      <c r="J2" s="2" t="inlineStr">
        <is>
          <t>ISSUE-0001; ISSUE-0002; ISSUE-0003; ISSUE-0004; ISSUE-0005</t>
        </is>
      </c>
    </row>
    <row r="3" ht="42" customHeight="1">
      <c r="A3" s="3" t="inlineStr">
        <is>
          <t>jeminise.com+pamnest-twin-halloween-comforter-set-with-sheets-5-pieces-design-08</t>
        </is>
      </c>
      <c r="B3" s="3" t="inlineStr">
        <is>
          <t>P2</t>
        </is>
      </c>
      <c r="C3" s="3" t="n">
        <v>10</v>
      </c>
      <c r="D3" s="3" t="inlineStr">
        <is>
          <t>FAIL</t>
        </is>
      </c>
      <c r="E3" s="7">
        <f>IF(B3="I1",AVERAGEIF('QA_Images'!$A$2:$A$53,A3,'QA_Images'!$T$2:$T$53)/100,IF(D3="FULL",1,IF(D3="PARTIAL",0.5,IF(D3="FAIL",0,""))))</f>
        <v/>
      </c>
      <c r="F3" s="7">
        <f>IF(E3="",0,C3*E3)</f>
        <v/>
      </c>
      <c r="G3" s="7">
        <f>IF(B3="I1",20*AVERAGEIF('QA_Images'!$A$2:$A$53,A3,'QA_Images'!$U$2:$U$53)/100,IF(D3="NOT_CHECKED",0,C3))</f>
        <v/>
      </c>
      <c r="H3" s="3" t="inlineStr">
        <is>
          <t>Source product facts, variants, specifications and personalization claims are evidence-backed. Personalization/specification claims checked against storefront product.js and static customizer config.</t>
        </is>
      </c>
      <c r="I3" s="3" t="inlineStr">
        <is>
          <t>evidence_batch_018_171</t>
        </is>
      </c>
      <c r="J3" s="3" t="inlineStr">
        <is>
          <t>ISSUE-0001; ISSUE-0002; ISSUE-0003; ISSUE-0004; ISSUE-0005</t>
        </is>
      </c>
    </row>
    <row r="4" ht="42" customHeight="1">
      <c r="A4" s="2" t="inlineStr">
        <is>
          <t>jeminise.com+pamnest-twin-halloween-comforter-set-with-sheets-5-pieces-design-08</t>
        </is>
      </c>
      <c r="B4" s="2" t="inlineStr">
        <is>
          <t>K1</t>
        </is>
      </c>
      <c r="C4" s="2" t="n">
        <v>10</v>
      </c>
      <c r="D4" s="2" t="inlineStr">
        <is>
          <t>PARTIAL</t>
        </is>
      </c>
      <c r="E4" s="5">
        <f>IF(B4="I1",AVERAGEIF('QA_Images'!$A$2:$A$53,A4,'QA_Images'!$T$2:$T$53)/100,IF(D4="FULL",1,IF(D4="PARTIAL",0.5,IF(D4="FAIL",0,""))))</f>
        <v/>
      </c>
      <c r="F4" s="5">
        <f>IF(E4="",0,C4*E4)</f>
        <v/>
      </c>
      <c r="G4" s="5">
        <f>IF(B4="I1",20*AVERAGEIF('QA_Images'!$A$2:$A$53,A4,'QA_Images'!$U$2:$U$53)/100,IF(D4="NOT_CHECKED",0,C4))</f>
        <v/>
      </c>
      <c r="H4" s="2" t="inlineStr">
        <is>
          <t>Primary keyword aligns with product-level US purchase intent. Primary keyword rechecked against US product-level SERP comparables.</t>
        </is>
      </c>
      <c r="I4" s="2" t="inlineStr">
        <is>
          <t>evidence_batch_018_171</t>
        </is>
      </c>
      <c r="J4" s="2" t="inlineStr">
        <is>
          <t>ISSUE-0001; ISSUE-0002; ISSUE-0003; ISSUE-0004; ISSUE-0005</t>
        </is>
      </c>
    </row>
    <row r="5" ht="42" customHeight="1">
      <c r="A5" s="3" t="inlineStr">
        <is>
          <t>jeminise.com+pamnest-twin-halloween-comforter-set-with-sheets-5-pieces-design-08</t>
        </is>
      </c>
      <c r="B5" s="3" t="inlineStr">
        <is>
          <t>K2</t>
        </is>
      </c>
      <c r="C5" s="3" t="n">
        <v>5</v>
      </c>
      <c r="D5" s="3" t="inlineStr">
        <is>
          <t>PARTIAL</t>
        </is>
      </c>
      <c r="E5" s="7">
        <f>IF(B5="I1",AVERAGEIF('QA_Images'!$A$2:$A$53,A5,'QA_Images'!$T$2:$T$53)/100,IF(D5="FULL",1,IF(D5="PARTIAL",0.5,IF(D5="FAIL",0,""))))</f>
        <v/>
      </c>
      <c r="F5" s="7">
        <f>IF(E5="",0,C5*E5)</f>
        <v/>
      </c>
      <c r="G5" s="7">
        <f>IF(B5="I1",20*AVERAGEIF('QA_Images'!$A$2:$A$53,A5,'QA_Images'!$U$2:$U$53)/100,IF(D5="NOT_CHECKED",0,C5))</f>
        <v/>
      </c>
      <c r="H5" s="3" t="inlineStr">
        <is>
          <t>Intent/cannibalization check distinguishes nearby products. Nearby product cluster has overlap risk, so intent distinction remains only partial.</t>
        </is>
      </c>
      <c r="I5" s="3" t="inlineStr">
        <is>
          <t>evidence_batch_018_171</t>
        </is>
      </c>
      <c r="J5" s="3" t="inlineStr">
        <is>
          <t>ISSUE-0001; ISSUE-0002; ISSUE-0003; ISSUE-0004; ISSUE-0005</t>
        </is>
      </c>
    </row>
    <row r="6" ht="42" customHeight="1">
      <c r="A6" s="2" t="inlineStr">
        <is>
          <t>jeminise.com+pamnest-twin-halloween-comforter-set-with-sheets-5-pieces-design-08</t>
        </is>
      </c>
      <c r="B6" s="2" t="inlineStr">
        <is>
          <t>K3</t>
        </is>
      </c>
      <c r="C6" s="2" t="n">
        <v>5</v>
      </c>
      <c r="D6" s="2" t="inlineStr">
        <is>
          <t>PARTIAL</t>
        </is>
      </c>
      <c r="E6" s="5">
        <f>IF(B6="I1",AVERAGEIF('QA_Images'!$A$2:$A$53,A6,'QA_Images'!$T$2:$T$53)/100,IF(D6="FULL",1,IF(D6="PARTIAL",0.5,IF(D6="FAIL",0,""))))</f>
        <v/>
      </c>
      <c r="F6" s="5">
        <f>IF(E6="",0,C6*E6)</f>
        <v/>
      </c>
      <c r="G6" s="5">
        <f>IF(B6="I1",20*AVERAGEIF('QA_Images'!$A$2:$A$53,A6,'QA_Images'!$U$2:$U$53)/100,IF(D6="NOT_CHECKED",0,C6))</f>
        <v/>
      </c>
      <c r="H6" s="2" t="inlineStr">
        <is>
          <t>Keyword evidence is supported by SERP comparables without unsupported volume claims. Evidence is public SERP only; no Search Console, keyword volume or customer-search corpus provided.</t>
        </is>
      </c>
      <c r="I6" s="2" t="inlineStr">
        <is>
          <t>evidence_batch_018_171</t>
        </is>
      </c>
      <c r="J6" s="2" t="inlineStr">
        <is>
          <t>ISSUE-0001; ISSUE-0002; ISSUE-0003; ISSUE-0004; ISSUE-0005</t>
        </is>
      </c>
    </row>
    <row r="7" ht="42" customHeight="1">
      <c r="A7" s="3" t="inlineStr">
        <is>
          <t>jeminise.com+pamnest-twin-halloween-comforter-set-with-sheets-5-pieces-design-08</t>
        </is>
      </c>
      <c r="B7" s="3" t="inlineStr">
        <is>
          <t>T1</t>
        </is>
      </c>
      <c r="C7" s="3" t="n">
        <v>10</v>
      </c>
      <c r="D7" s="3" t="inlineStr">
        <is>
          <t>PARTIAL</t>
        </is>
      </c>
      <c r="E7" s="7">
        <f>IF(B7="I1",AVERAGEIF('QA_Images'!$A$2:$A$53,A7,'QA_Images'!$T$2:$T$53)/100,IF(D7="FULL",1,IF(D7="PARTIAL",0.5,IF(D7="FAIL",0,""))))</f>
        <v/>
      </c>
      <c r="F7" s="7">
        <f>IF(E7="",0,C7*E7)</f>
        <v/>
      </c>
      <c r="G7" s="7">
        <f>IF(B7="I1",20*AVERAGEIF('QA_Images'!$A$2:$A$53,A7,'QA_Images'!$U$2:$U$53)/100,IF(D7="NOT_CHECKED",0,C7))</f>
        <v/>
      </c>
      <c r="H7" s="3" t="inlineStr">
        <is>
          <t>SEO title and H1 are relevant, specific and grounded in visible/source facts. Proposed H1 is blank, so the title/H1 pair cannot be fully verified.</t>
        </is>
      </c>
      <c r="I7" s="3" t="inlineStr">
        <is>
          <t>evidence_batch_018_171</t>
        </is>
      </c>
      <c r="J7" s="3" t="inlineStr">
        <is>
          <t>ISSUE-0001; ISSUE-0002; ISSUE-0003; ISSUE-0004; ISSUE-0005</t>
        </is>
      </c>
    </row>
    <row r="8" ht="42" customHeight="1">
      <c r="A8" s="2" t="inlineStr">
        <is>
          <t>jeminise.com+pamnest-twin-halloween-comforter-set-with-sheets-5-pieces-design-08</t>
        </is>
      </c>
      <c r="B8" s="2" t="inlineStr">
        <is>
          <t>T2</t>
        </is>
      </c>
      <c r="C8" s="2" t="n">
        <v>5</v>
      </c>
      <c r="D8" s="2" t="inlineStr">
        <is>
          <t>PARTIAL</t>
        </is>
      </c>
      <c r="E8" s="5">
        <f>IF(B8="I1",AVERAGEIF('QA_Images'!$A$2:$A$53,A8,'QA_Images'!$T$2:$T$53)/100,IF(D8="FULL",1,IF(D8="PARTIAL",0.5,IF(D8="FAIL",0,""))))</f>
        <v/>
      </c>
      <c r="F8" s="5">
        <f>IF(E8="",0,C8*E8)</f>
        <v/>
      </c>
      <c r="G8" s="5">
        <f>IF(B8="I1",20*AVERAGEIF('QA_Images'!$A$2:$A$53,A8,'QA_Images'!$U$2:$U$53)/100,IF(D8="NOT_CHECKED",0,C8))</f>
        <v/>
      </c>
      <c r="H8" s="2" t="inlineStr">
        <is>
          <t>Meta description is concise, publish-ready and avoids unsupported claims. Meta description checked for length, specificity and supportable claims.</t>
        </is>
      </c>
      <c r="I8" s="2" t="inlineStr">
        <is>
          <t>evidence_batch_018_171</t>
        </is>
      </c>
      <c r="J8" s="2" t="inlineStr">
        <is>
          <t>ISSUE-0001; ISSUE-0002; ISSUE-0003; ISSUE-0004; ISSUE-0005</t>
        </is>
      </c>
    </row>
    <row r="9" ht="42" customHeight="1">
      <c r="A9" s="3" t="inlineStr">
        <is>
          <t>jeminise.com+pamnest-twin-halloween-comforter-set-with-sheets-5-pieces-design-08</t>
        </is>
      </c>
      <c r="B9" s="3" t="inlineStr">
        <is>
          <t>D1</t>
        </is>
      </c>
      <c r="C9" s="3" t="n">
        <v>10</v>
      </c>
      <c r="D9" s="3" t="inlineStr">
        <is>
          <t>FAIL</t>
        </is>
      </c>
      <c r="E9" s="7">
        <f>IF(B9="I1",AVERAGEIF('QA_Images'!$A$2:$A$53,A9,'QA_Images'!$T$2:$T$53)/100,IF(D9="FULL",1,IF(D9="PARTIAL",0.5,IF(D9="FAIL",0,""))))</f>
        <v/>
      </c>
      <c r="F9" s="7">
        <f>IF(E9="",0,C9*E9)</f>
        <v/>
      </c>
      <c r="G9" s="7">
        <f>IF(B9="I1",20*AVERAGEIF('QA_Images'!$A$2:$A$53,A9,'QA_Images'!$U$2:$U$53)/100,IF(D9="NOT_CHECKED",0,C9))</f>
        <v/>
      </c>
      <c r="H9" s="3" t="inlineStr">
        <is>
          <t>Description HTML is publish-ready and free of internal draft/QA instructions. Description HTML still contains internal QA/import language.</t>
        </is>
      </c>
      <c r="I9" s="3" t="inlineStr">
        <is>
          <t>evidence_batch_018_171</t>
        </is>
      </c>
      <c r="J9" s="3" t="inlineStr">
        <is>
          <t>ISSUE-0001; ISSUE-0002; ISSUE-0003; ISSUE-0004; ISSUE-0005</t>
        </is>
      </c>
    </row>
    <row r="10" ht="42" customHeight="1">
      <c r="A10" s="2" t="inlineStr">
        <is>
          <t>jeminise.com+pamnest-twin-halloween-comforter-set-with-sheets-5-pieces-design-08</t>
        </is>
      </c>
      <c r="B10" s="2" t="inlineStr">
        <is>
          <t>D2</t>
        </is>
      </c>
      <c r="C10" s="2" t="n">
        <v>5</v>
      </c>
      <c r="D10" s="2" t="inlineStr">
        <is>
          <t>PARTIAL</t>
        </is>
      </c>
      <c r="E10" s="5">
        <f>IF(B10="I1",AVERAGEIF('QA_Images'!$A$2:$A$53,A10,'QA_Images'!$T$2:$T$53)/100,IF(D10="FULL",1,IF(D10="PARTIAL",0.5,IF(D10="FAIL",0,""))))</f>
        <v/>
      </c>
      <c r="F10" s="5">
        <f>IF(E10="",0,C10*E10)</f>
        <v/>
      </c>
      <c r="G10" s="5">
        <f>IF(B10="I1",20*AVERAGEIF('QA_Images'!$A$2:$A$53,A10,'QA_Images'!$U$2:$U$53)/100,IF(D10="NOT_CHECKED",0,C10))</f>
        <v/>
      </c>
      <c r="H10" s="2" t="inlineStr">
        <is>
          <t>Description content covers verified design, product type, use case and constraints. Description covers motif/product type but remains templated and does not always map every verified constraint.</t>
        </is>
      </c>
      <c r="I10" s="2" t="inlineStr">
        <is>
          <t>evidence_batch_018_171</t>
        </is>
      </c>
      <c r="J10" s="2" t="inlineStr">
        <is>
          <t>ISSUE-0001; ISSUE-0002; ISSUE-0003; ISSUE-0004; ISSUE-0005</t>
        </is>
      </c>
    </row>
    <row r="11" ht="42" customHeight="1">
      <c r="A11" s="3" t="inlineStr">
        <is>
          <t>jeminise.com+pamnest-twin-halloween-comforter-set-with-sheets-5-pieces-design-08</t>
        </is>
      </c>
      <c r="B11" s="3" t="inlineStr">
        <is>
          <t>I1</t>
        </is>
      </c>
      <c r="C11" s="3" t="n">
        <v>20</v>
      </c>
      <c r="D11" s="3" t="inlineStr">
        <is>
          <t>FULL</t>
        </is>
      </c>
      <c r="E11" s="7">
        <f>IF(B11="I1",AVERAGEIF('QA_Images'!$A$2:$A$53,A11,'QA_Images'!$T$2:$T$53)/100,IF(D11="FULL",1,IF(D11="PARTIAL",0.5,IF(D11="FAIL",0,""))))</f>
        <v/>
      </c>
      <c r="F11" s="7">
        <f>IF(E11="",0,C11*E11)</f>
        <v/>
      </c>
      <c r="G11" s="7">
        <f>IF(B11="I1",20*AVERAGEIF('QA_Images'!$A$2:$A$53,A11,'QA_Images'!$U$2:$U$53)/100,IF(D11="NOT_CHECKED",0,C11))</f>
        <v/>
      </c>
      <c r="H11" s="3" t="inlineStr">
        <is>
          <t>Image coverage, image observations and alt text quality, derived from QA_Images. Derived from average image QA score; see QA_Images.</t>
        </is>
      </c>
      <c r="I11" s="3" t="inlineStr">
        <is>
          <t>evidence_batch_018_171</t>
        </is>
      </c>
      <c r="J11" s="3" t="inlineStr">
        <is>
          <t>ISSUE-0001; ISSUE-0002; ISSUE-0003; ISSUE-0004; ISSUE-0005</t>
        </is>
      </c>
    </row>
    <row r="12" ht="42" customHeight="1">
      <c r="A12" s="2" t="inlineStr">
        <is>
          <t>jeminise.com+pamnest-twin-halloween-comforter-set-with-sheets-5-pieces-design-08</t>
        </is>
      </c>
      <c r="B12" s="2" t="inlineStr">
        <is>
          <t>E1</t>
        </is>
      </c>
      <c r="C12" s="2" t="n">
        <v>5</v>
      </c>
      <c r="D12" s="2" t="inlineStr">
        <is>
          <t>PARTIAL</t>
        </is>
      </c>
      <c r="E12" s="5">
        <f>IF(B12="I1",AVERAGEIF('QA_Images'!$A$2:$A$53,A12,'QA_Images'!$T$2:$T$53)/100,IF(D12="FULL",1,IF(D12="PARTIAL",0.5,IF(D12="FAIL",0,""))))</f>
        <v/>
      </c>
      <c r="F12" s="5">
        <f>IF(E12="",0,C12*E12)</f>
        <v/>
      </c>
      <c r="G12" s="5">
        <f>IF(B12="I1",20*AVERAGEIF('QA_Images'!$A$2:$A$53,A12,'QA_Images'!$U$2:$U$53)/100,IF(D12="NOT_CHECKED",0,C12))</f>
        <v/>
      </c>
      <c r="H12" s="2" t="inlineStr">
        <is>
          <t>Evidence chain is traceable and limitations are explicitly separated from failures. Evidence chain is traceable, with admin-export limitation explicitly separated.</t>
        </is>
      </c>
      <c r="I12" s="2" t="inlineStr">
        <is>
          <t>evidence_batch_018_171</t>
        </is>
      </c>
      <c r="J12" s="2" t="inlineStr">
        <is>
          <t>ISSUE-0001; ISSUE-0002; ISSUE-0003; ISSUE-0004; ISSUE-0005</t>
        </is>
      </c>
    </row>
    <row r="13" ht="42" customHeight="1">
      <c r="A13" s="3" t="inlineStr">
        <is>
          <t>jeminise.com+pamnest-twin-halloween-comforter-set-with-sheets-5-pieces-design-09</t>
        </is>
      </c>
      <c r="B13" s="3" t="inlineStr">
        <is>
          <t>P1</t>
        </is>
      </c>
      <c r="C13" s="3" t="n">
        <v>15</v>
      </c>
      <c r="D13" s="3" t="inlineStr">
        <is>
          <t>FULL</t>
        </is>
      </c>
      <c r="E13" s="7">
        <f>IF(B13="I1",AVERAGEIF('QA_Images'!$A$2:$A$53,A13,'QA_Images'!$T$2:$T$53)/100,IF(D13="FULL",1,IF(D13="PARTIAL",0.5,IF(D13="FAIL",0,""))))</f>
        <v/>
      </c>
      <c r="F13" s="7">
        <f>IF(E13="",0,C13*E13)</f>
        <v/>
      </c>
      <c r="G13" s="7">
        <f>IF(B13="I1",20*AVERAGEIF('QA_Images'!$A$2:$A$53,A13,'QA_Images'!$U$2:$U$53)/100,IF(D13="NOT_CHECKED",0,C13))</f>
        <v/>
      </c>
      <c r="H13" s="3" t="inlineStr">
        <is>
          <t>Product identity, handle, product ID, URL and canonical match source/live evidence. Product key/handle/product ID/canonical checked against frozen workbook and live product evidence.</t>
        </is>
      </c>
      <c r="I13" s="3" t="inlineStr">
        <is>
          <t>evidence_batch_018_172</t>
        </is>
      </c>
      <c r="J13" s="3" t="inlineStr">
        <is>
          <t>ISSUE-0011; ISSUE-0012; ISSUE-0013; ISSUE-0014; ISSUE-0015</t>
        </is>
      </c>
    </row>
    <row r="14" ht="42" customHeight="1">
      <c r="A14" s="2" t="inlineStr">
        <is>
          <t>jeminise.com+pamnest-twin-halloween-comforter-set-with-sheets-5-pieces-design-09</t>
        </is>
      </c>
      <c r="B14" s="2" t="inlineStr">
        <is>
          <t>P2</t>
        </is>
      </c>
      <c r="C14" s="2" t="n">
        <v>10</v>
      </c>
      <c r="D14" s="2" t="inlineStr">
        <is>
          <t>FAIL</t>
        </is>
      </c>
      <c r="E14" s="5">
        <f>IF(B14="I1",AVERAGEIF('QA_Images'!$A$2:$A$53,A14,'QA_Images'!$T$2:$T$53)/100,IF(D14="FULL",1,IF(D14="PARTIAL",0.5,IF(D14="FAIL",0,""))))</f>
        <v/>
      </c>
      <c r="F14" s="5">
        <f>IF(E14="",0,C14*E14)</f>
        <v/>
      </c>
      <c r="G14" s="5">
        <f>IF(B14="I1",20*AVERAGEIF('QA_Images'!$A$2:$A$53,A14,'QA_Images'!$U$2:$U$53)/100,IF(D14="NOT_CHECKED",0,C14))</f>
        <v/>
      </c>
      <c r="H14" s="2" t="inlineStr">
        <is>
          <t>Source product facts, variants, specifications and personalization claims are evidence-backed. Personalization/specification claims checked against storefront product.js and static customizer config.</t>
        </is>
      </c>
      <c r="I14" s="2" t="inlineStr">
        <is>
          <t>evidence_batch_018_172</t>
        </is>
      </c>
      <c r="J14" s="2" t="inlineStr">
        <is>
          <t>ISSUE-0011; ISSUE-0012; ISSUE-0013; ISSUE-0014; ISSUE-0015</t>
        </is>
      </c>
    </row>
    <row r="15" ht="42" customHeight="1">
      <c r="A15" s="3" t="inlineStr">
        <is>
          <t>jeminise.com+pamnest-twin-halloween-comforter-set-with-sheets-5-pieces-design-09</t>
        </is>
      </c>
      <c r="B15" s="3" t="inlineStr">
        <is>
          <t>K1</t>
        </is>
      </c>
      <c r="C15" s="3" t="n">
        <v>10</v>
      </c>
      <c r="D15" s="3" t="inlineStr">
        <is>
          <t>PARTIAL</t>
        </is>
      </c>
      <c r="E15" s="7">
        <f>IF(B15="I1",AVERAGEIF('QA_Images'!$A$2:$A$53,A15,'QA_Images'!$T$2:$T$53)/100,IF(D15="FULL",1,IF(D15="PARTIAL",0.5,IF(D15="FAIL",0,""))))</f>
        <v/>
      </c>
      <c r="F15" s="7">
        <f>IF(E15="",0,C15*E15)</f>
        <v/>
      </c>
      <c r="G15" s="7">
        <f>IF(B15="I1",20*AVERAGEIF('QA_Images'!$A$2:$A$53,A15,'QA_Images'!$U$2:$U$53)/100,IF(D15="NOT_CHECKED",0,C15))</f>
        <v/>
      </c>
      <c r="H15" s="3" t="inlineStr">
        <is>
          <t>Primary keyword aligns with product-level US purchase intent. Primary keyword rechecked against US product-level SERP comparables.</t>
        </is>
      </c>
      <c r="I15" s="3" t="inlineStr">
        <is>
          <t>evidence_batch_018_172</t>
        </is>
      </c>
      <c r="J15" s="3" t="inlineStr">
        <is>
          <t>ISSUE-0011; ISSUE-0012; ISSUE-0013; ISSUE-0014; ISSUE-0015</t>
        </is>
      </c>
    </row>
    <row r="16" ht="42" customHeight="1">
      <c r="A16" s="2" t="inlineStr">
        <is>
          <t>jeminise.com+pamnest-twin-halloween-comforter-set-with-sheets-5-pieces-design-09</t>
        </is>
      </c>
      <c r="B16" s="2" t="inlineStr">
        <is>
          <t>K2</t>
        </is>
      </c>
      <c r="C16" s="2" t="n">
        <v>5</v>
      </c>
      <c r="D16" s="2" t="inlineStr">
        <is>
          <t>PARTIAL</t>
        </is>
      </c>
      <c r="E16" s="5">
        <f>IF(B16="I1",AVERAGEIF('QA_Images'!$A$2:$A$53,A16,'QA_Images'!$T$2:$T$53)/100,IF(D16="FULL",1,IF(D16="PARTIAL",0.5,IF(D16="FAIL",0,""))))</f>
        <v/>
      </c>
      <c r="F16" s="5">
        <f>IF(E16="",0,C16*E16)</f>
        <v/>
      </c>
      <c r="G16" s="5">
        <f>IF(B16="I1",20*AVERAGEIF('QA_Images'!$A$2:$A$53,A16,'QA_Images'!$U$2:$U$53)/100,IF(D16="NOT_CHECKED",0,C16))</f>
        <v/>
      </c>
      <c r="H16" s="2" t="inlineStr">
        <is>
          <t>Intent/cannibalization check distinguishes nearby products. Nearby product cluster has overlap risk, so intent distinction remains only partial.</t>
        </is>
      </c>
      <c r="I16" s="2" t="inlineStr">
        <is>
          <t>evidence_batch_018_172</t>
        </is>
      </c>
      <c r="J16" s="2" t="inlineStr">
        <is>
          <t>ISSUE-0011; ISSUE-0012; ISSUE-0013; ISSUE-0014; ISSUE-0015</t>
        </is>
      </c>
    </row>
    <row r="17" ht="42" customHeight="1">
      <c r="A17" s="3" t="inlineStr">
        <is>
          <t>jeminise.com+pamnest-twin-halloween-comforter-set-with-sheets-5-pieces-design-09</t>
        </is>
      </c>
      <c r="B17" s="3" t="inlineStr">
        <is>
          <t>K3</t>
        </is>
      </c>
      <c r="C17" s="3" t="n">
        <v>5</v>
      </c>
      <c r="D17" s="3" t="inlineStr">
        <is>
          <t>PARTIAL</t>
        </is>
      </c>
      <c r="E17" s="7">
        <f>IF(B17="I1",AVERAGEIF('QA_Images'!$A$2:$A$53,A17,'QA_Images'!$T$2:$T$53)/100,IF(D17="FULL",1,IF(D17="PARTIAL",0.5,IF(D17="FAIL",0,""))))</f>
        <v/>
      </c>
      <c r="F17" s="7">
        <f>IF(E17="",0,C17*E17)</f>
        <v/>
      </c>
      <c r="G17" s="7">
        <f>IF(B17="I1",20*AVERAGEIF('QA_Images'!$A$2:$A$53,A17,'QA_Images'!$U$2:$U$53)/100,IF(D17="NOT_CHECKED",0,C17))</f>
        <v/>
      </c>
      <c r="H17" s="3" t="inlineStr">
        <is>
          <t>Keyword evidence is supported by SERP comparables without unsupported volume claims. Evidence is public SERP only; no Search Console, keyword volume or customer-search corpus provided.</t>
        </is>
      </c>
      <c r="I17" s="3" t="inlineStr">
        <is>
          <t>evidence_batch_018_172</t>
        </is>
      </c>
      <c r="J17" s="3" t="inlineStr">
        <is>
          <t>ISSUE-0011; ISSUE-0012; ISSUE-0013; ISSUE-0014; ISSUE-0015</t>
        </is>
      </c>
    </row>
    <row r="18" ht="42" customHeight="1">
      <c r="A18" s="2" t="inlineStr">
        <is>
          <t>jeminise.com+pamnest-twin-halloween-comforter-set-with-sheets-5-pieces-design-09</t>
        </is>
      </c>
      <c r="B18" s="2" t="inlineStr">
        <is>
          <t>T1</t>
        </is>
      </c>
      <c r="C18" s="2" t="n">
        <v>10</v>
      </c>
      <c r="D18" s="2" t="inlineStr">
        <is>
          <t>PARTIAL</t>
        </is>
      </c>
      <c r="E18" s="5">
        <f>IF(B18="I1",AVERAGEIF('QA_Images'!$A$2:$A$53,A18,'QA_Images'!$T$2:$T$53)/100,IF(D18="FULL",1,IF(D18="PARTIAL",0.5,IF(D18="FAIL",0,""))))</f>
        <v/>
      </c>
      <c r="F18" s="5">
        <f>IF(E18="",0,C18*E18)</f>
        <v/>
      </c>
      <c r="G18" s="5">
        <f>IF(B18="I1",20*AVERAGEIF('QA_Images'!$A$2:$A$53,A18,'QA_Images'!$U$2:$U$53)/100,IF(D18="NOT_CHECKED",0,C18))</f>
        <v/>
      </c>
      <c r="H18" s="2" t="inlineStr">
        <is>
          <t>SEO title and H1 are relevant, specific and grounded in visible/source facts. Proposed H1 is blank, so the title/H1 pair cannot be fully verified.</t>
        </is>
      </c>
      <c r="I18" s="2" t="inlineStr">
        <is>
          <t>evidence_batch_018_172</t>
        </is>
      </c>
      <c r="J18" s="2" t="inlineStr">
        <is>
          <t>ISSUE-0011; ISSUE-0012; ISSUE-0013; ISSUE-0014; ISSUE-0015</t>
        </is>
      </c>
    </row>
    <row r="19" ht="42" customHeight="1">
      <c r="A19" s="3" t="inlineStr">
        <is>
          <t>jeminise.com+pamnest-twin-halloween-comforter-set-with-sheets-5-pieces-design-09</t>
        </is>
      </c>
      <c r="B19" s="3" t="inlineStr">
        <is>
          <t>T2</t>
        </is>
      </c>
      <c r="C19" s="3" t="n">
        <v>5</v>
      </c>
      <c r="D19" s="3" t="inlineStr">
        <is>
          <t>PARTIAL</t>
        </is>
      </c>
      <c r="E19" s="7">
        <f>IF(B19="I1",AVERAGEIF('QA_Images'!$A$2:$A$53,A19,'QA_Images'!$T$2:$T$53)/100,IF(D19="FULL",1,IF(D19="PARTIAL",0.5,IF(D19="FAIL",0,""))))</f>
        <v/>
      </c>
      <c r="F19" s="7">
        <f>IF(E19="",0,C19*E19)</f>
        <v/>
      </c>
      <c r="G19" s="7">
        <f>IF(B19="I1",20*AVERAGEIF('QA_Images'!$A$2:$A$53,A19,'QA_Images'!$U$2:$U$53)/100,IF(D19="NOT_CHECKED",0,C19))</f>
        <v/>
      </c>
      <c r="H19" s="3" t="inlineStr">
        <is>
          <t>Meta description is concise, publish-ready and avoids unsupported claims. Meta description checked for length, specificity and supportable claims.</t>
        </is>
      </c>
      <c r="I19" s="3" t="inlineStr">
        <is>
          <t>evidence_batch_018_172</t>
        </is>
      </c>
      <c r="J19" s="3" t="inlineStr">
        <is>
          <t>ISSUE-0011; ISSUE-0012; ISSUE-0013; ISSUE-0014; ISSUE-0015</t>
        </is>
      </c>
    </row>
    <row r="20" ht="42" customHeight="1">
      <c r="A20" s="2" t="inlineStr">
        <is>
          <t>jeminise.com+pamnest-twin-halloween-comforter-set-with-sheets-5-pieces-design-09</t>
        </is>
      </c>
      <c r="B20" s="2" t="inlineStr">
        <is>
          <t>D1</t>
        </is>
      </c>
      <c r="C20" s="2" t="n">
        <v>10</v>
      </c>
      <c r="D20" s="2" t="inlineStr">
        <is>
          <t>FAIL</t>
        </is>
      </c>
      <c r="E20" s="5">
        <f>IF(B20="I1",AVERAGEIF('QA_Images'!$A$2:$A$53,A20,'QA_Images'!$T$2:$T$53)/100,IF(D20="FULL",1,IF(D20="PARTIAL",0.5,IF(D20="FAIL",0,""))))</f>
        <v/>
      </c>
      <c r="F20" s="5">
        <f>IF(E20="",0,C20*E20)</f>
        <v/>
      </c>
      <c r="G20" s="5">
        <f>IF(B20="I1",20*AVERAGEIF('QA_Images'!$A$2:$A$53,A20,'QA_Images'!$U$2:$U$53)/100,IF(D20="NOT_CHECKED",0,C20))</f>
        <v/>
      </c>
      <c r="H20" s="2" t="inlineStr">
        <is>
          <t>Description HTML is publish-ready and free of internal draft/QA instructions. Description HTML still contains internal QA/import language.</t>
        </is>
      </c>
      <c r="I20" s="2" t="inlineStr">
        <is>
          <t>evidence_batch_018_172</t>
        </is>
      </c>
      <c r="J20" s="2" t="inlineStr">
        <is>
          <t>ISSUE-0011; ISSUE-0012; ISSUE-0013; ISSUE-0014; ISSUE-0015</t>
        </is>
      </c>
    </row>
    <row r="21" ht="42" customHeight="1">
      <c r="A21" s="3" t="inlineStr">
        <is>
          <t>jeminise.com+pamnest-twin-halloween-comforter-set-with-sheets-5-pieces-design-09</t>
        </is>
      </c>
      <c r="B21" s="3" t="inlineStr">
        <is>
          <t>D2</t>
        </is>
      </c>
      <c r="C21" s="3" t="n">
        <v>5</v>
      </c>
      <c r="D21" s="3" t="inlineStr">
        <is>
          <t>PARTIAL</t>
        </is>
      </c>
      <c r="E21" s="7">
        <f>IF(B21="I1",AVERAGEIF('QA_Images'!$A$2:$A$53,A21,'QA_Images'!$T$2:$T$53)/100,IF(D21="FULL",1,IF(D21="PARTIAL",0.5,IF(D21="FAIL",0,""))))</f>
        <v/>
      </c>
      <c r="F21" s="7">
        <f>IF(E21="",0,C21*E21)</f>
        <v/>
      </c>
      <c r="G21" s="7">
        <f>IF(B21="I1",20*AVERAGEIF('QA_Images'!$A$2:$A$53,A21,'QA_Images'!$U$2:$U$53)/100,IF(D21="NOT_CHECKED",0,C21))</f>
        <v/>
      </c>
      <c r="H21" s="3" t="inlineStr">
        <is>
          <t>Description content covers verified design, product type, use case and constraints. Description covers motif/product type but remains templated and does not always map every verified constraint.</t>
        </is>
      </c>
      <c r="I21" s="3" t="inlineStr">
        <is>
          <t>evidence_batch_018_172</t>
        </is>
      </c>
      <c r="J21" s="3" t="inlineStr">
        <is>
          <t>ISSUE-0011; ISSUE-0012; ISSUE-0013; ISSUE-0014; ISSUE-0015</t>
        </is>
      </c>
    </row>
    <row r="22" ht="42" customHeight="1">
      <c r="A22" s="2" t="inlineStr">
        <is>
          <t>jeminise.com+pamnest-twin-halloween-comforter-set-with-sheets-5-pieces-design-09</t>
        </is>
      </c>
      <c r="B22" s="2" t="inlineStr">
        <is>
          <t>I1</t>
        </is>
      </c>
      <c r="C22" s="2" t="n">
        <v>20</v>
      </c>
      <c r="D22" s="2" t="inlineStr">
        <is>
          <t>FULL</t>
        </is>
      </c>
      <c r="E22" s="5">
        <f>IF(B22="I1",AVERAGEIF('QA_Images'!$A$2:$A$53,A22,'QA_Images'!$T$2:$T$53)/100,IF(D22="FULL",1,IF(D22="PARTIAL",0.5,IF(D22="FAIL",0,""))))</f>
        <v/>
      </c>
      <c r="F22" s="5">
        <f>IF(E22="",0,C22*E22)</f>
        <v/>
      </c>
      <c r="G22" s="5">
        <f>IF(B22="I1",20*AVERAGEIF('QA_Images'!$A$2:$A$53,A22,'QA_Images'!$U$2:$U$53)/100,IF(D22="NOT_CHECKED",0,C22))</f>
        <v/>
      </c>
      <c r="H22" s="2" t="inlineStr">
        <is>
          <t>Image coverage, image observations and alt text quality, derived from QA_Images. Derived from average image QA score; see QA_Images.</t>
        </is>
      </c>
      <c r="I22" s="2" t="inlineStr">
        <is>
          <t>evidence_batch_018_172</t>
        </is>
      </c>
      <c r="J22" s="2" t="inlineStr">
        <is>
          <t>ISSUE-0011; ISSUE-0012; ISSUE-0013; ISSUE-0014; ISSUE-0015</t>
        </is>
      </c>
    </row>
    <row r="23" ht="42" customHeight="1">
      <c r="A23" s="3" t="inlineStr">
        <is>
          <t>jeminise.com+pamnest-twin-halloween-comforter-set-with-sheets-5-pieces-design-09</t>
        </is>
      </c>
      <c r="B23" s="3" t="inlineStr">
        <is>
          <t>E1</t>
        </is>
      </c>
      <c r="C23" s="3" t="n">
        <v>5</v>
      </c>
      <c r="D23" s="3" t="inlineStr">
        <is>
          <t>PARTIAL</t>
        </is>
      </c>
      <c r="E23" s="7">
        <f>IF(B23="I1",AVERAGEIF('QA_Images'!$A$2:$A$53,A23,'QA_Images'!$T$2:$T$53)/100,IF(D23="FULL",1,IF(D23="PARTIAL",0.5,IF(D23="FAIL",0,""))))</f>
        <v/>
      </c>
      <c r="F23" s="7">
        <f>IF(E23="",0,C23*E23)</f>
        <v/>
      </c>
      <c r="G23" s="7">
        <f>IF(B23="I1",20*AVERAGEIF('QA_Images'!$A$2:$A$53,A23,'QA_Images'!$U$2:$U$53)/100,IF(D23="NOT_CHECKED",0,C23))</f>
        <v/>
      </c>
      <c r="H23" s="3" t="inlineStr">
        <is>
          <t>Evidence chain is traceable and limitations are explicitly separated from failures. Evidence chain is traceable, with admin-export limitation explicitly separated.</t>
        </is>
      </c>
      <c r="I23" s="3" t="inlineStr">
        <is>
          <t>evidence_batch_018_172</t>
        </is>
      </c>
      <c r="J23" s="3" t="inlineStr">
        <is>
          <t>ISSUE-0011; ISSUE-0012; ISSUE-0013; ISSUE-0014; ISSUE-0015</t>
        </is>
      </c>
    </row>
    <row r="24" ht="42" customHeight="1">
      <c r="A24" s="2" t="inlineStr">
        <is>
          <t>jeminise.com+pamnest-twin-halloween-comforter-set-with-sheets-5-pieces-evil</t>
        </is>
      </c>
      <c r="B24" s="2" t="inlineStr">
        <is>
          <t>P1</t>
        </is>
      </c>
      <c r="C24" s="2" t="n">
        <v>15</v>
      </c>
      <c r="D24" s="2" t="inlineStr">
        <is>
          <t>FULL</t>
        </is>
      </c>
      <c r="E24" s="5">
        <f>IF(B24="I1",AVERAGEIF('QA_Images'!$A$2:$A$53,A24,'QA_Images'!$T$2:$T$53)/100,IF(D24="FULL",1,IF(D24="PARTIAL",0.5,IF(D24="FAIL",0,""))))</f>
        <v/>
      </c>
      <c r="F24" s="5">
        <f>IF(E24="",0,C24*E24)</f>
        <v/>
      </c>
      <c r="G24" s="5">
        <f>IF(B24="I1",20*AVERAGEIF('QA_Images'!$A$2:$A$53,A24,'QA_Images'!$U$2:$U$53)/100,IF(D24="NOT_CHECKED",0,C24))</f>
        <v/>
      </c>
      <c r="H24" s="2" t="inlineStr">
        <is>
          <t>Product identity, handle, product ID, URL and canonical match source/live evidence. Product key/handle/product ID/canonical checked against frozen workbook and live product evidence.</t>
        </is>
      </c>
      <c r="I24" s="2" t="inlineStr">
        <is>
          <t>evidence_batch_018_173</t>
        </is>
      </c>
      <c r="J24" s="2" t="inlineStr">
        <is>
          <t>ISSUE-0021; ISSUE-0022; ISSUE-0023; ISSUE-0024; ISSUE-0025</t>
        </is>
      </c>
    </row>
    <row r="25" ht="42" customHeight="1">
      <c r="A25" s="3" t="inlineStr">
        <is>
          <t>jeminise.com+pamnest-twin-halloween-comforter-set-with-sheets-5-pieces-evil</t>
        </is>
      </c>
      <c r="B25" s="3" t="inlineStr">
        <is>
          <t>P2</t>
        </is>
      </c>
      <c r="C25" s="3" t="n">
        <v>10</v>
      </c>
      <c r="D25" s="3" t="inlineStr">
        <is>
          <t>FAIL</t>
        </is>
      </c>
      <c r="E25" s="7">
        <f>IF(B25="I1",AVERAGEIF('QA_Images'!$A$2:$A$53,A25,'QA_Images'!$T$2:$T$53)/100,IF(D25="FULL",1,IF(D25="PARTIAL",0.5,IF(D25="FAIL",0,""))))</f>
        <v/>
      </c>
      <c r="F25" s="7">
        <f>IF(E25="",0,C25*E25)</f>
        <v/>
      </c>
      <c r="G25" s="7">
        <f>IF(B25="I1",20*AVERAGEIF('QA_Images'!$A$2:$A$53,A25,'QA_Images'!$U$2:$U$53)/100,IF(D25="NOT_CHECKED",0,C25))</f>
        <v/>
      </c>
      <c r="H25" s="3" t="inlineStr">
        <is>
          <t>Source product facts, variants, specifications and personalization claims are evidence-backed. Personalization/specification claims checked against storefront product.js and static customizer config.</t>
        </is>
      </c>
      <c r="I25" s="3" t="inlineStr">
        <is>
          <t>evidence_batch_018_173</t>
        </is>
      </c>
      <c r="J25" s="3" t="inlineStr">
        <is>
          <t>ISSUE-0021; ISSUE-0022; ISSUE-0023; ISSUE-0024; ISSUE-0025</t>
        </is>
      </c>
    </row>
    <row r="26" ht="42" customHeight="1">
      <c r="A26" s="2" t="inlineStr">
        <is>
          <t>jeminise.com+pamnest-twin-halloween-comforter-set-with-sheets-5-pieces-evil</t>
        </is>
      </c>
      <c r="B26" s="2" t="inlineStr">
        <is>
          <t>K1</t>
        </is>
      </c>
      <c r="C26" s="2" t="n">
        <v>10</v>
      </c>
      <c r="D26" s="2" t="inlineStr">
        <is>
          <t>PARTIAL</t>
        </is>
      </c>
      <c r="E26" s="5">
        <f>IF(B26="I1",AVERAGEIF('QA_Images'!$A$2:$A$53,A26,'QA_Images'!$T$2:$T$53)/100,IF(D26="FULL",1,IF(D26="PARTIAL",0.5,IF(D26="FAIL",0,""))))</f>
        <v/>
      </c>
      <c r="F26" s="5">
        <f>IF(E26="",0,C26*E26)</f>
        <v/>
      </c>
      <c r="G26" s="5">
        <f>IF(B26="I1",20*AVERAGEIF('QA_Images'!$A$2:$A$53,A26,'QA_Images'!$U$2:$U$53)/100,IF(D26="NOT_CHECKED",0,C26))</f>
        <v/>
      </c>
      <c r="H26" s="2" t="inlineStr">
        <is>
          <t>Primary keyword aligns with product-level US purchase intent. Primary keyword rechecked against US product-level SERP comparables.</t>
        </is>
      </c>
      <c r="I26" s="2" t="inlineStr">
        <is>
          <t>evidence_batch_018_173</t>
        </is>
      </c>
      <c r="J26" s="2" t="inlineStr">
        <is>
          <t>ISSUE-0021; ISSUE-0022; ISSUE-0023; ISSUE-0024; ISSUE-0025</t>
        </is>
      </c>
    </row>
    <row r="27" ht="42" customHeight="1">
      <c r="A27" s="3" t="inlineStr">
        <is>
          <t>jeminise.com+pamnest-twin-halloween-comforter-set-with-sheets-5-pieces-evil</t>
        </is>
      </c>
      <c r="B27" s="3" t="inlineStr">
        <is>
          <t>K2</t>
        </is>
      </c>
      <c r="C27" s="3" t="n">
        <v>5</v>
      </c>
      <c r="D27" s="3" t="inlineStr">
        <is>
          <t>PARTIAL</t>
        </is>
      </c>
      <c r="E27" s="7">
        <f>IF(B27="I1",AVERAGEIF('QA_Images'!$A$2:$A$53,A27,'QA_Images'!$T$2:$T$53)/100,IF(D27="FULL",1,IF(D27="PARTIAL",0.5,IF(D27="FAIL",0,""))))</f>
        <v/>
      </c>
      <c r="F27" s="7">
        <f>IF(E27="",0,C27*E27)</f>
        <v/>
      </c>
      <c r="G27" s="7">
        <f>IF(B27="I1",20*AVERAGEIF('QA_Images'!$A$2:$A$53,A27,'QA_Images'!$U$2:$U$53)/100,IF(D27="NOT_CHECKED",0,C27))</f>
        <v/>
      </c>
      <c r="H27" s="3" t="inlineStr">
        <is>
          <t>Intent/cannibalization check distinguishes nearby products. Nearby product cluster has overlap risk, so intent distinction remains only partial.</t>
        </is>
      </c>
      <c r="I27" s="3" t="inlineStr">
        <is>
          <t>evidence_batch_018_173</t>
        </is>
      </c>
      <c r="J27" s="3" t="inlineStr">
        <is>
          <t>ISSUE-0021; ISSUE-0022; ISSUE-0023; ISSUE-0024; ISSUE-0025</t>
        </is>
      </c>
    </row>
    <row r="28" ht="42" customHeight="1">
      <c r="A28" s="2" t="inlineStr">
        <is>
          <t>jeminise.com+pamnest-twin-halloween-comforter-set-with-sheets-5-pieces-evil</t>
        </is>
      </c>
      <c r="B28" s="2" t="inlineStr">
        <is>
          <t>K3</t>
        </is>
      </c>
      <c r="C28" s="2" t="n">
        <v>5</v>
      </c>
      <c r="D28" s="2" t="inlineStr">
        <is>
          <t>PARTIAL</t>
        </is>
      </c>
      <c r="E28" s="5">
        <f>IF(B28="I1",AVERAGEIF('QA_Images'!$A$2:$A$53,A28,'QA_Images'!$T$2:$T$53)/100,IF(D28="FULL",1,IF(D28="PARTIAL",0.5,IF(D28="FAIL",0,""))))</f>
        <v/>
      </c>
      <c r="F28" s="5">
        <f>IF(E28="",0,C28*E28)</f>
        <v/>
      </c>
      <c r="G28" s="5">
        <f>IF(B28="I1",20*AVERAGEIF('QA_Images'!$A$2:$A$53,A28,'QA_Images'!$U$2:$U$53)/100,IF(D28="NOT_CHECKED",0,C28))</f>
        <v/>
      </c>
      <c r="H28" s="2" t="inlineStr">
        <is>
          <t>Keyword evidence is supported by SERP comparables without unsupported volume claims. Evidence is public SERP only; no Search Console, keyword volume or customer-search corpus provided.</t>
        </is>
      </c>
      <c r="I28" s="2" t="inlineStr">
        <is>
          <t>evidence_batch_018_173</t>
        </is>
      </c>
      <c r="J28" s="2" t="inlineStr">
        <is>
          <t>ISSUE-0021; ISSUE-0022; ISSUE-0023; ISSUE-0024; ISSUE-0025</t>
        </is>
      </c>
    </row>
    <row r="29" ht="42" customHeight="1">
      <c r="A29" s="3" t="inlineStr">
        <is>
          <t>jeminise.com+pamnest-twin-halloween-comforter-set-with-sheets-5-pieces-evil</t>
        </is>
      </c>
      <c r="B29" s="3" t="inlineStr">
        <is>
          <t>T1</t>
        </is>
      </c>
      <c r="C29" s="3" t="n">
        <v>10</v>
      </c>
      <c r="D29" s="3" t="inlineStr">
        <is>
          <t>PARTIAL</t>
        </is>
      </c>
      <c r="E29" s="7">
        <f>IF(B29="I1",AVERAGEIF('QA_Images'!$A$2:$A$53,A29,'QA_Images'!$T$2:$T$53)/100,IF(D29="FULL",1,IF(D29="PARTIAL",0.5,IF(D29="FAIL",0,""))))</f>
        <v/>
      </c>
      <c r="F29" s="7">
        <f>IF(E29="",0,C29*E29)</f>
        <v/>
      </c>
      <c r="G29" s="7">
        <f>IF(B29="I1",20*AVERAGEIF('QA_Images'!$A$2:$A$53,A29,'QA_Images'!$U$2:$U$53)/100,IF(D29="NOT_CHECKED",0,C29))</f>
        <v/>
      </c>
      <c r="H29" s="3" t="inlineStr">
        <is>
          <t>SEO title and H1 are relevant, specific and grounded in visible/source facts. Proposed H1 is blank, so the title/H1 pair cannot be fully verified.</t>
        </is>
      </c>
      <c r="I29" s="3" t="inlineStr">
        <is>
          <t>evidence_batch_018_173</t>
        </is>
      </c>
      <c r="J29" s="3" t="inlineStr">
        <is>
          <t>ISSUE-0021; ISSUE-0022; ISSUE-0023; ISSUE-0024; ISSUE-0025</t>
        </is>
      </c>
    </row>
    <row r="30" ht="42" customHeight="1">
      <c r="A30" s="2" t="inlineStr">
        <is>
          <t>jeminise.com+pamnest-twin-halloween-comforter-set-with-sheets-5-pieces-evil</t>
        </is>
      </c>
      <c r="B30" s="2" t="inlineStr">
        <is>
          <t>T2</t>
        </is>
      </c>
      <c r="C30" s="2" t="n">
        <v>5</v>
      </c>
      <c r="D30" s="2" t="inlineStr">
        <is>
          <t>PARTIAL</t>
        </is>
      </c>
      <c r="E30" s="5">
        <f>IF(B30="I1",AVERAGEIF('QA_Images'!$A$2:$A$53,A30,'QA_Images'!$T$2:$T$53)/100,IF(D30="FULL",1,IF(D30="PARTIAL",0.5,IF(D30="FAIL",0,""))))</f>
        <v/>
      </c>
      <c r="F30" s="5">
        <f>IF(E30="",0,C30*E30)</f>
        <v/>
      </c>
      <c r="G30" s="5">
        <f>IF(B30="I1",20*AVERAGEIF('QA_Images'!$A$2:$A$53,A30,'QA_Images'!$U$2:$U$53)/100,IF(D30="NOT_CHECKED",0,C30))</f>
        <v/>
      </c>
      <c r="H30" s="2" t="inlineStr">
        <is>
          <t>Meta description is concise, publish-ready and avoids unsupported claims. Meta description checked for length, specificity and supportable claims.</t>
        </is>
      </c>
      <c r="I30" s="2" t="inlineStr">
        <is>
          <t>evidence_batch_018_173</t>
        </is>
      </c>
      <c r="J30" s="2" t="inlineStr">
        <is>
          <t>ISSUE-0021; ISSUE-0022; ISSUE-0023; ISSUE-0024; ISSUE-0025</t>
        </is>
      </c>
    </row>
    <row r="31" ht="42" customHeight="1">
      <c r="A31" s="3" t="inlineStr">
        <is>
          <t>jeminise.com+pamnest-twin-halloween-comforter-set-with-sheets-5-pieces-evil</t>
        </is>
      </c>
      <c r="B31" s="3" t="inlineStr">
        <is>
          <t>D1</t>
        </is>
      </c>
      <c r="C31" s="3" t="n">
        <v>10</v>
      </c>
      <c r="D31" s="3" t="inlineStr">
        <is>
          <t>FAIL</t>
        </is>
      </c>
      <c r="E31" s="7">
        <f>IF(B31="I1",AVERAGEIF('QA_Images'!$A$2:$A$53,A31,'QA_Images'!$T$2:$T$53)/100,IF(D31="FULL",1,IF(D31="PARTIAL",0.5,IF(D31="FAIL",0,""))))</f>
        <v/>
      </c>
      <c r="F31" s="7">
        <f>IF(E31="",0,C31*E31)</f>
        <v/>
      </c>
      <c r="G31" s="7">
        <f>IF(B31="I1",20*AVERAGEIF('QA_Images'!$A$2:$A$53,A31,'QA_Images'!$U$2:$U$53)/100,IF(D31="NOT_CHECKED",0,C31))</f>
        <v/>
      </c>
      <c r="H31" s="3" t="inlineStr">
        <is>
          <t>Description HTML is publish-ready and free of internal draft/QA instructions. Description HTML still contains internal QA/import language.</t>
        </is>
      </c>
      <c r="I31" s="3" t="inlineStr">
        <is>
          <t>evidence_batch_018_173</t>
        </is>
      </c>
      <c r="J31" s="3" t="inlineStr">
        <is>
          <t>ISSUE-0021; ISSUE-0022; ISSUE-0023; ISSUE-0024; ISSUE-0025</t>
        </is>
      </c>
    </row>
    <row r="32" ht="42" customHeight="1">
      <c r="A32" s="2" t="inlineStr">
        <is>
          <t>jeminise.com+pamnest-twin-halloween-comforter-set-with-sheets-5-pieces-evil</t>
        </is>
      </c>
      <c r="B32" s="2" t="inlineStr">
        <is>
          <t>D2</t>
        </is>
      </c>
      <c r="C32" s="2" t="n">
        <v>5</v>
      </c>
      <c r="D32" s="2" t="inlineStr">
        <is>
          <t>PARTIAL</t>
        </is>
      </c>
      <c r="E32" s="5">
        <f>IF(B32="I1",AVERAGEIF('QA_Images'!$A$2:$A$53,A32,'QA_Images'!$T$2:$T$53)/100,IF(D32="FULL",1,IF(D32="PARTIAL",0.5,IF(D32="FAIL",0,""))))</f>
        <v/>
      </c>
      <c r="F32" s="5">
        <f>IF(E32="",0,C32*E32)</f>
        <v/>
      </c>
      <c r="G32" s="5">
        <f>IF(B32="I1",20*AVERAGEIF('QA_Images'!$A$2:$A$53,A32,'QA_Images'!$U$2:$U$53)/100,IF(D32="NOT_CHECKED",0,C32))</f>
        <v/>
      </c>
      <c r="H32" s="2" t="inlineStr">
        <is>
          <t>Description content covers verified design, product type, use case and constraints. Description covers motif/product type but remains templated and does not always map every verified constraint.</t>
        </is>
      </c>
      <c r="I32" s="2" t="inlineStr">
        <is>
          <t>evidence_batch_018_173</t>
        </is>
      </c>
      <c r="J32" s="2" t="inlineStr">
        <is>
          <t>ISSUE-0021; ISSUE-0022; ISSUE-0023; ISSUE-0024; ISSUE-0025</t>
        </is>
      </c>
    </row>
    <row r="33" ht="42" customHeight="1">
      <c r="A33" s="3" t="inlineStr">
        <is>
          <t>jeminise.com+pamnest-twin-halloween-comforter-set-with-sheets-5-pieces-evil</t>
        </is>
      </c>
      <c r="B33" s="3" t="inlineStr">
        <is>
          <t>I1</t>
        </is>
      </c>
      <c r="C33" s="3" t="n">
        <v>20</v>
      </c>
      <c r="D33" s="3" t="inlineStr">
        <is>
          <t>FULL</t>
        </is>
      </c>
      <c r="E33" s="7">
        <f>IF(B33="I1",AVERAGEIF('QA_Images'!$A$2:$A$53,A33,'QA_Images'!$T$2:$T$53)/100,IF(D33="FULL",1,IF(D33="PARTIAL",0.5,IF(D33="FAIL",0,""))))</f>
        <v/>
      </c>
      <c r="F33" s="7">
        <f>IF(E33="",0,C33*E33)</f>
        <v/>
      </c>
      <c r="G33" s="7">
        <f>IF(B33="I1",20*AVERAGEIF('QA_Images'!$A$2:$A$53,A33,'QA_Images'!$U$2:$U$53)/100,IF(D33="NOT_CHECKED",0,C33))</f>
        <v/>
      </c>
      <c r="H33" s="3" t="inlineStr">
        <is>
          <t>Image coverage, image observations and alt text quality, derived from QA_Images. Derived from average image QA score; see QA_Images.</t>
        </is>
      </c>
      <c r="I33" s="3" t="inlineStr">
        <is>
          <t>evidence_batch_018_173</t>
        </is>
      </c>
      <c r="J33" s="3" t="inlineStr">
        <is>
          <t>ISSUE-0021; ISSUE-0022; ISSUE-0023; ISSUE-0024; ISSUE-0025</t>
        </is>
      </c>
    </row>
    <row r="34" ht="42" customHeight="1">
      <c r="A34" s="2" t="inlineStr">
        <is>
          <t>jeminise.com+pamnest-twin-halloween-comforter-set-with-sheets-5-pieces-evil</t>
        </is>
      </c>
      <c r="B34" s="2" t="inlineStr">
        <is>
          <t>E1</t>
        </is>
      </c>
      <c r="C34" s="2" t="n">
        <v>5</v>
      </c>
      <c r="D34" s="2" t="inlineStr">
        <is>
          <t>PARTIAL</t>
        </is>
      </c>
      <c r="E34" s="5">
        <f>IF(B34="I1",AVERAGEIF('QA_Images'!$A$2:$A$53,A34,'QA_Images'!$T$2:$T$53)/100,IF(D34="FULL",1,IF(D34="PARTIAL",0.5,IF(D34="FAIL",0,""))))</f>
        <v/>
      </c>
      <c r="F34" s="5">
        <f>IF(E34="",0,C34*E34)</f>
        <v/>
      </c>
      <c r="G34" s="5">
        <f>IF(B34="I1",20*AVERAGEIF('QA_Images'!$A$2:$A$53,A34,'QA_Images'!$U$2:$U$53)/100,IF(D34="NOT_CHECKED",0,C34))</f>
        <v/>
      </c>
      <c r="H34" s="2" t="inlineStr">
        <is>
          <t>Evidence chain is traceable and limitations are explicitly separated from failures. Evidence chain is traceable, with admin-export limitation explicitly separated.</t>
        </is>
      </c>
      <c r="I34" s="2" t="inlineStr">
        <is>
          <t>evidence_batch_018_173</t>
        </is>
      </c>
      <c r="J34" s="2" t="inlineStr">
        <is>
          <t>ISSUE-0021; ISSUE-0022; ISSUE-0023; ISSUE-0024; ISSUE-0025</t>
        </is>
      </c>
    </row>
    <row r="35" ht="42" customHeight="1">
      <c r="A35" s="3" t="inlineStr">
        <is>
          <t>jeminise.com+personalized-and-romance-music-player-interface-quilt-with-photo-b8a3dc4155-b8a3dc4155</t>
        </is>
      </c>
      <c r="B35" s="3" t="inlineStr">
        <is>
          <t>P1</t>
        </is>
      </c>
      <c r="C35" s="3" t="n">
        <v>15</v>
      </c>
      <c r="D35" s="3" t="inlineStr">
        <is>
          <t>FULL</t>
        </is>
      </c>
      <c r="E35" s="7">
        <f>IF(B35="I1",AVERAGEIF('QA_Images'!$A$2:$A$53,A35,'QA_Images'!$T$2:$T$53)/100,IF(D35="FULL",1,IF(D35="PARTIAL",0.5,IF(D35="FAIL",0,""))))</f>
        <v/>
      </c>
      <c r="F35" s="7">
        <f>IF(E35="",0,C35*E35)</f>
        <v/>
      </c>
      <c r="G35" s="7">
        <f>IF(B35="I1",20*AVERAGEIF('QA_Images'!$A$2:$A$53,A35,'QA_Images'!$U$2:$U$53)/100,IF(D35="NOT_CHECKED",0,C35))</f>
        <v/>
      </c>
      <c r="H35" s="3" t="inlineStr">
        <is>
          <t>Product identity, handle, product ID, URL and canonical match source/live evidence. Product key/handle/product ID/canonical checked against frozen workbook and live product evidence.</t>
        </is>
      </c>
      <c r="I35" s="3" t="inlineStr">
        <is>
          <t>evidence_batch_018_174</t>
        </is>
      </c>
      <c r="J35" s="3" t="inlineStr">
        <is>
          <t>ISSUE-0031; ISSUE-0032; ISSUE-0033; ISSUE-0034</t>
        </is>
      </c>
    </row>
    <row r="36" ht="42" customHeight="1">
      <c r="A36" s="2" t="inlineStr">
        <is>
          <t>jeminise.com+personalized-and-romance-music-player-interface-quilt-with-photo-b8a3dc4155-b8a3dc4155</t>
        </is>
      </c>
      <c r="B36" s="2" t="inlineStr">
        <is>
          <t>P2</t>
        </is>
      </c>
      <c r="C36" s="2" t="n">
        <v>10</v>
      </c>
      <c r="D36" s="2" t="inlineStr">
        <is>
          <t>PARTIAL</t>
        </is>
      </c>
      <c r="E36" s="5">
        <f>IF(B36="I1",AVERAGEIF('QA_Images'!$A$2:$A$53,A36,'QA_Images'!$T$2:$T$53)/100,IF(D36="FULL",1,IF(D36="PARTIAL",0.5,IF(D36="FAIL",0,""))))</f>
        <v/>
      </c>
      <c r="F36" s="5">
        <f>IF(E36="",0,C36*E36)</f>
        <v/>
      </c>
      <c r="G36" s="5">
        <f>IF(B36="I1",20*AVERAGEIF('QA_Images'!$A$2:$A$53,A36,'QA_Images'!$U$2:$U$53)/100,IF(D36="NOT_CHECKED",0,C36))</f>
        <v/>
      </c>
      <c r="H36" s="2" t="inlineStr">
        <is>
          <t>Source product facts, variants, specifications and personalization claims are evidence-backed. Personalization/specification claims checked against storefront product.js and static customizer config.</t>
        </is>
      </c>
      <c r="I36" s="2" t="inlineStr">
        <is>
          <t>evidence_batch_018_174</t>
        </is>
      </c>
      <c r="J36" s="2" t="inlineStr">
        <is>
          <t>ISSUE-0031; ISSUE-0032; ISSUE-0033; ISSUE-0034</t>
        </is>
      </c>
    </row>
    <row r="37" ht="42" customHeight="1">
      <c r="A37" s="3" t="inlineStr">
        <is>
          <t>jeminise.com+personalized-and-romance-music-player-interface-quilt-with-photo-b8a3dc4155-b8a3dc4155</t>
        </is>
      </c>
      <c r="B37" s="3" t="inlineStr">
        <is>
          <t>K1</t>
        </is>
      </c>
      <c r="C37" s="3" t="n">
        <v>10</v>
      </c>
      <c r="D37" s="3" t="inlineStr">
        <is>
          <t>PARTIAL</t>
        </is>
      </c>
      <c r="E37" s="7">
        <f>IF(B37="I1",AVERAGEIF('QA_Images'!$A$2:$A$53,A37,'QA_Images'!$T$2:$T$53)/100,IF(D37="FULL",1,IF(D37="PARTIAL",0.5,IF(D37="FAIL",0,""))))</f>
        <v/>
      </c>
      <c r="F37" s="7">
        <f>IF(E37="",0,C37*E37)</f>
        <v/>
      </c>
      <c r="G37" s="7">
        <f>IF(B37="I1",20*AVERAGEIF('QA_Images'!$A$2:$A$53,A37,'QA_Images'!$U$2:$U$53)/100,IF(D37="NOT_CHECKED",0,C37))</f>
        <v/>
      </c>
      <c r="H37" s="3" t="inlineStr">
        <is>
          <t>Primary keyword aligns with product-level US purchase intent. Primary keyword rechecked against US product-level SERP comparables.</t>
        </is>
      </c>
      <c r="I37" s="3" t="inlineStr">
        <is>
          <t>evidence_batch_018_174</t>
        </is>
      </c>
      <c r="J37" s="3" t="inlineStr">
        <is>
          <t>ISSUE-0031; ISSUE-0032; ISSUE-0033; ISSUE-0034</t>
        </is>
      </c>
    </row>
    <row r="38" ht="42" customHeight="1">
      <c r="A38" s="2" t="inlineStr">
        <is>
          <t>jeminise.com+personalized-and-romance-music-player-interface-quilt-with-photo-b8a3dc4155-b8a3dc4155</t>
        </is>
      </c>
      <c r="B38" s="2" t="inlineStr">
        <is>
          <t>K2</t>
        </is>
      </c>
      <c r="C38" s="2" t="n">
        <v>5</v>
      </c>
      <c r="D38" s="2" t="inlineStr">
        <is>
          <t>PARTIAL</t>
        </is>
      </c>
      <c r="E38" s="5">
        <f>IF(B38="I1",AVERAGEIF('QA_Images'!$A$2:$A$53,A38,'QA_Images'!$T$2:$T$53)/100,IF(D38="FULL",1,IF(D38="PARTIAL",0.5,IF(D38="FAIL",0,""))))</f>
        <v/>
      </c>
      <c r="F38" s="5">
        <f>IF(E38="",0,C38*E38)</f>
        <v/>
      </c>
      <c r="G38" s="5">
        <f>IF(B38="I1",20*AVERAGEIF('QA_Images'!$A$2:$A$53,A38,'QA_Images'!$U$2:$U$53)/100,IF(D38="NOT_CHECKED",0,C38))</f>
        <v/>
      </c>
      <c r="H38" s="2" t="inlineStr">
        <is>
          <t>Intent/cannibalization check distinguishes nearby products. Nearby product cluster has overlap risk, so intent distinction remains only partial.</t>
        </is>
      </c>
      <c r="I38" s="2" t="inlineStr">
        <is>
          <t>evidence_batch_018_174</t>
        </is>
      </c>
      <c r="J38" s="2" t="inlineStr">
        <is>
          <t>ISSUE-0031; ISSUE-0032; ISSUE-0033; ISSUE-0034</t>
        </is>
      </c>
    </row>
    <row r="39" ht="42" customHeight="1">
      <c r="A39" s="3" t="inlineStr">
        <is>
          <t>jeminise.com+personalized-and-romance-music-player-interface-quilt-with-photo-b8a3dc4155-b8a3dc4155</t>
        </is>
      </c>
      <c r="B39" s="3" t="inlineStr">
        <is>
          <t>K3</t>
        </is>
      </c>
      <c r="C39" s="3" t="n">
        <v>5</v>
      </c>
      <c r="D39" s="3" t="inlineStr">
        <is>
          <t>PARTIAL</t>
        </is>
      </c>
      <c r="E39" s="7">
        <f>IF(B39="I1",AVERAGEIF('QA_Images'!$A$2:$A$53,A39,'QA_Images'!$T$2:$T$53)/100,IF(D39="FULL",1,IF(D39="PARTIAL",0.5,IF(D39="FAIL",0,""))))</f>
        <v/>
      </c>
      <c r="F39" s="7">
        <f>IF(E39="",0,C39*E39)</f>
        <v/>
      </c>
      <c r="G39" s="7">
        <f>IF(B39="I1",20*AVERAGEIF('QA_Images'!$A$2:$A$53,A39,'QA_Images'!$U$2:$U$53)/100,IF(D39="NOT_CHECKED",0,C39))</f>
        <v/>
      </c>
      <c r="H39" s="3" t="inlineStr">
        <is>
          <t>Keyword evidence is supported by SERP comparables without unsupported volume claims. Evidence is public SERP only; no Search Console, keyword volume or customer-search corpus provided.</t>
        </is>
      </c>
      <c r="I39" s="3" t="inlineStr">
        <is>
          <t>evidence_batch_018_174</t>
        </is>
      </c>
      <c r="J39" s="3" t="inlineStr">
        <is>
          <t>ISSUE-0031; ISSUE-0032; ISSUE-0033; ISSUE-0034</t>
        </is>
      </c>
    </row>
    <row r="40" ht="42" customHeight="1">
      <c r="A40" s="2" t="inlineStr">
        <is>
          <t>jeminise.com+personalized-and-romance-music-player-interface-quilt-with-photo-b8a3dc4155-b8a3dc4155</t>
        </is>
      </c>
      <c r="B40" s="2" t="inlineStr">
        <is>
          <t>T1</t>
        </is>
      </c>
      <c r="C40" s="2" t="n">
        <v>10</v>
      </c>
      <c r="D40" s="2" t="inlineStr">
        <is>
          <t>PARTIAL</t>
        </is>
      </c>
      <c r="E40" s="5">
        <f>IF(B40="I1",AVERAGEIF('QA_Images'!$A$2:$A$53,A40,'QA_Images'!$T$2:$T$53)/100,IF(D40="FULL",1,IF(D40="PARTIAL",0.5,IF(D40="FAIL",0,""))))</f>
        <v/>
      </c>
      <c r="F40" s="5">
        <f>IF(E40="",0,C40*E40)</f>
        <v/>
      </c>
      <c r="G40" s="5">
        <f>IF(B40="I1",20*AVERAGEIF('QA_Images'!$A$2:$A$53,A40,'QA_Images'!$U$2:$U$53)/100,IF(D40="NOT_CHECKED",0,C40))</f>
        <v/>
      </c>
      <c r="H40" s="2" t="inlineStr">
        <is>
          <t>SEO title and H1 are relevant, specific and grounded in visible/source facts. Proposed H1 is blank, so the title/H1 pair cannot be fully verified.</t>
        </is>
      </c>
      <c r="I40" s="2" t="inlineStr">
        <is>
          <t>evidence_batch_018_174</t>
        </is>
      </c>
      <c r="J40" s="2" t="inlineStr">
        <is>
          <t>ISSUE-0031; ISSUE-0032; ISSUE-0033; ISSUE-0034</t>
        </is>
      </c>
    </row>
    <row r="41" ht="42" customHeight="1">
      <c r="A41" s="3" t="inlineStr">
        <is>
          <t>jeminise.com+personalized-and-romance-music-player-interface-quilt-with-photo-b8a3dc4155-b8a3dc4155</t>
        </is>
      </c>
      <c r="B41" s="3" t="inlineStr">
        <is>
          <t>T2</t>
        </is>
      </c>
      <c r="C41" s="3" t="n">
        <v>5</v>
      </c>
      <c r="D41" s="3" t="inlineStr">
        <is>
          <t>PARTIAL</t>
        </is>
      </c>
      <c r="E41" s="7">
        <f>IF(B41="I1",AVERAGEIF('QA_Images'!$A$2:$A$53,A41,'QA_Images'!$T$2:$T$53)/100,IF(D41="FULL",1,IF(D41="PARTIAL",0.5,IF(D41="FAIL",0,""))))</f>
        <v/>
      </c>
      <c r="F41" s="7">
        <f>IF(E41="",0,C41*E41)</f>
        <v/>
      </c>
      <c r="G41" s="7">
        <f>IF(B41="I1",20*AVERAGEIF('QA_Images'!$A$2:$A$53,A41,'QA_Images'!$U$2:$U$53)/100,IF(D41="NOT_CHECKED",0,C41))</f>
        <v/>
      </c>
      <c r="H41" s="3" t="inlineStr">
        <is>
          <t>Meta description is concise, publish-ready and avoids unsupported claims. Meta description checked for length, specificity and supportable claims.</t>
        </is>
      </c>
      <c r="I41" s="3" t="inlineStr">
        <is>
          <t>evidence_batch_018_174</t>
        </is>
      </c>
      <c r="J41" s="3" t="inlineStr">
        <is>
          <t>ISSUE-0031; ISSUE-0032; ISSUE-0033; ISSUE-0034</t>
        </is>
      </c>
    </row>
    <row r="42" ht="42" customHeight="1">
      <c r="A42" s="2" t="inlineStr">
        <is>
          <t>jeminise.com+personalized-and-romance-music-player-interface-quilt-with-photo-b8a3dc4155-b8a3dc4155</t>
        </is>
      </c>
      <c r="B42" s="2" t="inlineStr">
        <is>
          <t>D1</t>
        </is>
      </c>
      <c r="C42" s="2" t="n">
        <v>10</v>
      </c>
      <c r="D42" s="2" t="inlineStr">
        <is>
          <t>FAIL</t>
        </is>
      </c>
      <c r="E42" s="5">
        <f>IF(B42="I1",AVERAGEIF('QA_Images'!$A$2:$A$53,A42,'QA_Images'!$T$2:$T$53)/100,IF(D42="FULL",1,IF(D42="PARTIAL",0.5,IF(D42="FAIL",0,""))))</f>
        <v/>
      </c>
      <c r="F42" s="5">
        <f>IF(E42="",0,C42*E42)</f>
        <v/>
      </c>
      <c r="G42" s="5">
        <f>IF(B42="I1",20*AVERAGEIF('QA_Images'!$A$2:$A$53,A42,'QA_Images'!$U$2:$U$53)/100,IF(D42="NOT_CHECKED",0,C42))</f>
        <v/>
      </c>
      <c r="H42" s="2" t="inlineStr">
        <is>
          <t>Description HTML is publish-ready and free of internal draft/QA instructions. Description HTML still contains internal QA/import language.</t>
        </is>
      </c>
      <c r="I42" s="2" t="inlineStr">
        <is>
          <t>evidence_batch_018_174</t>
        </is>
      </c>
      <c r="J42" s="2" t="inlineStr">
        <is>
          <t>ISSUE-0031; ISSUE-0032; ISSUE-0033; ISSUE-0034</t>
        </is>
      </c>
    </row>
    <row r="43" ht="42" customHeight="1">
      <c r="A43" s="3" t="inlineStr">
        <is>
          <t>jeminise.com+personalized-and-romance-music-player-interface-quilt-with-photo-b8a3dc4155-b8a3dc4155</t>
        </is>
      </c>
      <c r="B43" s="3" t="inlineStr">
        <is>
          <t>D2</t>
        </is>
      </c>
      <c r="C43" s="3" t="n">
        <v>5</v>
      </c>
      <c r="D43" s="3" t="inlineStr">
        <is>
          <t>PARTIAL</t>
        </is>
      </c>
      <c r="E43" s="7">
        <f>IF(B43="I1",AVERAGEIF('QA_Images'!$A$2:$A$53,A43,'QA_Images'!$T$2:$T$53)/100,IF(D43="FULL",1,IF(D43="PARTIAL",0.5,IF(D43="FAIL",0,""))))</f>
        <v/>
      </c>
      <c r="F43" s="7">
        <f>IF(E43="",0,C43*E43)</f>
        <v/>
      </c>
      <c r="G43" s="7">
        <f>IF(B43="I1",20*AVERAGEIF('QA_Images'!$A$2:$A$53,A43,'QA_Images'!$U$2:$U$53)/100,IF(D43="NOT_CHECKED",0,C43))</f>
        <v/>
      </c>
      <c r="H43" s="3" t="inlineStr">
        <is>
          <t>Description content covers verified design, product type, use case and constraints. Description covers motif/product type but remains templated and does not always map every verified constraint.</t>
        </is>
      </c>
      <c r="I43" s="3" t="inlineStr">
        <is>
          <t>evidence_batch_018_174</t>
        </is>
      </c>
      <c r="J43" s="3" t="inlineStr">
        <is>
          <t>ISSUE-0031; ISSUE-0032; ISSUE-0033; ISSUE-0034</t>
        </is>
      </c>
    </row>
    <row r="44" ht="42" customHeight="1">
      <c r="A44" s="2" t="inlineStr">
        <is>
          <t>jeminise.com+personalized-and-romance-music-player-interface-quilt-with-photo-b8a3dc4155-b8a3dc4155</t>
        </is>
      </c>
      <c r="B44" s="2" t="inlineStr">
        <is>
          <t>I1</t>
        </is>
      </c>
      <c r="C44" s="2" t="n">
        <v>20</v>
      </c>
      <c r="D44" s="2" t="inlineStr">
        <is>
          <t>FULL</t>
        </is>
      </c>
      <c r="E44" s="5">
        <f>IF(B44="I1",AVERAGEIF('QA_Images'!$A$2:$A$53,A44,'QA_Images'!$T$2:$T$53)/100,IF(D44="FULL",1,IF(D44="PARTIAL",0.5,IF(D44="FAIL",0,""))))</f>
        <v/>
      </c>
      <c r="F44" s="5">
        <f>IF(E44="",0,C44*E44)</f>
        <v/>
      </c>
      <c r="G44" s="5">
        <f>IF(B44="I1",20*AVERAGEIF('QA_Images'!$A$2:$A$53,A44,'QA_Images'!$U$2:$U$53)/100,IF(D44="NOT_CHECKED",0,C44))</f>
        <v/>
      </c>
      <c r="H44" s="2" t="inlineStr">
        <is>
          <t>Image coverage, image observations and alt text quality, derived from QA_Images. Derived from average image QA score; see QA_Images.</t>
        </is>
      </c>
      <c r="I44" s="2" t="inlineStr">
        <is>
          <t>evidence_batch_018_174</t>
        </is>
      </c>
      <c r="J44" s="2" t="inlineStr">
        <is>
          <t>ISSUE-0031; ISSUE-0032; ISSUE-0033; ISSUE-0034</t>
        </is>
      </c>
    </row>
    <row r="45" ht="42" customHeight="1">
      <c r="A45" s="3" t="inlineStr">
        <is>
          <t>jeminise.com+personalized-and-romance-music-player-interface-quilt-with-photo-b8a3dc4155-b8a3dc4155</t>
        </is>
      </c>
      <c r="B45" s="3" t="inlineStr">
        <is>
          <t>E1</t>
        </is>
      </c>
      <c r="C45" s="3" t="n">
        <v>5</v>
      </c>
      <c r="D45" s="3" t="inlineStr">
        <is>
          <t>PARTIAL</t>
        </is>
      </c>
      <c r="E45" s="7">
        <f>IF(B45="I1",AVERAGEIF('QA_Images'!$A$2:$A$53,A45,'QA_Images'!$T$2:$T$53)/100,IF(D45="FULL",1,IF(D45="PARTIAL",0.5,IF(D45="FAIL",0,""))))</f>
        <v/>
      </c>
      <c r="F45" s="7">
        <f>IF(E45="",0,C45*E45)</f>
        <v/>
      </c>
      <c r="G45" s="7">
        <f>IF(B45="I1",20*AVERAGEIF('QA_Images'!$A$2:$A$53,A45,'QA_Images'!$U$2:$U$53)/100,IF(D45="NOT_CHECKED",0,C45))</f>
        <v/>
      </c>
      <c r="H45" s="3" t="inlineStr">
        <is>
          <t>Evidence chain is traceable and limitations are explicitly separated from failures. Evidence chain is traceable, with admin-export limitation explicitly separated.</t>
        </is>
      </c>
      <c r="I45" s="3" t="inlineStr">
        <is>
          <t>evidence_batch_018_174</t>
        </is>
      </c>
      <c r="J45" s="3" t="inlineStr">
        <is>
          <t>ISSUE-0031; ISSUE-0032; ISSUE-0033; ISSUE-0034</t>
        </is>
      </c>
    </row>
    <row r="46" ht="42" customHeight="1">
      <c r="A46" s="2" t="inlineStr">
        <is>
          <t>jeminise.com+personalized-autumn-tree-of-life-birds-flowers-quilt-sets-radiant</t>
        </is>
      </c>
      <c r="B46" s="2" t="inlineStr">
        <is>
          <t>P1</t>
        </is>
      </c>
      <c r="C46" s="2" t="n">
        <v>15</v>
      </c>
      <c r="D46" s="2" t="inlineStr">
        <is>
          <t>FULL</t>
        </is>
      </c>
      <c r="E46" s="5">
        <f>IF(B46="I1",AVERAGEIF('QA_Images'!$A$2:$A$53,A46,'QA_Images'!$T$2:$T$53)/100,IF(D46="FULL",1,IF(D46="PARTIAL",0.5,IF(D46="FAIL",0,""))))</f>
        <v/>
      </c>
      <c r="F46" s="5">
        <f>IF(E46="",0,C46*E46)</f>
        <v/>
      </c>
      <c r="G46" s="5">
        <f>IF(B46="I1",20*AVERAGEIF('QA_Images'!$A$2:$A$53,A46,'QA_Images'!$U$2:$U$53)/100,IF(D46="NOT_CHECKED",0,C46))</f>
        <v/>
      </c>
      <c r="H46" s="2" t="inlineStr">
        <is>
          <t>Product identity, handle, product ID, URL and canonical match source/live evidence. Product key/handle/product ID/canonical checked against frozen workbook and live product evidence.</t>
        </is>
      </c>
      <c r="I46" s="2" t="inlineStr">
        <is>
          <t>evidence_batch_018_175</t>
        </is>
      </c>
      <c r="J46" s="2" t="inlineStr">
        <is>
          <t>ISSUE-0041; ISSUE-0042; ISSUE-0043; ISSUE-0044; ISSUE-0045</t>
        </is>
      </c>
    </row>
    <row r="47" ht="42" customHeight="1">
      <c r="A47" s="3" t="inlineStr">
        <is>
          <t>jeminise.com+personalized-autumn-tree-of-life-birds-flowers-quilt-sets-radiant</t>
        </is>
      </c>
      <c r="B47" s="3" t="inlineStr">
        <is>
          <t>P2</t>
        </is>
      </c>
      <c r="C47" s="3" t="n">
        <v>10</v>
      </c>
      <c r="D47" s="3" t="inlineStr">
        <is>
          <t>PARTIAL</t>
        </is>
      </c>
      <c r="E47" s="7">
        <f>IF(B47="I1",AVERAGEIF('QA_Images'!$A$2:$A$53,A47,'QA_Images'!$T$2:$T$53)/100,IF(D47="FULL",1,IF(D47="PARTIAL",0.5,IF(D47="FAIL",0,""))))</f>
        <v/>
      </c>
      <c r="F47" s="7">
        <f>IF(E47="",0,C47*E47)</f>
        <v/>
      </c>
      <c r="G47" s="7">
        <f>IF(B47="I1",20*AVERAGEIF('QA_Images'!$A$2:$A$53,A47,'QA_Images'!$U$2:$U$53)/100,IF(D47="NOT_CHECKED",0,C47))</f>
        <v/>
      </c>
      <c r="H47" s="3" t="inlineStr">
        <is>
          <t>Source product facts, variants, specifications and personalization claims are evidence-backed. Personalization/specification claims checked against storefront product.js and static customizer config.</t>
        </is>
      </c>
      <c r="I47" s="3" t="inlineStr">
        <is>
          <t>evidence_batch_018_175</t>
        </is>
      </c>
      <c r="J47" s="3" t="inlineStr">
        <is>
          <t>ISSUE-0041; ISSUE-0042; ISSUE-0043; ISSUE-0044; ISSUE-0045</t>
        </is>
      </c>
    </row>
    <row r="48" ht="42" customHeight="1">
      <c r="A48" s="2" t="inlineStr">
        <is>
          <t>jeminise.com+personalized-autumn-tree-of-life-birds-flowers-quilt-sets-radiant</t>
        </is>
      </c>
      <c r="B48" s="2" t="inlineStr">
        <is>
          <t>K1</t>
        </is>
      </c>
      <c r="C48" s="2" t="n">
        <v>10</v>
      </c>
      <c r="D48" s="2" t="inlineStr">
        <is>
          <t>PARTIAL</t>
        </is>
      </c>
      <c r="E48" s="5">
        <f>IF(B48="I1",AVERAGEIF('QA_Images'!$A$2:$A$53,A48,'QA_Images'!$T$2:$T$53)/100,IF(D48="FULL",1,IF(D48="PARTIAL",0.5,IF(D48="FAIL",0,""))))</f>
        <v/>
      </c>
      <c r="F48" s="5">
        <f>IF(E48="",0,C48*E48)</f>
        <v/>
      </c>
      <c r="G48" s="5">
        <f>IF(B48="I1",20*AVERAGEIF('QA_Images'!$A$2:$A$53,A48,'QA_Images'!$U$2:$U$53)/100,IF(D48="NOT_CHECKED",0,C48))</f>
        <v/>
      </c>
      <c r="H48" s="2" t="inlineStr">
        <is>
          <t>Primary keyword aligns with product-level US purchase intent. Primary keyword rechecked against US product-level SERP comparables.</t>
        </is>
      </c>
      <c r="I48" s="2" t="inlineStr">
        <is>
          <t>evidence_batch_018_175</t>
        </is>
      </c>
      <c r="J48" s="2" t="inlineStr">
        <is>
          <t>ISSUE-0041; ISSUE-0042; ISSUE-0043; ISSUE-0044; ISSUE-0045</t>
        </is>
      </c>
    </row>
    <row r="49" ht="42" customHeight="1">
      <c r="A49" s="3" t="inlineStr">
        <is>
          <t>jeminise.com+personalized-autumn-tree-of-life-birds-flowers-quilt-sets-radiant</t>
        </is>
      </c>
      <c r="B49" s="3" t="inlineStr">
        <is>
          <t>K2</t>
        </is>
      </c>
      <c r="C49" s="3" t="n">
        <v>5</v>
      </c>
      <c r="D49" s="3" t="inlineStr">
        <is>
          <t>PARTIAL</t>
        </is>
      </c>
      <c r="E49" s="7">
        <f>IF(B49="I1",AVERAGEIF('QA_Images'!$A$2:$A$53,A49,'QA_Images'!$T$2:$T$53)/100,IF(D49="FULL",1,IF(D49="PARTIAL",0.5,IF(D49="FAIL",0,""))))</f>
        <v/>
      </c>
      <c r="F49" s="7">
        <f>IF(E49="",0,C49*E49)</f>
        <v/>
      </c>
      <c r="G49" s="7">
        <f>IF(B49="I1",20*AVERAGEIF('QA_Images'!$A$2:$A$53,A49,'QA_Images'!$U$2:$U$53)/100,IF(D49="NOT_CHECKED",0,C49))</f>
        <v/>
      </c>
      <c r="H49" s="3" t="inlineStr">
        <is>
          <t>Intent/cannibalization check distinguishes nearby products. Nearby product cluster has overlap risk, so intent distinction remains only partial.</t>
        </is>
      </c>
      <c r="I49" s="3" t="inlineStr">
        <is>
          <t>evidence_batch_018_175</t>
        </is>
      </c>
      <c r="J49" s="3" t="inlineStr">
        <is>
          <t>ISSUE-0041; ISSUE-0042; ISSUE-0043; ISSUE-0044; ISSUE-0045</t>
        </is>
      </c>
    </row>
    <row r="50" ht="42" customHeight="1">
      <c r="A50" s="2" t="inlineStr">
        <is>
          <t>jeminise.com+personalized-autumn-tree-of-life-birds-flowers-quilt-sets-radiant</t>
        </is>
      </c>
      <c r="B50" s="2" t="inlineStr">
        <is>
          <t>K3</t>
        </is>
      </c>
      <c r="C50" s="2" t="n">
        <v>5</v>
      </c>
      <c r="D50" s="2" t="inlineStr">
        <is>
          <t>PARTIAL</t>
        </is>
      </c>
      <c r="E50" s="5">
        <f>IF(B50="I1",AVERAGEIF('QA_Images'!$A$2:$A$53,A50,'QA_Images'!$T$2:$T$53)/100,IF(D50="FULL",1,IF(D50="PARTIAL",0.5,IF(D50="FAIL",0,""))))</f>
        <v/>
      </c>
      <c r="F50" s="5">
        <f>IF(E50="",0,C50*E50)</f>
        <v/>
      </c>
      <c r="G50" s="5">
        <f>IF(B50="I1",20*AVERAGEIF('QA_Images'!$A$2:$A$53,A50,'QA_Images'!$U$2:$U$53)/100,IF(D50="NOT_CHECKED",0,C50))</f>
        <v/>
      </c>
      <c r="H50" s="2" t="inlineStr">
        <is>
          <t>Keyword evidence is supported by SERP comparables without unsupported volume claims. Evidence is public SERP only; no Search Console, keyword volume or customer-search corpus provided.</t>
        </is>
      </c>
      <c r="I50" s="2" t="inlineStr">
        <is>
          <t>evidence_batch_018_175</t>
        </is>
      </c>
      <c r="J50" s="2" t="inlineStr">
        <is>
          <t>ISSUE-0041; ISSUE-0042; ISSUE-0043; ISSUE-0044; ISSUE-0045</t>
        </is>
      </c>
    </row>
    <row r="51" ht="42" customHeight="1">
      <c r="A51" s="3" t="inlineStr">
        <is>
          <t>jeminise.com+personalized-autumn-tree-of-life-birds-flowers-quilt-sets-radiant</t>
        </is>
      </c>
      <c r="B51" s="3" t="inlineStr">
        <is>
          <t>T1</t>
        </is>
      </c>
      <c r="C51" s="3" t="n">
        <v>10</v>
      </c>
      <c r="D51" s="3" t="inlineStr">
        <is>
          <t>PARTIAL</t>
        </is>
      </c>
      <c r="E51" s="7">
        <f>IF(B51="I1",AVERAGEIF('QA_Images'!$A$2:$A$53,A51,'QA_Images'!$T$2:$T$53)/100,IF(D51="FULL",1,IF(D51="PARTIAL",0.5,IF(D51="FAIL",0,""))))</f>
        <v/>
      </c>
      <c r="F51" s="7">
        <f>IF(E51="",0,C51*E51)</f>
        <v/>
      </c>
      <c r="G51" s="7">
        <f>IF(B51="I1",20*AVERAGEIF('QA_Images'!$A$2:$A$53,A51,'QA_Images'!$U$2:$U$53)/100,IF(D51="NOT_CHECKED",0,C51))</f>
        <v/>
      </c>
      <c r="H51" s="3" t="inlineStr">
        <is>
          <t>SEO title and H1 are relevant, specific and grounded in visible/source facts. Proposed H1 is blank, so the title/H1 pair cannot be fully verified.</t>
        </is>
      </c>
      <c r="I51" s="3" t="inlineStr">
        <is>
          <t>evidence_batch_018_175</t>
        </is>
      </c>
      <c r="J51" s="3" t="inlineStr">
        <is>
          <t>ISSUE-0041; ISSUE-0042; ISSUE-0043; ISSUE-0044; ISSUE-0045</t>
        </is>
      </c>
    </row>
    <row r="52" ht="42" customHeight="1">
      <c r="A52" s="2" t="inlineStr">
        <is>
          <t>jeminise.com+personalized-autumn-tree-of-life-birds-flowers-quilt-sets-radiant</t>
        </is>
      </c>
      <c r="B52" s="2" t="inlineStr">
        <is>
          <t>T2</t>
        </is>
      </c>
      <c r="C52" s="2" t="n">
        <v>5</v>
      </c>
      <c r="D52" s="2" t="inlineStr">
        <is>
          <t>PARTIAL</t>
        </is>
      </c>
      <c r="E52" s="5">
        <f>IF(B52="I1",AVERAGEIF('QA_Images'!$A$2:$A$53,A52,'QA_Images'!$T$2:$T$53)/100,IF(D52="FULL",1,IF(D52="PARTIAL",0.5,IF(D52="FAIL",0,""))))</f>
        <v/>
      </c>
      <c r="F52" s="5">
        <f>IF(E52="",0,C52*E52)</f>
        <v/>
      </c>
      <c r="G52" s="5">
        <f>IF(B52="I1",20*AVERAGEIF('QA_Images'!$A$2:$A$53,A52,'QA_Images'!$U$2:$U$53)/100,IF(D52="NOT_CHECKED",0,C52))</f>
        <v/>
      </c>
      <c r="H52" s="2" t="inlineStr">
        <is>
          <t>Meta description is concise, publish-ready and avoids unsupported claims. Meta description checked for length, specificity and supportable claims.</t>
        </is>
      </c>
      <c r="I52" s="2" t="inlineStr">
        <is>
          <t>evidence_batch_018_175</t>
        </is>
      </c>
      <c r="J52" s="2" t="inlineStr">
        <is>
          <t>ISSUE-0041; ISSUE-0042; ISSUE-0043; ISSUE-0044; ISSUE-0045</t>
        </is>
      </c>
    </row>
    <row r="53" ht="42" customHeight="1">
      <c r="A53" s="3" t="inlineStr">
        <is>
          <t>jeminise.com+personalized-autumn-tree-of-life-birds-flowers-quilt-sets-radiant</t>
        </is>
      </c>
      <c r="B53" s="3" t="inlineStr">
        <is>
          <t>D1</t>
        </is>
      </c>
      <c r="C53" s="3" t="n">
        <v>10</v>
      </c>
      <c r="D53" s="3" t="inlineStr">
        <is>
          <t>FAIL</t>
        </is>
      </c>
      <c r="E53" s="7">
        <f>IF(B53="I1",AVERAGEIF('QA_Images'!$A$2:$A$53,A53,'QA_Images'!$T$2:$T$53)/100,IF(D53="FULL",1,IF(D53="PARTIAL",0.5,IF(D53="FAIL",0,""))))</f>
        <v/>
      </c>
      <c r="F53" s="7">
        <f>IF(E53="",0,C53*E53)</f>
        <v/>
      </c>
      <c r="G53" s="7">
        <f>IF(B53="I1",20*AVERAGEIF('QA_Images'!$A$2:$A$53,A53,'QA_Images'!$U$2:$U$53)/100,IF(D53="NOT_CHECKED",0,C53))</f>
        <v/>
      </c>
      <c r="H53" s="3" t="inlineStr">
        <is>
          <t>Description HTML is publish-ready and free of internal draft/QA instructions. Description HTML still contains internal QA/import language.</t>
        </is>
      </c>
      <c r="I53" s="3" t="inlineStr">
        <is>
          <t>evidence_batch_018_175</t>
        </is>
      </c>
      <c r="J53" s="3" t="inlineStr">
        <is>
          <t>ISSUE-0041; ISSUE-0042; ISSUE-0043; ISSUE-0044; ISSUE-0045</t>
        </is>
      </c>
    </row>
    <row r="54" ht="42" customHeight="1">
      <c r="A54" s="2" t="inlineStr">
        <is>
          <t>jeminise.com+personalized-autumn-tree-of-life-birds-flowers-quilt-sets-radiant</t>
        </is>
      </c>
      <c r="B54" s="2" t="inlineStr">
        <is>
          <t>D2</t>
        </is>
      </c>
      <c r="C54" s="2" t="n">
        <v>5</v>
      </c>
      <c r="D54" s="2" t="inlineStr">
        <is>
          <t>PARTIAL</t>
        </is>
      </c>
      <c r="E54" s="5">
        <f>IF(B54="I1",AVERAGEIF('QA_Images'!$A$2:$A$53,A54,'QA_Images'!$T$2:$T$53)/100,IF(D54="FULL",1,IF(D54="PARTIAL",0.5,IF(D54="FAIL",0,""))))</f>
        <v/>
      </c>
      <c r="F54" s="5">
        <f>IF(E54="",0,C54*E54)</f>
        <v/>
      </c>
      <c r="G54" s="5">
        <f>IF(B54="I1",20*AVERAGEIF('QA_Images'!$A$2:$A$53,A54,'QA_Images'!$U$2:$U$53)/100,IF(D54="NOT_CHECKED",0,C54))</f>
        <v/>
      </c>
      <c r="H54" s="2" t="inlineStr">
        <is>
          <t>Description content covers verified design, product type, use case and constraints. Description covers motif/product type but remains templated and does not always map every verified constraint.</t>
        </is>
      </c>
      <c r="I54" s="2" t="inlineStr">
        <is>
          <t>evidence_batch_018_175</t>
        </is>
      </c>
      <c r="J54" s="2" t="inlineStr">
        <is>
          <t>ISSUE-0041; ISSUE-0042; ISSUE-0043; ISSUE-0044; ISSUE-0045</t>
        </is>
      </c>
    </row>
    <row r="55" ht="42" customHeight="1">
      <c r="A55" s="3" t="inlineStr">
        <is>
          <t>jeminise.com+personalized-autumn-tree-of-life-birds-flowers-quilt-sets-radiant</t>
        </is>
      </c>
      <c r="B55" s="3" t="inlineStr">
        <is>
          <t>I1</t>
        </is>
      </c>
      <c r="C55" s="3" t="n">
        <v>20</v>
      </c>
      <c r="D55" s="3" t="inlineStr">
        <is>
          <t>FULL</t>
        </is>
      </c>
      <c r="E55" s="7">
        <f>IF(B55="I1",AVERAGEIF('QA_Images'!$A$2:$A$53,A55,'QA_Images'!$T$2:$T$53)/100,IF(D55="FULL",1,IF(D55="PARTIAL",0.5,IF(D55="FAIL",0,""))))</f>
        <v/>
      </c>
      <c r="F55" s="7">
        <f>IF(E55="",0,C55*E55)</f>
        <v/>
      </c>
      <c r="G55" s="7">
        <f>IF(B55="I1",20*AVERAGEIF('QA_Images'!$A$2:$A$53,A55,'QA_Images'!$U$2:$U$53)/100,IF(D55="NOT_CHECKED",0,C55))</f>
        <v/>
      </c>
      <c r="H55" s="3" t="inlineStr">
        <is>
          <t>Image coverage, image observations and alt text quality, derived from QA_Images. Derived from average image QA score; see QA_Images.</t>
        </is>
      </c>
      <c r="I55" s="3" t="inlineStr">
        <is>
          <t>evidence_batch_018_175</t>
        </is>
      </c>
      <c r="J55" s="3" t="inlineStr">
        <is>
          <t>ISSUE-0041; ISSUE-0042; ISSUE-0043; ISSUE-0044; ISSUE-0045</t>
        </is>
      </c>
    </row>
    <row r="56" ht="42" customHeight="1">
      <c r="A56" s="2" t="inlineStr">
        <is>
          <t>jeminise.com+personalized-autumn-tree-of-life-birds-flowers-quilt-sets-radiant</t>
        </is>
      </c>
      <c r="B56" s="2" t="inlineStr">
        <is>
          <t>E1</t>
        </is>
      </c>
      <c r="C56" s="2" t="n">
        <v>5</v>
      </c>
      <c r="D56" s="2" t="inlineStr">
        <is>
          <t>PARTIAL</t>
        </is>
      </c>
      <c r="E56" s="5">
        <f>IF(B56="I1",AVERAGEIF('QA_Images'!$A$2:$A$53,A56,'QA_Images'!$T$2:$T$53)/100,IF(D56="FULL",1,IF(D56="PARTIAL",0.5,IF(D56="FAIL",0,""))))</f>
        <v/>
      </c>
      <c r="F56" s="5">
        <f>IF(E56="",0,C56*E56)</f>
        <v/>
      </c>
      <c r="G56" s="5">
        <f>IF(B56="I1",20*AVERAGEIF('QA_Images'!$A$2:$A$53,A56,'QA_Images'!$U$2:$U$53)/100,IF(D56="NOT_CHECKED",0,C56))</f>
        <v/>
      </c>
      <c r="H56" s="2" t="inlineStr">
        <is>
          <t>Evidence chain is traceable and limitations are explicitly separated from failures. Evidence chain is traceable, with admin-export limitation explicitly separated.</t>
        </is>
      </c>
      <c r="I56" s="2" t="inlineStr">
        <is>
          <t>evidence_batch_018_175</t>
        </is>
      </c>
      <c r="J56" s="2" t="inlineStr">
        <is>
          <t>ISSUE-0041; ISSUE-0042; ISSUE-0043; ISSUE-0044; ISSUE-0045</t>
        </is>
      </c>
    </row>
    <row r="57" ht="42" customHeight="1">
      <c r="A57" s="3" t="inlineStr">
        <is>
          <t>jeminise.com+personalized-baseball-bedding-full-size-flag-custom-name-d-design-01</t>
        </is>
      </c>
      <c r="B57" s="3" t="inlineStr">
        <is>
          <t>P1</t>
        </is>
      </c>
      <c r="C57" s="3" t="n">
        <v>15</v>
      </c>
      <c r="D57" s="3" t="inlineStr">
        <is>
          <t>FULL</t>
        </is>
      </c>
      <c r="E57" s="7">
        <f>IF(B57="I1",AVERAGEIF('QA_Images'!$A$2:$A$53,A57,'QA_Images'!$T$2:$T$53)/100,IF(D57="FULL",1,IF(D57="PARTIAL",0.5,IF(D57="FAIL",0,""))))</f>
        <v/>
      </c>
      <c r="F57" s="7">
        <f>IF(E57="",0,C57*E57)</f>
        <v/>
      </c>
      <c r="G57" s="7">
        <f>IF(B57="I1",20*AVERAGEIF('QA_Images'!$A$2:$A$53,A57,'QA_Images'!$U$2:$U$53)/100,IF(D57="NOT_CHECKED",0,C57))</f>
        <v/>
      </c>
      <c r="H57" s="3" t="inlineStr">
        <is>
          <t>Product identity, handle, product ID, URL and canonical match source/live evidence. Product key/handle/product ID/canonical checked against frozen workbook and live product evidence.</t>
        </is>
      </c>
      <c r="I57" s="3" t="inlineStr">
        <is>
          <t>evidence_batch_018_176</t>
        </is>
      </c>
      <c r="J57" s="3" t="inlineStr">
        <is>
          <t>ISSUE-0052; ISSUE-0053; ISSUE-0054; ISSUE-0055</t>
        </is>
      </c>
    </row>
    <row r="58" ht="42" customHeight="1">
      <c r="A58" s="2" t="inlineStr">
        <is>
          <t>jeminise.com+personalized-baseball-bedding-full-size-flag-custom-name-d-design-01</t>
        </is>
      </c>
      <c r="B58" s="2" t="inlineStr">
        <is>
          <t>P2</t>
        </is>
      </c>
      <c r="C58" s="2" t="n">
        <v>10</v>
      </c>
      <c r="D58" s="2" t="inlineStr">
        <is>
          <t>PARTIAL</t>
        </is>
      </c>
      <c r="E58" s="5">
        <f>IF(B58="I1",AVERAGEIF('QA_Images'!$A$2:$A$53,A58,'QA_Images'!$T$2:$T$53)/100,IF(D58="FULL",1,IF(D58="PARTIAL",0.5,IF(D58="FAIL",0,""))))</f>
        <v/>
      </c>
      <c r="F58" s="5">
        <f>IF(E58="",0,C58*E58)</f>
        <v/>
      </c>
      <c r="G58" s="5">
        <f>IF(B58="I1",20*AVERAGEIF('QA_Images'!$A$2:$A$53,A58,'QA_Images'!$U$2:$U$53)/100,IF(D58="NOT_CHECKED",0,C58))</f>
        <v/>
      </c>
      <c r="H58" s="2" t="inlineStr">
        <is>
          <t>Source product facts, variants, specifications and personalization claims are evidence-backed. Personalization/specification claims checked against storefront product.js and static customizer config.</t>
        </is>
      </c>
      <c r="I58" s="2" t="inlineStr">
        <is>
          <t>evidence_batch_018_176</t>
        </is>
      </c>
      <c r="J58" s="2" t="inlineStr">
        <is>
          <t>ISSUE-0052; ISSUE-0053; ISSUE-0054; ISSUE-0055</t>
        </is>
      </c>
    </row>
    <row r="59" ht="42" customHeight="1">
      <c r="A59" s="3" t="inlineStr">
        <is>
          <t>jeminise.com+personalized-baseball-bedding-full-size-flag-custom-name-d-design-01</t>
        </is>
      </c>
      <c r="B59" s="3" t="inlineStr">
        <is>
          <t>K1</t>
        </is>
      </c>
      <c r="C59" s="3" t="n">
        <v>10</v>
      </c>
      <c r="D59" s="3" t="inlineStr">
        <is>
          <t>PARTIAL</t>
        </is>
      </c>
      <c r="E59" s="7">
        <f>IF(B59="I1",AVERAGEIF('QA_Images'!$A$2:$A$53,A59,'QA_Images'!$T$2:$T$53)/100,IF(D59="FULL",1,IF(D59="PARTIAL",0.5,IF(D59="FAIL",0,""))))</f>
        <v/>
      </c>
      <c r="F59" s="7">
        <f>IF(E59="",0,C59*E59)</f>
        <v/>
      </c>
      <c r="G59" s="7">
        <f>IF(B59="I1",20*AVERAGEIF('QA_Images'!$A$2:$A$53,A59,'QA_Images'!$U$2:$U$53)/100,IF(D59="NOT_CHECKED",0,C59))</f>
        <v/>
      </c>
      <c r="H59" s="3" t="inlineStr">
        <is>
          <t>Primary keyword aligns with product-level US purchase intent. Primary keyword rechecked against US product-level SERP comparables.</t>
        </is>
      </c>
      <c r="I59" s="3" t="inlineStr">
        <is>
          <t>evidence_batch_018_176</t>
        </is>
      </c>
      <c r="J59" s="3" t="inlineStr">
        <is>
          <t>ISSUE-0052; ISSUE-0053; ISSUE-0054; ISSUE-0055</t>
        </is>
      </c>
    </row>
    <row r="60" ht="42" customHeight="1">
      <c r="A60" s="2" t="inlineStr">
        <is>
          <t>jeminise.com+personalized-baseball-bedding-full-size-flag-custom-name-d-design-01</t>
        </is>
      </c>
      <c r="B60" s="2" t="inlineStr">
        <is>
          <t>K2</t>
        </is>
      </c>
      <c r="C60" s="2" t="n">
        <v>5</v>
      </c>
      <c r="D60" s="2" t="inlineStr">
        <is>
          <t>PARTIAL</t>
        </is>
      </c>
      <c r="E60" s="5">
        <f>IF(B60="I1",AVERAGEIF('QA_Images'!$A$2:$A$53,A60,'QA_Images'!$T$2:$T$53)/100,IF(D60="FULL",1,IF(D60="PARTIAL",0.5,IF(D60="FAIL",0,""))))</f>
        <v/>
      </c>
      <c r="F60" s="5">
        <f>IF(E60="",0,C60*E60)</f>
        <v/>
      </c>
      <c r="G60" s="5">
        <f>IF(B60="I1",20*AVERAGEIF('QA_Images'!$A$2:$A$53,A60,'QA_Images'!$U$2:$U$53)/100,IF(D60="NOT_CHECKED",0,C60))</f>
        <v/>
      </c>
      <c r="H60" s="2" t="inlineStr">
        <is>
          <t>Intent/cannibalization check distinguishes nearby products. Nearby product cluster has overlap risk, so intent distinction remains only partial.</t>
        </is>
      </c>
      <c r="I60" s="2" t="inlineStr">
        <is>
          <t>evidence_batch_018_176</t>
        </is>
      </c>
      <c r="J60" s="2" t="inlineStr">
        <is>
          <t>ISSUE-0052; ISSUE-0053; ISSUE-0054; ISSUE-0055</t>
        </is>
      </c>
    </row>
    <row r="61" ht="42" customHeight="1">
      <c r="A61" s="3" t="inlineStr">
        <is>
          <t>jeminise.com+personalized-baseball-bedding-full-size-flag-custom-name-d-design-01</t>
        </is>
      </c>
      <c r="B61" s="3" t="inlineStr">
        <is>
          <t>K3</t>
        </is>
      </c>
      <c r="C61" s="3" t="n">
        <v>5</v>
      </c>
      <c r="D61" s="3" t="inlineStr">
        <is>
          <t>PARTIAL</t>
        </is>
      </c>
      <c r="E61" s="7">
        <f>IF(B61="I1",AVERAGEIF('QA_Images'!$A$2:$A$53,A61,'QA_Images'!$T$2:$T$53)/100,IF(D61="FULL",1,IF(D61="PARTIAL",0.5,IF(D61="FAIL",0,""))))</f>
        <v/>
      </c>
      <c r="F61" s="7">
        <f>IF(E61="",0,C61*E61)</f>
        <v/>
      </c>
      <c r="G61" s="7">
        <f>IF(B61="I1",20*AVERAGEIF('QA_Images'!$A$2:$A$53,A61,'QA_Images'!$U$2:$U$53)/100,IF(D61="NOT_CHECKED",0,C61))</f>
        <v/>
      </c>
      <c r="H61" s="3" t="inlineStr">
        <is>
          <t>Keyword evidence is supported by SERP comparables without unsupported volume claims. Evidence is public SERP only; no Search Console, keyword volume or customer-search corpus provided.</t>
        </is>
      </c>
      <c r="I61" s="3" t="inlineStr">
        <is>
          <t>evidence_batch_018_176</t>
        </is>
      </c>
      <c r="J61" s="3" t="inlineStr">
        <is>
          <t>ISSUE-0052; ISSUE-0053; ISSUE-0054; ISSUE-0055</t>
        </is>
      </c>
    </row>
    <row r="62" ht="42" customHeight="1">
      <c r="A62" s="2" t="inlineStr">
        <is>
          <t>jeminise.com+personalized-baseball-bedding-full-size-flag-custom-name-d-design-01</t>
        </is>
      </c>
      <c r="B62" s="2" t="inlineStr">
        <is>
          <t>T1</t>
        </is>
      </c>
      <c r="C62" s="2" t="n">
        <v>10</v>
      </c>
      <c r="D62" s="2" t="inlineStr">
        <is>
          <t>PARTIAL</t>
        </is>
      </c>
      <c r="E62" s="5">
        <f>IF(B62="I1",AVERAGEIF('QA_Images'!$A$2:$A$53,A62,'QA_Images'!$T$2:$T$53)/100,IF(D62="FULL",1,IF(D62="PARTIAL",0.5,IF(D62="FAIL",0,""))))</f>
        <v/>
      </c>
      <c r="F62" s="5">
        <f>IF(E62="",0,C62*E62)</f>
        <v/>
      </c>
      <c r="G62" s="5">
        <f>IF(B62="I1",20*AVERAGEIF('QA_Images'!$A$2:$A$53,A62,'QA_Images'!$U$2:$U$53)/100,IF(D62="NOT_CHECKED",0,C62))</f>
        <v/>
      </c>
      <c r="H62" s="2" t="inlineStr">
        <is>
          <t>SEO title and H1 are relevant, specific and grounded in visible/source facts. Proposed H1 is blank, so the title/H1 pair cannot be fully verified.</t>
        </is>
      </c>
      <c r="I62" s="2" t="inlineStr">
        <is>
          <t>evidence_batch_018_176</t>
        </is>
      </c>
      <c r="J62" s="2" t="inlineStr">
        <is>
          <t>ISSUE-0052; ISSUE-0053; ISSUE-0054; ISSUE-0055</t>
        </is>
      </c>
    </row>
    <row r="63" ht="42" customHeight="1">
      <c r="A63" s="3" t="inlineStr">
        <is>
          <t>jeminise.com+personalized-baseball-bedding-full-size-flag-custom-name-d-design-01</t>
        </is>
      </c>
      <c r="B63" s="3" t="inlineStr">
        <is>
          <t>T2</t>
        </is>
      </c>
      <c r="C63" s="3" t="n">
        <v>5</v>
      </c>
      <c r="D63" s="3" t="inlineStr">
        <is>
          <t>PARTIAL</t>
        </is>
      </c>
      <c r="E63" s="7">
        <f>IF(B63="I1",AVERAGEIF('QA_Images'!$A$2:$A$53,A63,'QA_Images'!$T$2:$T$53)/100,IF(D63="FULL",1,IF(D63="PARTIAL",0.5,IF(D63="FAIL",0,""))))</f>
        <v/>
      </c>
      <c r="F63" s="7">
        <f>IF(E63="",0,C63*E63)</f>
        <v/>
      </c>
      <c r="G63" s="7">
        <f>IF(B63="I1",20*AVERAGEIF('QA_Images'!$A$2:$A$53,A63,'QA_Images'!$U$2:$U$53)/100,IF(D63="NOT_CHECKED",0,C63))</f>
        <v/>
      </c>
      <c r="H63" s="3" t="inlineStr">
        <is>
          <t>Meta description is concise, publish-ready and avoids unsupported claims. Meta description checked for length, specificity and supportable claims.</t>
        </is>
      </c>
      <c r="I63" s="3" t="inlineStr">
        <is>
          <t>evidence_batch_018_176</t>
        </is>
      </c>
      <c r="J63" s="3" t="inlineStr">
        <is>
          <t>ISSUE-0052; ISSUE-0053; ISSUE-0054; ISSUE-0055</t>
        </is>
      </c>
    </row>
    <row r="64" ht="42" customHeight="1">
      <c r="A64" s="2" t="inlineStr">
        <is>
          <t>jeminise.com+personalized-baseball-bedding-full-size-flag-custom-name-d-design-01</t>
        </is>
      </c>
      <c r="B64" s="2" t="inlineStr">
        <is>
          <t>D1</t>
        </is>
      </c>
      <c r="C64" s="2" t="n">
        <v>10</v>
      </c>
      <c r="D64" s="2" t="inlineStr">
        <is>
          <t>FAIL</t>
        </is>
      </c>
      <c r="E64" s="5">
        <f>IF(B64="I1",AVERAGEIF('QA_Images'!$A$2:$A$53,A64,'QA_Images'!$T$2:$T$53)/100,IF(D64="FULL",1,IF(D64="PARTIAL",0.5,IF(D64="FAIL",0,""))))</f>
        <v/>
      </c>
      <c r="F64" s="5">
        <f>IF(E64="",0,C64*E64)</f>
        <v/>
      </c>
      <c r="G64" s="5">
        <f>IF(B64="I1",20*AVERAGEIF('QA_Images'!$A$2:$A$53,A64,'QA_Images'!$U$2:$U$53)/100,IF(D64="NOT_CHECKED",0,C64))</f>
        <v/>
      </c>
      <c r="H64" s="2" t="inlineStr">
        <is>
          <t>Description HTML is publish-ready and free of internal draft/QA instructions. Description HTML still contains internal QA/import language.</t>
        </is>
      </c>
      <c r="I64" s="2" t="inlineStr">
        <is>
          <t>evidence_batch_018_176</t>
        </is>
      </c>
      <c r="J64" s="2" t="inlineStr">
        <is>
          <t>ISSUE-0052; ISSUE-0053; ISSUE-0054; ISSUE-0055</t>
        </is>
      </c>
    </row>
    <row r="65" ht="42" customHeight="1">
      <c r="A65" s="3" t="inlineStr">
        <is>
          <t>jeminise.com+personalized-baseball-bedding-full-size-flag-custom-name-d-design-01</t>
        </is>
      </c>
      <c r="B65" s="3" t="inlineStr">
        <is>
          <t>D2</t>
        </is>
      </c>
      <c r="C65" s="3" t="n">
        <v>5</v>
      </c>
      <c r="D65" s="3" t="inlineStr">
        <is>
          <t>PARTIAL</t>
        </is>
      </c>
      <c r="E65" s="7">
        <f>IF(B65="I1",AVERAGEIF('QA_Images'!$A$2:$A$53,A65,'QA_Images'!$T$2:$T$53)/100,IF(D65="FULL",1,IF(D65="PARTIAL",0.5,IF(D65="FAIL",0,""))))</f>
        <v/>
      </c>
      <c r="F65" s="7">
        <f>IF(E65="",0,C65*E65)</f>
        <v/>
      </c>
      <c r="G65" s="7">
        <f>IF(B65="I1",20*AVERAGEIF('QA_Images'!$A$2:$A$53,A65,'QA_Images'!$U$2:$U$53)/100,IF(D65="NOT_CHECKED",0,C65))</f>
        <v/>
      </c>
      <c r="H65" s="3" t="inlineStr">
        <is>
          <t>Description content covers verified design, product type, use case and constraints. Description covers motif/product type but remains templated and does not always map every verified constraint.</t>
        </is>
      </c>
      <c r="I65" s="3" t="inlineStr">
        <is>
          <t>evidence_batch_018_176</t>
        </is>
      </c>
      <c r="J65" s="3" t="inlineStr">
        <is>
          <t>ISSUE-0052; ISSUE-0053; ISSUE-0054; ISSUE-0055</t>
        </is>
      </c>
    </row>
    <row r="66" ht="42" customHeight="1">
      <c r="A66" s="2" t="inlineStr">
        <is>
          <t>jeminise.com+personalized-baseball-bedding-full-size-flag-custom-name-d-design-01</t>
        </is>
      </c>
      <c r="B66" s="2" t="inlineStr">
        <is>
          <t>I1</t>
        </is>
      </c>
      <c r="C66" s="2" t="n">
        <v>20</v>
      </c>
      <c r="D66" s="2" t="inlineStr">
        <is>
          <t>FULL</t>
        </is>
      </c>
      <c r="E66" s="5">
        <f>IF(B66="I1",AVERAGEIF('QA_Images'!$A$2:$A$53,A66,'QA_Images'!$T$2:$T$53)/100,IF(D66="FULL",1,IF(D66="PARTIAL",0.5,IF(D66="FAIL",0,""))))</f>
        <v/>
      </c>
      <c r="F66" s="5">
        <f>IF(E66="",0,C66*E66)</f>
        <v/>
      </c>
      <c r="G66" s="5">
        <f>IF(B66="I1",20*AVERAGEIF('QA_Images'!$A$2:$A$53,A66,'QA_Images'!$U$2:$U$53)/100,IF(D66="NOT_CHECKED",0,C66))</f>
        <v/>
      </c>
      <c r="H66" s="2" t="inlineStr">
        <is>
          <t>Image coverage, image observations and alt text quality, derived from QA_Images. Derived from average image QA score; see QA_Images.</t>
        </is>
      </c>
      <c r="I66" s="2" t="inlineStr">
        <is>
          <t>evidence_batch_018_176</t>
        </is>
      </c>
      <c r="J66" s="2" t="inlineStr">
        <is>
          <t>ISSUE-0052; ISSUE-0053; ISSUE-0054; ISSUE-0055</t>
        </is>
      </c>
    </row>
    <row r="67" ht="42" customHeight="1">
      <c r="A67" s="3" t="inlineStr">
        <is>
          <t>jeminise.com+personalized-baseball-bedding-full-size-flag-custom-name-d-design-01</t>
        </is>
      </c>
      <c r="B67" s="3" t="inlineStr">
        <is>
          <t>E1</t>
        </is>
      </c>
      <c r="C67" s="3" t="n">
        <v>5</v>
      </c>
      <c r="D67" s="3" t="inlineStr">
        <is>
          <t>PARTIAL</t>
        </is>
      </c>
      <c r="E67" s="7">
        <f>IF(B67="I1",AVERAGEIF('QA_Images'!$A$2:$A$53,A67,'QA_Images'!$T$2:$T$53)/100,IF(D67="FULL",1,IF(D67="PARTIAL",0.5,IF(D67="FAIL",0,""))))</f>
        <v/>
      </c>
      <c r="F67" s="7">
        <f>IF(E67="",0,C67*E67)</f>
        <v/>
      </c>
      <c r="G67" s="7">
        <f>IF(B67="I1",20*AVERAGEIF('QA_Images'!$A$2:$A$53,A67,'QA_Images'!$U$2:$U$53)/100,IF(D67="NOT_CHECKED",0,C67))</f>
        <v/>
      </c>
      <c r="H67" s="3" t="inlineStr">
        <is>
          <t>Evidence chain is traceable and limitations are explicitly separated from failures. Evidence chain is traceable, with admin-export limitation explicitly separated.</t>
        </is>
      </c>
      <c r="I67" s="3" t="inlineStr">
        <is>
          <t>evidence_batch_018_176</t>
        </is>
      </c>
      <c r="J67" s="3" t="inlineStr">
        <is>
          <t>ISSUE-0052; ISSUE-0053; ISSUE-0054; ISSUE-0055</t>
        </is>
      </c>
    </row>
    <row r="68" ht="42" customHeight="1">
      <c r="A68" s="2" t="inlineStr">
        <is>
          <t>jeminise.com+personalized-baseball-bedding-full-size-flag-custom-name-d-design-02</t>
        </is>
      </c>
      <c r="B68" s="2" t="inlineStr">
        <is>
          <t>P1</t>
        </is>
      </c>
      <c r="C68" s="2" t="n">
        <v>15</v>
      </c>
      <c r="D68" s="2" t="inlineStr">
        <is>
          <t>FULL</t>
        </is>
      </c>
      <c r="E68" s="5">
        <f>IF(B68="I1",AVERAGEIF('QA_Images'!$A$2:$A$53,A68,'QA_Images'!$T$2:$T$53)/100,IF(D68="FULL",1,IF(D68="PARTIAL",0.5,IF(D68="FAIL",0,""))))</f>
        <v/>
      </c>
      <c r="F68" s="5">
        <f>IF(E68="",0,C68*E68)</f>
        <v/>
      </c>
      <c r="G68" s="5">
        <f>IF(B68="I1",20*AVERAGEIF('QA_Images'!$A$2:$A$53,A68,'QA_Images'!$U$2:$U$53)/100,IF(D68="NOT_CHECKED",0,C68))</f>
        <v/>
      </c>
      <c r="H68" s="2" t="inlineStr">
        <is>
          <t>Product identity, handle, product ID, URL and canonical match source/live evidence. Product key/handle/product ID/canonical checked against frozen workbook and live product evidence.</t>
        </is>
      </c>
      <c r="I68" s="2" t="inlineStr">
        <is>
          <t>evidence_batch_018_177</t>
        </is>
      </c>
      <c r="J68" s="2" t="inlineStr">
        <is>
          <t>ISSUE-0059; ISSUE-0060; ISSUE-0061; ISSUE-0062</t>
        </is>
      </c>
    </row>
    <row r="69" ht="42" customHeight="1">
      <c r="A69" s="3" t="inlineStr">
        <is>
          <t>jeminise.com+personalized-baseball-bedding-full-size-flag-custom-name-d-design-02</t>
        </is>
      </c>
      <c r="B69" s="3" t="inlineStr">
        <is>
          <t>P2</t>
        </is>
      </c>
      <c r="C69" s="3" t="n">
        <v>10</v>
      </c>
      <c r="D69" s="3" t="inlineStr">
        <is>
          <t>PARTIAL</t>
        </is>
      </c>
      <c r="E69" s="7">
        <f>IF(B69="I1",AVERAGEIF('QA_Images'!$A$2:$A$53,A69,'QA_Images'!$T$2:$T$53)/100,IF(D69="FULL",1,IF(D69="PARTIAL",0.5,IF(D69="FAIL",0,""))))</f>
        <v/>
      </c>
      <c r="F69" s="7">
        <f>IF(E69="",0,C69*E69)</f>
        <v/>
      </c>
      <c r="G69" s="7">
        <f>IF(B69="I1",20*AVERAGEIF('QA_Images'!$A$2:$A$53,A69,'QA_Images'!$U$2:$U$53)/100,IF(D69="NOT_CHECKED",0,C69))</f>
        <v/>
      </c>
      <c r="H69" s="3" t="inlineStr">
        <is>
          <t>Source product facts, variants, specifications and personalization claims are evidence-backed. Personalization/specification claims checked against storefront product.js and static customizer config.</t>
        </is>
      </c>
      <c r="I69" s="3" t="inlineStr">
        <is>
          <t>evidence_batch_018_177</t>
        </is>
      </c>
      <c r="J69" s="3" t="inlineStr">
        <is>
          <t>ISSUE-0059; ISSUE-0060; ISSUE-0061; ISSUE-0062</t>
        </is>
      </c>
    </row>
    <row r="70" ht="42" customHeight="1">
      <c r="A70" s="2" t="inlineStr">
        <is>
          <t>jeminise.com+personalized-baseball-bedding-full-size-flag-custom-name-d-design-02</t>
        </is>
      </c>
      <c r="B70" s="2" t="inlineStr">
        <is>
          <t>K1</t>
        </is>
      </c>
      <c r="C70" s="2" t="n">
        <v>10</v>
      </c>
      <c r="D70" s="2" t="inlineStr">
        <is>
          <t>PARTIAL</t>
        </is>
      </c>
      <c r="E70" s="5">
        <f>IF(B70="I1",AVERAGEIF('QA_Images'!$A$2:$A$53,A70,'QA_Images'!$T$2:$T$53)/100,IF(D70="FULL",1,IF(D70="PARTIAL",0.5,IF(D70="FAIL",0,""))))</f>
        <v/>
      </c>
      <c r="F70" s="5">
        <f>IF(E70="",0,C70*E70)</f>
        <v/>
      </c>
      <c r="G70" s="5">
        <f>IF(B70="I1",20*AVERAGEIF('QA_Images'!$A$2:$A$53,A70,'QA_Images'!$U$2:$U$53)/100,IF(D70="NOT_CHECKED",0,C70))</f>
        <v/>
      </c>
      <c r="H70" s="2" t="inlineStr">
        <is>
          <t>Primary keyword aligns with product-level US purchase intent. Primary keyword rechecked against US product-level SERP comparables.</t>
        </is>
      </c>
      <c r="I70" s="2" t="inlineStr">
        <is>
          <t>evidence_batch_018_177</t>
        </is>
      </c>
      <c r="J70" s="2" t="inlineStr">
        <is>
          <t>ISSUE-0059; ISSUE-0060; ISSUE-0061; ISSUE-0062</t>
        </is>
      </c>
    </row>
    <row r="71" ht="42" customHeight="1">
      <c r="A71" s="3" t="inlineStr">
        <is>
          <t>jeminise.com+personalized-baseball-bedding-full-size-flag-custom-name-d-design-02</t>
        </is>
      </c>
      <c r="B71" s="3" t="inlineStr">
        <is>
          <t>K2</t>
        </is>
      </c>
      <c r="C71" s="3" t="n">
        <v>5</v>
      </c>
      <c r="D71" s="3" t="inlineStr">
        <is>
          <t>PARTIAL</t>
        </is>
      </c>
      <c r="E71" s="7">
        <f>IF(B71="I1",AVERAGEIF('QA_Images'!$A$2:$A$53,A71,'QA_Images'!$T$2:$T$53)/100,IF(D71="FULL",1,IF(D71="PARTIAL",0.5,IF(D71="FAIL",0,""))))</f>
        <v/>
      </c>
      <c r="F71" s="7">
        <f>IF(E71="",0,C71*E71)</f>
        <v/>
      </c>
      <c r="G71" s="7">
        <f>IF(B71="I1",20*AVERAGEIF('QA_Images'!$A$2:$A$53,A71,'QA_Images'!$U$2:$U$53)/100,IF(D71="NOT_CHECKED",0,C71))</f>
        <v/>
      </c>
      <c r="H71" s="3" t="inlineStr">
        <is>
          <t>Intent/cannibalization check distinguishes nearby products. Nearby product cluster has overlap risk, so intent distinction remains only partial.</t>
        </is>
      </c>
      <c r="I71" s="3" t="inlineStr">
        <is>
          <t>evidence_batch_018_177</t>
        </is>
      </c>
      <c r="J71" s="3" t="inlineStr">
        <is>
          <t>ISSUE-0059; ISSUE-0060; ISSUE-0061; ISSUE-0062</t>
        </is>
      </c>
    </row>
    <row r="72" ht="42" customHeight="1">
      <c r="A72" s="2" t="inlineStr">
        <is>
          <t>jeminise.com+personalized-baseball-bedding-full-size-flag-custom-name-d-design-02</t>
        </is>
      </c>
      <c r="B72" s="2" t="inlineStr">
        <is>
          <t>K3</t>
        </is>
      </c>
      <c r="C72" s="2" t="n">
        <v>5</v>
      </c>
      <c r="D72" s="2" t="inlineStr">
        <is>
          <t>PARTIAL</t>
        </is>
      </c>
      <c r="E72" s="5">
        <f>IF(B72="I1",AVERAGEIF('QA_Images'!$A$2:$A$53,A72,'QA_Images'!$T$2:$T$53)/100,IF(D72="FULL",1,IF(D72="PARTIAL",0.5,IF(D72="FAIL",0,""))))</f>
        <v/>
      </c>
      <c r="F72" s="5">
        <f>IF(E72="",0,C72*E72)</f>
        <v/>
      </c>
      <c r="G72" s="5">
        <f>IF(B72="I1",20*AVERAGEIF('QA_Images'!$A$2:$A$53,A72,'QA_Images'!$U$2:$U$53)/100,IF(D72="NOT_CHECKED",0,C72))</f>
        <v/>
      </c>
      <c r="H72" s="2" t="inlineStr">
        <is>
          <t>Keyword evidence is supported by SERP comparables without unsupported volume claims. Evidence is public SERP only; no Search Console, keyword volume or customer-search corpus provided.</t>
        </is>
      </c>
      <c r="I72" s="2" t="inlineStr">
        <is>
          <t>evidence_batch_018_177</t>
        </is>
      </c>
      <c r="J72" s="2" t="inlineStr">
        <is>
          <t>ISSUE-0059; ISSUE-0060; ISSUE-0061; ISSUE-0062</t>
        </is>
      </c>
    </row>
    <row r="73" ht="42" customHeight="1">
      <c r="A73" s="3" t="inlineStr">
        <is>
          <t>jeminise.com+personalized-baseball-bedding-full-size-flag-custom-name-d-design-02</t>
        </is>
      </c>
      <c r="B73" s="3" t="inlineStr">
        <is>
          <t>T1</t>
        </is>
      </c>
      <c r="C73" s="3" t="n">
        <v>10</v>
      </c>
      <c r="D73" s="3" t="inlineStr">
        <is>
          <t>PARTIAL</t>
        </is>
      </c>
      <c r="E73" s="7">
        <f>IF(B73="I1",AVERAGEIF('QA_Images'!$A$2:$A$53,A73,'QA_Images'!$T$2:$T$53)/100,IF(D73="FULL",1,IF(D73="PARTIAL",0.5,IF(D73="FAIL",0,""))))</f>
        <v/>
      </c>
      <c r="F73" s="7">
        <f>IF(E73="",0,C73*E73)</f>
        <v/>
      </c>
      <c r="G73" s="7">
        <f>IF(B73="I1",20*AVERAGEIF('QA_Images'!$A$2:$A$53,A73,'QA_Images'!$U$2:$U$53)/100,IF(D73="NOT_CHECKED",0,C73))</f>
        <v/>
      </c>
      <c r="H73" s="3" t="inlineStr">
        <is>
          <t>SEO title and H1 are relevant, specific and grounded in visible/source facts. Proposed H1 is blank, so the title/H1 pair cannot be fully verified.</t>
        </is>
      </c>
      <c r="I73" s="3" t="inlineStr">
        <is>
          <t>evidence_batch_018_177</t>
        </is>
      </c>
      <c r="J73" s="3" t="inlineStr">
        <is>
          <t>ISSUE-0059; ISSUE-0060; ISSUE-0061; ISSUE-0062</t>
        </is>
      </c>
    </row>
    <row r="74" ht="42" customHeight="1">
      <c r="A74" s="2" t="inlineStr">
        <is>
          <t>jeminise.com+personalized-baseball-bedding-full-size-flag-custom-name-d-design-02</t>
        </is>
      </c>
      <c r="B74" s="2" t="inlineStr">
        <is>
          <t>T2</t>
        </is>
      </c>
      <c r="C74" s="2" t="n">
        <v>5</v>
      </c>
      <c r="D74" s="2" t="inlineStr">
        <is>
          <t>PARTIAL</t>
        </is>
      </c>
      <c r="E74" s="5">
        <f>IF(B74="I1",AVERAGEIF('QA_Images'!$A$2:$A$53,A74,'QA_Images'!$T$2:$T$53)/100,IF(D74="FULL",1,IF(D74="PARTIAL",0.5,IF(D74="FAIL",0,""))))</f>
        <v/>
      </c>
      <c r="F74" s="5">
        <f>IF(E74="",0,C74*E74)</f>
        <v/>
      </c>
      <c r="G74" s="5">
        <f>IF(B74="I1",20*AVERAGEIF('QA_Images'!$A$2:$A$53,A74,'QA_Images'!$U$2:$U$53)/100,IF(D74="NOT_CHECKED",0,C74))</f>
        <v/>
      </c>
      <c r="H74" s="2" t="inlineStr">
        <is>
          <t>Meta description is concise, publish-ready and avoids unsupported claims. Meta description checked for length, specificity and supportable claims.</t>
        </is>
      </c>
      <c r="I74" s="2" t="inlineStr">
        <is>
          <t>evidence_batch_018_177</t>
        </is>
      </c>
      <c r="J74" s="2" t="inlineStr">
        <is>
          <t>ISSUE-0059; ISSUE-0060; ISSUE-0061; ISSUE-0062</t>
        </is>
      </c>
    </row>
    <row r="75" ht="42" customHeight="1">
      <c r="A75" s="3" t="inlineStr">
        <is>
          <t>jeminise.com+personalized-baseball-bedding-full-size-flag-custom-name-d-design-02</t>
        </is>
      </c>
      <c r="B75" s="3" t="inlineStr">
        <is>
          <t>D1</t>
        </is>
      </c>
      <c r="C75" s="3" t="n">
        <v>10</v>
      </c>
      <c r="D75" s="3" t="inlineStr">
        <is>
          <t>FAIL</t>
        </is>
      </c>
      <c r="E75" s="7">
        <f>IF(B75="I1",AVERAGEIF('QA_Images'!$A$2:$A$53,A75,'QA_Images'!$T$2:$T$53)/100,IF(D75="FULL",1,IF(D75="PARTIAL",0.5,IF(D75="FAIL",0,""))))</f>
        <v/>
      </c>
      <c r="F75" s="7">
        <f>IF(E75="",0,C75*E75)</f>
        <v/>
      </c>
      <c r="G75" s="7">
        <f>IF(B75="I1",20*AVERAGEIF('QA_Images'!$A$2:$A$53,A75,'QA_Images'!$U$2:$U$53)/100,IF(D75="NOT_CHECKED",0,C75))</f>
        <v/>
      </c>
      <c r="H75" s="3" t="inlineStr">
        <is>
          <t>Description HTML is publish-ready and free of internal draft/QA instructions. Description HTML still contains internal QA/import language.</t>
        </is>
      </c>
      <c r="I75" s="3" t="inlineStr">
        <is>
          <t>evidence_batch_018_177</t>
        </is>
      </c>
      <c r="J75" s="3" t="inlineStr">
        <is>
          <t>ISSUE-0059; ISSUE-0060; ISSUE-0061; ISSUE-0062</t>
        </is>
      </c>
    </row>
    <row r="76" ht="42" customHeight="1">
      <c r="A76" s="2" t="inlineStr">
        <is>
          <t>jeminise.com+personalized-baseball-bedding-full-size-flag-custom-name-d-design-02</t>
        </is>
      </c>
      <c r="B76" s="2" t="inlineStr">
        <is>
          <t>D2</t>
        </is>
      </c>
      <c r="C76" s="2" t="n">
        <v>5</v>
      </c>
      <c r="D76" s="2" t="inlineStr">
        <is>
          <t>PARTIAL</t>
        </is>
      </c>
      <c r="E76" s="5">
        <f>IF(B76="I1",AVERAGEIF('QA_Images'!$A$2:$A$53,A76,'QA_Images'!$T$2:$T$53)/100,IF(D76="FULL",1,IF(D76="PARTIAL",0.5,IF(D76="FAIL",0,""))))</f>
        <v/>
      </c>
      <c r="F76" s="5">
        <f>IF(E76="",0,C76*E76)</f>
        <v/>
      </c>
      <c r="G76" s="5">
        <f>IF(B76="I1",20*AVERAGEIF('QA_Images'!$A$2:$A$53,A76,'QA_Images'!$U$2:$U$53)/100,IF(D76="NOT_CHECKED",0,C76))</f>
        <v/>
      </c>
      <c r="H76" s="2" t="inlineStr">
        <is>
          <t>Description content covers verified design, product type, use case and constraints. Description covers motif/product type but remains templated and does not always map every verified constraint.</t>
        </is>
      </c>
      <c r="I76" s="2" t="inlineStr">
        <is>
          <t>evidence_batch_018_177</t>
        </is>
      </c>
      <c r="J76" s="2" t="inlineStr">
        <is>
          <t>ISSUE-0059; ISSUE-0060; ISSUE-0061; ISSUE-0062</t>
        </is>
      </c>
    </row>
    <row r="77" ht="42" customHeight="1">
      <c r="A77" s="3" t="inlineStr">
        <is>
          <t>jeminise.com+personalized-baseball-bedding-full-size-flag-custom-name-d-design-02</t>
        </is>
      </c>
      <c r="B77" s="3" t="inlineStr">
        <is>
          <t>I1</t>
        </is>
      </c>
      <c r="C77" s="3" t="n">
        <v>20</v>
      </c>
      <c r="D77" s="3" t="inlineStr">
        <is>
          <t>FULL</t>
        </is>
      </c>
      <c r="E77" s="7">
        <f>IF(B77="I1",AVERAGEIF('QA_Images'!$A$2:$A$53,A77,'QA_Images'!$T$2:$T$53)/100,IF(D77="FULL",1,IF(D77="PARTIAL",0.5,IF(D77="FAIL",0,""))))</f>
        <v/>
      </c>
      <c r="F77" s="7">
        <f>IF(E77="",0,C77*E77)</f>
        <v/>
      </c>
      <c r="G77" s="7">
        <f>IF(B77="I1",20*AVERAGEIF('QA_Images'!$A$2:$A$53,A77,'QA_Images'!$U$2:$U$53)/100,IF(D77="NOT_CHECKED",0,C77))</f>
        <v/>
      </c>
      <c r="H77" s="3" t="inlineStr">
        <is>
          <t>Image coverage, image observations and alt text quality, derived from QA_Images. Derived from average image QA score; see QA_Images.</t>
        </is>
      </c>
      <c r="I77" s="3" t="inlineStr">
        <is>
          <t>evidence_batch_018_177</t>
        </is>
      </c>
      <c r="J77" s="3" t="inlineStr">
        <is>
          <t>ISSUE-0059; ISSUE-0060; ISSUE-0061; ISSUE-0062</t>
        </is>
      </c>
    </row>
    <row r="78" ht="42" customHeight="1">
      <c r="A78" s="2" t="inlineStr">
        <is>
          <t>jeminise.com+personalized-baseball-bedding-full-size-flag-custom-name-d-design-02</t>
        </is>
      </c>
      <c r="B78" s="2" t="inlineStr">
        <is>
          <t>E1</t>
        </is>
      </c>
      <c r="C78" s="2" t="n">
        <v>5</v>
      </c>
      <c r="D78" s="2" t="inlineStr">
        <is>
          <t>PARTIAL</t>
        </is>
      </c>
      <c r="E78" s="5">
        <f>IF(B78="I1",AVERAGEIF('QA_Images'!$A$2:$A$53,A78,'QA_Images'!$T$2:$T$53)/100,IF(D78="FULL",1,IF(D78="PARTIAL",0.5,IF(D78="FAIL",0,""))))</f>
        <v/>
      </c>
      <c r="F78" s="5">
        <f>IF(E78="",0,C78*E78)</f>
        <v/>
      </c>
      <c r="G78" s="5">
        <f>IF(B78="I1",20*AVERAGEIF('QA_Images'!$A$2:$A$53,A78,'QA_Images'!$U$2:$U$53)/100,IF(D78="NOT_CHECKED",0,C78))</f>
        <v/>
      </c>
      <c r="H78" s="2" t="inlineStr">
        <is>
          <t>Evidence chain is traceable and limitations are explicitly separated from failures. Evidence chain is traceable, with admin-export limitation explicitly separated.</t>
        </is>
      </c>
      <c r="I78" s="2" t="inlineStr">
        <is>
          <t>evidence_batch_018_177</t>
        </is>
      </c>
      <c r="J78" s="2" t="inlineStr">
        <is>
          <t>ISSUE-0059; ISSUE-0060; ISSUE-0061; ISSUE-0062</t>
        </is>
      </c>
    </row>
    <row r="79" ht="42" customHeight="1">
      <c r="A79" s="3" t="inlineStr">
        <is>
          <t>jeminise.com+personalized-baseball-bedding-full-size-flag-custom-name-d-design-03</t>
        </is>
      </c>
      <c r="B79" s="3" t="inlineStr">
        <is>
          <t>P1</t>
        </is>
      </c>
      <c r="C79" s="3" t="n">
        <v>15</v>
      </c>
      <c r="D79" s="3" t="inlineStr">
        <is>
          <t>FULL</t>
        </is>
      </c>
      <c r="E79" s="7">
        <f>IF(B79="I1",AVERAGEIF('QA_Images'!$A$2:$A$53,A79,'QA_Images'!$T$2:$T$53)/100,IF(D79="FULL",1,IF(D79="PARTIAL",0.5,IF(D79="FAIL",0,""))))</f>
        <v/>
      </c>
      <c r="F79" s="7">
        <f>IF(E79="",0,C79*E79)</f>
        <v/>
      </c>
      <c r="G79" s="7">
        <f>IF(B79="I1",20*AVERAGEIF('QA_Images'!$A$2:$A$53,A79,'QA_Images'!$U$2:$U$53)/100,IF(D79="NOT_CHECKED",0,C79))</f>
        <v/>
      </c>
      <c r="H79" s="3" t="inlineStr">
        <is>
          <t>Product identity, handle, product ID, URL and canonical match source/live evidence. Product key/handle/product ID/canonical checked against frozen workbook and live product evidence.</t>
        </is>
      </c>
      <c r="I79" s="3" t="inlineStr">
        <is>
          <t>evidence_batch_018_178</t>
        </is>
      </c>
      <c r="J79" s="3" t="inlineStr">
        <is>
          <t>ISSUE-0066; ISSUE-0067; ISSUE-0068; ISSUE-0069; ISSUE-0070</t>
        </is>
      </c>
    </row>
    <row r="80" ht="42" customHeight="1">
      <c r="A80" s="2" t="inlineStr">
        <is>
          <t>jeminise.com+personalized-baseball-bedding-full-size-flag-custom-name-d-design-03</t>
        </is>
      </c>
      <c r="B80" s="2" t="inlineStr">
        <is>
          <t>P2</t>
        </is>
      </c>
      <c r="C80" s="2" t="n">
        <v>10</v>
      </c>
      <c r="D80" s="2" t="inlineStr">
        <is>
          <t>FAIL</t>
        </is>
      </c>
      <c r="E80" s="5">
        <f>IF(B80="I1",AVERAGEIF('QA_Images'!$A$2:$A$53,A80,'QA_Images'!$T$2:$T$53)/100,IF(D80="FULL",1,IF(D80="PARTIAL",0.5,IF(D80="FAIL",0,""))))</f>
        <v/>
      </c>
      <c r="F80" s="5">
        <f>IF(E80="",0,C80*E80)</f>
        <v/>
      </c>
      <c r="G80" s="5">
        <f>IF(B80="I1",20*AVERAGEIF('QA_Images'!$A$2:$A$53,A80,'QA_Images'!$U$2:$U$53)/100,IF(D80="NOT_CHECKED",0,C80))</f>
        <v/>
      </c>
      <c r="H80" s="2" t="inlineStr">
        <is>
          <t>Source product facts, variants, specifications and personalization claims are evidence-backed. Personalization/specification claims checked against storefront product.js and static customizer config.</t>
        </is>
      </c>
      <c r="I80" s="2" t="inlineStr">
        <is>
          <t>evidence_batch_018_178</t>
        </is>
      </c>
      <c r="J80" s="2" t="inlineStr">
        <is>
          <t>ISSUE-0066; ISSUE-0067; ISSUE-0068; ISSUE-0069; ISSUE-0070</t>
        </is>
      </c>
    </row>
    <row r="81" ht="42" customHeight="1">
      <c r="A81" s="3" t="inlineStr">
        <is>
          <t>jeminise.com+personalized-baseball-bedding-full-size-flag-custom-name-d-design-03</t>
        </is>
      </c>
      <c r="B81" s="3" t="inlineStr">
        <is>
          <t>K1</t>
        </is>
      </c>
      <c r="C81" s="3" t="n">
        <v>10</v>
      </c>
      <c r="D81" s="3" t="inlineStr">
        <is>
          <t>PARTIAL</t>
        </is>
      </c>
      <c r="E81" s="7">
        <f>IF(B81="I1",AVERAGEIF('QA_Images'!$A$2:$A$53,A81,'QA_Images'!$T$2:$T$53)/100,IF(D81="FULL",1,IF(D81="PARTIAL",0.5,IF(D81="FAIL",0,""))))</f>
        <v/>
      </c>
      <c r="F81" s="7">
        <f>IF(E81="",0,C81*E81)</f>
        <v/>
      </c>
      <c r="G81" s="7">
        <f>IF(B81="I1",20*AVERAGEIF('QA_Images'!$A$2:$A$53,A81,'QA_Images'!$U$2:$U$53)/100,IF(D81="NOT_CHECKED",0,C81))</f>
        <v/>
      </c>
      <c r="H81" s="3" t="inlineStr">
        <is>
          <t>Primary keyword aligns with product-level US purchase intent. Primary keyword rechecked against US product-level SERP comparables.</t>
        </is>
      </c>
      <c r="I81" s="3" t="inlineStr">
        <is>
          <t>evidence_batch_018_178</t>
        </is>
      </c>
      <c r="J81" s="3" t="inlineStr">
        <is>
          <t>ISSUE-0066; ISSUE-0067; ISSUE-0068; ISSUE-0069; ISSUE-0070</t>
        </is>
      </c>
    </row>
    <row r="82" ht="42" customHeight="1">
      <c r="A82" s="2" t="inlineStr">
        <is>
          <t>jeminise.com+personalized-baseball-bedding-full-size-flag-custom-name-d-design-03</t>
        </is>
      </c>
      <c r="B82" s="2" t="inlineStr">
        <is>
          <t>K2</t>
        </is>
      </c>
      <c r="C82" s="2" t="n">
        <v>5</v>
      </c>
      <c r="D82" s="2" t="inlineStr">
        <is>
          <t>PARTIAL</t>
        </is>
      </c>
      <c r="E82" s="5">
        <f>IF(B82="I1",AVERAGEIF('QA_Images'!$A$2:$A$53,A82,'QA_Images'!$T$2:$T$53)/100,IF(D82="FULL",1,IF(D82="PARTIAL",0.5,IF(D82="FAIL",0,""))))</f>
        <v/>
      </c>
      <c r="F82" s="5">
        <f>IF(E82="",0,C82*E82)</f>
        <v/>
      </c>
      <c r="G82" s="5">
        <f>IF(B82="I1",20*AVERAGEIF('QA_Images'!$A$2:$A$53,A82,'QA_Images'!$U$2:$U$53)/100,IF(D82="NOT_CHECKED",0,C82))</f>
        <v/>
      </c>
      <c r="H82" s="2" t="inlineStr">
        <is>
          <t>Intent/cannibalization check distinguishes nearby products. Nearby product cluster has overlap risk, so intent distinction remains only partial.</t>
        </is>
      </c>
      <c r="I82" s="2" t="inlineStr">
        <is>
          <t>evidence_batch_018_178</t>
        </is>
      </c>
      <c r="J82" s="2" t="inlineStr">
        <is>
          <t>ISSUE-0066; ISSUE-0067; ISSUE-0068; ISSUE-0069; ISSUE-0070</t>
        </is>
      </c>
    </row>
    <row r="83" ht="42" customHeight="1">
      <c r="A83" s="3" t="inlineStr">
        <is>
          <t>jeminise.com+personalized-baseball-bedding-full-size-flag-custom-name-d-design-03</t>
        </is>
      </c>
      <c r="B83" s="3" t="inlineStr">
        <is>
          <t>K3</t>
        </is>
      </c>
      <c r="C83" s="3" t="n">
        <v>5</v>
      </c>
      <c r="D83" s="3" t="inlineStr">
        <is>
          <t>PARTIAL</t>
        </is>
      </c>
      <c r="E83" s="7">
        <f>IF(B83="I1",AVERAGEIF('QA_Images'!$A$2:$A$53,A83,'QA_Images'!$T$2:$T$53)/100,IF(D83="FULL",1,IF(D83="PARTIAL",0.5,IF(D83="FAIL",0,""))))</f>
        <v/>
      </c>
      <c r="F83" s="7">
        <f>IF(E83="",0,C83*E83)</f>
        <v/>
      </c>
      <c r="G83" s="7">
        <f>IF(B83="I1",20*AVERAGEIF('QA_Images'!$A$2:$A$53,A83,'QA_Images'!$U$2:$U$53)/100,IF(D83="NOT_CHECKED",0,C83))</f>
        <v/>
      </c>
      <c r="H83" s="3" t="inlineStr">
        <is>
          <t>Keyword evidence is supported by SERP comparables without unsupported volume claims. Evidence is public SERP only; no Search Console, keyword volume or customer-search corpus provided.</t>
        </is>
      </c>
      <c r="I83" s="3" t="inlineStr">
        <is>
          <t>evidence_batch_018_178</t>
        </is>
      </c>
      <c r="J83" s="3" t="inlineStr">
        <is>
          <t>ISSUE-0066; ISSUE-0067; ISSUE-0068; ISSUE-0069; ISSUE-0070</t>
        </is>
      </c>
    </row>
    <row r="84" ht="42" customHeight="1">
      <c r="A84" s="2" t="inlineStr">
        <is>
          <t>jeminise.com+personalized-baseball-bedding-full-size-flag-custom-name-d-design-03</t>
        </is>
      </c>
      <c r="B84" s="2" t="inlineStr">
        <is>
          <t>T1</t>
        </is>
      </c>
      <c r="C84" s="2" t="n">
        <v>10</v>
      </c>
      <c r="D84" s="2" t="inlineStr">
        <is>
          <t>PARTIAL</t>
        </is>
      </c>
      <c r="E84" s="5">
        <f>IF(B84="I1",AVERAGEIF('QA_Images'!$A$2:$A$53,A84,'QA_Images'!$T$2:$T$53)/100,IF(D84="FULL",1,IF(D84="PARTIAL",0.5,IF(D84="FAIL",0,""))))</f>
        <v/>
      </c>
      <c r="F84" s="5">
        <f>IF(E84="",0,C84*E84)</f>
        <v/>
      </c>
      <c r="G84" s="5">
        <f>IF(B84="I1",20*AVERAGEIF('QA_Images'!$A$2:$A$53,A84,'QA_Images'!$U$2:$U$53)/100,IF(D84="NOT_CHECKED",0,C84))</f>
        <v/>
      </c>
      <c r="H84" s="2" t="inlineStr">
        <is>
          <t>SEO title and H1 are relevant, specific and grounded in visible/source facts. Proposed H1 is blank, so the title/H1 pair cannot be fully verified.</t>
        </is>
      </c>
      <c r="I84" s="2" t="inlineStr">
        <is>
          <t>evidence_batch_018_178</t>
        </is>
      </c>
      <c r="J84" s="2" t="inlineStr">
        <is>
          <t>ISSUE-0066; ISSUE-0067; ISSUE-0068; ISSUE-0069; ISSUE-0070</t>
        </is>
      </c>
    </row>
    <row r="85" ht="42" customHeight="1">
      <c r="A85" s="3" t="inlineStr">
        <is>
          <t>jeminise.com+personalized-baseball-bedding-full-size-flag-custom-name-d-design-03</t>
        </is>
      </c>
      <c r="B85" s="3" t="inlineStr">
        <is>
          <t>T2</t>
        </is>
      </c>
      <c r="C85" s="3" t="n">
        <v>5</v>
      </c>
      <c r="D85" s="3" t="inlineStr">
        <is>
          <t>PARTIAL</t>
        </is>
      </c>
      <c r="E85" s="7">
        <f>IF(B85="I1",AVERAGEIF('QA_Images'!$A$2:$A$53,A85,'QA_Images'!$T$2:$T$53)/100,IF(D85="FULL",1,IF(D85="PARTIAL",0.5,IF(D85="FAIL",0,""))))</f>
        <v/>
      </c>
      <c r="F85" s="7">
        <f>IF(E85="",0,C85*E85)</f>
        <v/>
      </c>
      <c r="G85" s="7">
        <f>IF(B85="I1",20*AVERAGEIF('QA_Images'!$A$2:$A$53,A85,'QA_Images'!$U$2:$U$53)/100,IF(D85="NOT_CHECKED",0,C85))</f>
        <v/>
      </c>
      <c r="H85" s="3" t="inlineStr">
        <is>
          <t>Meta description is concise, publish-ready and avoids unsupported claims. Meta description checked for length, specificity and supportable claims.</t>
        </is>
      </c>
      <c r="I85" s="3" t="inlineStr">
        <is>
          <t>evidence_batch_018_178</t>
        </is>
      </c>
      <c r="J85" s="3" t="inlineStr">
        <is>
          <t>ISSUE-0066; ISSUE-0067; ISSUE-0068; ISSUE-0069; ISSUE-0070</t>
        </is>
      </c>
    </row>
    <row r="86" ht="42" customHeight="1">
      <c r="A86" s="2" t="inlineStr">
        <is>
          <t>jeminise.com+personalized-baseball-bedding-full-size-flag-custom-name-d-design-03</t>
        </is>
      </c>
      <c r="B86" s="2" t="inlineStr">
        <is>
          <t>D1</t>
        </is>
      </c>
      <c r="C86" s="2" t="n">
        <v>10</v>
      </c>
      <c r="D86" s="2" t="inlineStr">
        <is>
          <t>FAIL</t>
        </is>
      </c>
      <c r="E86" s="5">
        <f>IF(B86="I1",AVERAGEIF('QA_Images'!$A$2:$A$53,A86,'QA_Images'!$T$2:$T$53)/100,IF(D86="FULL",1,IF(D86="PARTIAL",0.5,IF(D86="FAIL",0,""))))</f>
        <v/>
      </c>
      <c r="F86" s="5">
        <f>IF(E86="",0,C86*E86)</f>
        <v/>
      </c>
      <c r="G86" s="5">
        <f>IF(B86="I1",20*AVERAGEIF('QA_Images'!$A$2:$A$53,A86,'QA_Images'!$U$2:$U$53)/100,IF(D86="NOT_CHECKED",0,C86))</f>
        <v/>
      </c>
      <c r="H86" s="2" t="inlineStr">
        <is>
          <t>Description HTML is publish-ready and free of internal draft/QA instructions. Description HTML still contains internal QA/import language.</t>
        </is>
      </c>
      <c r="I86" s="2" t="inlineStr">
        <is>
          <t>evidence_batch_018_178</t>
        </is>
      </c>
      <c r="J86" s="2" t="inlineStr">
        <is>
          <t>ISSUE-0066; ISSUE-0067; ISSUE-0068; ISSUE-0069; ISSUE-0070</t>
        </is>
      </c>
    </row>
    <row r="87" ht="42" customHeight="1">
      <c r="A87" s="3" t="inlineStr">
        <is>
          <t>jeminise.com+personalized-baseball-bedding-full-size-flag-custom-name-d-design-03</t>
        </is>
      </c>
      <c r="B87" s="3" t="inlineStr">
        <is>
          <t>D2</t>
        </is>
      </c>
      <c r="C87" s="3" t="n">
        <v>5</v>
      </c>
      <c r="D87" s="3" t="inlineStr">
        <is>
          <t>PARTIAL</t>
        </is>
      </c>
      <c r="E87" s="7">
        <f>IF(B87="I1",AVERAGEIF('QA_Images'!$A$2:$A$53,A87,'QA_Images'!$T$2:$T$53)/100,IF(D87="FULL",1,IF(D87="PARTIAL",0.5,IF(D87="FAIL",0,""))))</f>
        <v/>
      </c>
      <c r="F87" s="7">
        <f>IF(E87="",0,C87*E87)</f>
        <v/>
      </c>
      <c r="G87" s="7">
        <f>IF(B87="I1",20*AVERAGEIF('QA_Images'!$A$2:$A$53,A87,'QA_Images'!$U$2:$U$53)/100,IF(D87="NOT_CHECKED",0,C87))</f>
        <v/>
      </c>
      <c r="H87" s="3" t="inlineStr">
        <is>
          <t>Description content covers verified design, product type, use case and constraints. Description covers motif/product type but remains templated and does not always map every verified constraint.</t>
        </is>
      </c>
      <c r="I87" s="3" t="inlineStr">
        <is>
          <t>evidence_batch_018_178</t>
        </is>
      </c>
      <c r="J87" s="3" t="inlineStr">
        <is>
          <t>ISSUE-0066; ISSUE-0067; ISSUE-0068; ISSUE-0069; ISSUE-0070</t>
        </is>
      </c>
    </row>
    <row r="88" ht="42" customHeight="1">
      <c r="A88" s="2" t="inlineStr">
        <is>
          <t>jeminise.com+personalized-baseball-bedding-full-size-flag-custom-name-d-design-03</t>
        </is>
      </c>
      <c r="B88" s="2" t="inlineStr">
        <is>
          <t>I1</t>
        </is>
      </c>
      <c r="C88" s="2" t="n">
        <v>20</v>
      </c>
      <c r="D88" s="2" t="inlineStr">
        <is>
          <t>FULL</t>
        </is>
      </c>
      <c r="E88" s="5">
        <f>IF(B88="I1",AVERAGEIF('QA_Images'!$A$2:$A$53,A88,'QA_Images'!$T$2:$T$53)/100,IF(D88="FULL",1,IF(D88="PARTIAL",0.5,IF(D88="FAIL",0,""))))</f>
        <v/>
      </c>
      <c r="F88" s="5">
        <f>IF(E88="",0,C88*E88)</f>
        <v/>
      </c>
      <c r="G88" s="5">
        <f>IF(B88="I1",20*AVERAGEIF('QA_Images'!$A$2:$A$53,A88,'QA_Images'!$U$2:$U$53)/100,IF(D88="NOT_CHECKED",0,C88))</f>
        <v/>
      </c>
      <c r="H88" s="2" t="inlineStr">
        <is>
          <t>Image coverage, image observations and alt text quality, derived from QA_Images. Derived from average image QA score; see QA_Images.</t>
        </is>
      </c>
      <c r="I88" s="2" t="inlineStr">
        <is>
          <t>evidence_batch_018_178</t>
        </is>
      </c>
      <c r="J88" s="2" t="inlineStr">
        <is>
          <t>ISSUE-0066; ISSUE-0067; ISSUE-0068; ISSUE-0069; ISSUE-0070</t>
        </is>
      </c>
    </row>
    <row r="89" ht="42" customHeight="1">
      <c r="A89" s="3" t="inlineStr">
        <is>
          <t>jeminise.com+personalized-baseball-bedding-full-size-flag-custom-name-d-design-03</t>
        </is>
      </c>
      <c r="B89" s="3" t="inlineStr">
        <is>
          <t>E1</t>
        </is>
      </c>
      <c r="C89" s="3" t="n">
        <v>5</v>
      </c>
      <c r="D89" s="3" t="inlineStr">
        <is>
          <t>PARTIAL</t>
        </is>
      </c>
      <c r="E89" s="7">
        <f>IF(B89="I1",AVERAGEIF('QA_Images'!$A$2:$A$53,A89,'QA_Images'!$T$2:$T$53)/100,IF(D89="FULL",1,IF(D89="PARTIAL",0.5,IF(D89="FAIL",0,""))))</f>
        <v/>
      </c>
      <c r="F89" s="7">
        <f>IF(E89="",0,C89*E89)</f>
        <v/>
      </c>
      <c r="G89" s="7">
        <f>IF(B89="I1",20*AVERAGEIF('QA_Images'!$A$2:$A$53,A89,'QA_Images'!$U$2:$U$53)/100,IF(D89="NOT_CHECKED",0,C89))</f>
        <v/>
      </c>
      <c r="H89" s="3" t="inlineStr">
        <is>
          <t>Evidence chain is traceable and limitations are explicitly separated from failures. Evidence chain is traceable, with admin-export limitation explicitly separated.</t>
        </is>
      </c>
      <c r="I89" s="3" t="inlineStr">
        <is>
          <t>evidence_batch_018_178</t>
        </is>
      </c>
      <c r="J89" s="3" t="inlineStr">
        <is>
          <t>ISSUE-0066; ISSUE-0067; ISSUE-0068; ISSUE-0069; ISSUE-0070</t>
        </is>
      </c>
    </row>
    <row r="90" ht="42" customHeight="1">
      <c r="A90" s="2" t="inlineStr">
        <is>
          <t>jeminise.com+personalized-baseball-bedding-full-size-flag-custom-name-d-design-04</t>
        </is>
      </c>
      <c r="B90" s="2" t="inlineStr">
        <is>
          <t>P1</t>
        </is>
      </c>
      <c r="C90" s="2" t="n">
        <v>15</v>
      </c>
      <c r="D90" s="2" t="inlineStr">
        <is>
          <t>FULL</t>
        </is>
      </c>
      <c r="E90" s="5">
        <f>IF(B90="I1",AVERAGEIF('QA_Images'!$A$2:$A$53,A90,'QA_Images'!$T$2:$T$53)/100,IF(D90="FULL",1,IF(D90="PARTIAL",0.5,IF(D90="FAIL",0,""))))</f>
        <v/>
      </c>
      <c r="F90" s="5">
        <f>IF(E90="",0,C90*E90)</f>
        <v/>
      </c>
      <c r="G90" s="5">
        <f>IF(B90="I1",20*AVERAGEIF('QA_Images'!$A$2:$A$53,A90,'QA_Images'!$U$2:$U$53)/100,IF(D90="NOT_CHECKED",0,C90))</f>
        <v/>
      </c>
      <c r="H90" s="2" t="inlineStr">
        <is>
          <t>Product identity, handle, product ID, URL and canonical match source/live evidence. Product key/handle/product ID/canonical checked against frozen workbook and live product evidence.</t>
        </is>
      </c>
      <c r="I90" s="2" t="inlineStr">
        <is>
          <t>evidence_batch_018_179</t>
        </is>
      </c>
      <c r="J90" s="2" t="inlineStr">
        <is>
          <t>ISSUE-0074; ISSUE-0075; ISSUE-0076; ISSUE-0077</t>
        </is>
      </c>
    </row>
    <row r="91" ht="42" customHeight="1">
      <c r="A91" s="3" t="inlineStr">
        <is>
          <t>jeminise.com+personalized-baseball-bedding-full-size-flag-custom-name-d-design-04</t>
        </is>
      </c>
      <c r="B91" s="3" t="inlineStr">
        <is>
          <t>P2</t>
        </is>
      </c>
      <c r="C91" s="3" t="n">
        <v>10</v>
      </c>
      <c r="D91" s="3" t="inlineStr">
        <is>
          <t>PARTIAL</t>
        </is>
      </c>
      <c r="E91" s="7">
        <f>IF(B91="I1",AVERAGEIF('QA_Images'!$A$2:$A$53,A91,'QA_Images'!$T$2:$T$53)/100,IF(D91="FULL",1,IF(D91="PARTIAL",0.5,IF(D91="FAIL",0,""))))</f>
        <v/>
      </c>
      <c r="F91" s="7">
        <f>IF(E91="",0,C91*E91)</f>
        <v/>
      </c>
      <c r="G91" s="7">
        <f>IF(B91="I1",20*AVERAGEIF('QA_Images'!$A$2:$A$53,A91,'QA_Images'!$U$2:$U$53)/100,IF(D91="NOT_CHECKED",0,C91))</f>
        <v/>
      </c>
      <c r="H91" s="3" t="inlineStr">
        <is>
          <t>Source product facts, variants, specifications and personalization claims are evidence-backed. Personalization/specification claims checked against storefront product.js and static customizer config.</t>
        </is>
      </c>
      <c r="I91" s="3" t="inlineStr">
        <is>
          <t>evidence_batch_018_179</t>
        </is>
      </c>
      <c r="J91" s="3" t="inlineStr">
        <is>
          <t>ISSUE-0074; ISSUE-0075; ISSUE-0076; ISSUE-0077</t>
        </is>
      </c>
    </row>
    <row r="92" ht="42" customHeight="1">
      <c r="A92" s="2" t="inlineStr">
        <is>
          <t>jeminise.com+personalized-baseball-bedding-full-size-flag-custom-name-d-design-04</t>
        </is>
      </c>
      <c r="B92" s="2" t="inlineStr">
        <is>
          <t>K1</t>
        </is>
      </c>
      <c r="C92" s="2" t="n">
        <v>10</v>
      </c>
      <c r="D92" s="2" t="inlineStr">
        <is>
          <t>PARTIAL</t>
        </is>
      </c>
      <c r="E92" s="5">
        <f>IF(B92="I1",AVERAGEIF('QA_Images'!$A$2:$A$53,A92,'QA_Images'!$T$2:$T$53)/100,IF(D92="FULL",1,IF(D92="PARTIAL",0.5,IF(D92="FAIL",0,""))))</f>
        <v/>
      </c>
      <c r="F92" s="5">
        <f>IF(E92="",0,C92*E92)</f>
        <v/>
      </c>
      <c r="G92" s="5">
        <f>IF(B92="I1",20*AVERAGEIF('QA_Images'!$A$2:$A$53,A92,'QA_Images'!$U$2:$U$53)/100,IF(D92="NOT_CHECKED",0,C92))</f>
        <v/>
      </c>
      <c r="H92" s="2" t="inlineStr">
        <is>
          <t>Primary keyword aligns with product-level US purchase intent. Primary keyword rechecked against US product-level SERP comparables.</t>
        </is>
      </c>
      <c r="I92" s="2" t="inlineStr">
        <is>
          <t>evidence_batch_018_179</t>
        </is>
      </c>
      <c r="J92" s="2" t="inlineStr">
        <is>
          <t>ISSUE-0074; ISSUE-0075; ISSUE-0076; ISSUE-0077</t>
        </is>
      </c>
    </row>
    <row r="93" ht="42" customHeight="1">
      <c r="A93" s="3" t="inlineStr">
        <is>
          <t>jeminise.com+personalized-baseball-bedding-full-size-flag-custom-name-d-design-04</t>
        </is>
      </c>
      <c r="B93" s="3" t="inlineStr">
        <is>
          <t>K2</t>
        </is>
      </c>
      <c r="C93" s="3" t="n">
        <v>5</v>
      </c>
      <c r="D93" s="3" t="inlineStr">
        <is>
          <t>PARTIAL</t>
        </is>
      </c>
      <c r="E93" s="7">
        <f>IF(B93="I1",AVERAGEIF('QA_Images'!$A$2:$A$53,A93,'QA_Images'!$T$2:$T$53)/100,IF(D93="FULL",1,IF(D93="PARTIAL",0.5,IF(D93="FAIL",0,""))))</f>
        <v/>
      </c>
      <c r="F93" s="7">
        <f>IF(E93="",0,C93*E93)</f>
        <v/>
      </c>
      <c r="G93" s="7">
        <f>IF(B93="I1",20*AVERAGEIF('QA_Images'!$A$2:$A$53,A93,'QA_Images'!$U$2:$U$53)/100,IF(D93="NOT_CHECKED",0,C93))</f>
        <v/>
      </c>
      <c r="H93" s="3" t="inlineStr">
        <is>
          <t>Intent/cannibalization check distinguishes nearby products. Nearby product cluster has overlap risk, so intent distinction remains only partial.</t>
        </is>
      </c>
      <c r="I93" s="3" t="inlineStr">
        <is>
          <t>evidence_batch_018_179</t>
        </is>
      </c>
      <c r="J93" s="3" t="inlineStr">
        <is>
          <t>ISSUE-0074; ISSUE-0075; ISSUE-0076; ISSUE-0077</t>
        </is>
      </c>
    </row>
    <row r="94" ht="42" customHeight="1">
      <c r="A94" s="2" t="inlineStr">
        <is>
          <t>jeminise.com+personalized-baseball-bedding-full-size-flag-custom-name-d-design-04</t>
        </is>
      </c>
      <c r="B94" s="2" t="inlineStr">
        <is>
          <t>K3</t>
        </is>
      </c>
      <c r="C94" s="2" t="n">
        <v>5</v>
      </c>
      <c r="D94" s="2" t="inlineStr">
        <is>
          <t>PARTIAL</t>
        </is>
      </c>
      <c r="E94" s="5">
        <f>IF(B94="I1",AVERAGEIF('QA_Images'!$A$2:$A$53,A94,'QA_Images'!$T$2:$T$53)/100,IF(D94="FULL",1,IF(D94="PARTIAL",0.5,IF(D94="FAIL",0,""))))</f>
        <v/>
      </c>
      <c r="F94" s="5">
        <f>IF(E94="",0,C94*E94)</f>
        <v/>
      </c>
      <c r="G94" s="5">
        <f>IF(B94="I1",20*AVERAGEIF('QA_Images'!$A$2:$A$53,A94,'QA_Images'!$U$2:$U$53)/100,IF(D94="NOT_CHECKED",0,C94))</f>
        <v/>
      </c>
      <c r="H94" s="2" t="inlineStr">
        <is>
          <t>Keyword evidence is supported by SERP comparables without unsupported volume claims. Evidence is public SERP only; no Search Console, keyword volume or customer-search corpus provided.</t>
        </is>
      </c>
      <c r="I94" s="2" t="inlineStr">
        <is>
          <t>evidence_batch_018_179</t>
        </is>
      </c>
      <c r="J94" s="2" t="inlineStr">
        <is>
          <t>ISSUE-0074; ISSUE-0075; ISSUE-0076; ISSUE-0077</t>
        </is>
      </c>
    </row>
    <row r="95" ht="42" customHeight="1">
      <c r="A95" s="3" t="inlineStr">
        <is>
          <t>jeminise.com+personalized-baseball-bedding-full-size-flag-custom-name-d-design-04</t>
        </is>
      </c>
      <c r="B95" s="3" t="inlineStr">
        <is>
          <t>T1</t>
        </is>
      </c>
      <c r="C95" s="3" t="n">
        <v>10</v>
      </c>
      <c r="D95" s="3" t="inlineStr">
        <is>
          <t>PARTIAL</t>
        </is>
      </c>
      <c r="E95" s="7">
        <f>IF(B95="I1",AVERAGEIF('QA_Images'!$A$2:$A$53,A95,'QA_Images'!$T$2:$T$53)/100,IF(D95="FULL",1,IF(D95="PARTIAL",0.5,IF(D95="FAIL",0,""))))</f>
        <v/>
      </c>
      <c r="F95" s="7">
        <f>IF(E95="",0,C95*E95)</f>
        <v/>
      </c>
      <c r="G95" s="7">
        <f>IF(B95="I1",20*AVERAGEIF('QA_Images'!$A$2:$A$53,A95,'QA_Images'!$U$2:$U$53)/100,IF(D95="NOT_CHECKED",0,C95))</f>
        <v/>
      </c>
      <c r="H95" s="3" t="inlineStr">
        <is>
          <t>SEO title and H1 are relevant, specific and grounded in visible/source facts. Proposed H1 is blank, so the title/H1 pair cannot be fully verified.</t>
        </is>
      </c>
      <c r="I95" s="3" t="inlineStr">
        <is>
          <t>evidence_batch_018_179</t>
        </is>
      </c>
      <c r="J95" s="3" t="inlineStr">
        <is>
          <t>ISSUE-0074; ISSUE-0075; ISSUE-0076; ISSUE-0077</t>
        </is>
      </c>
    </row>
    <row r="96" ht="42" customHeight="1">
      <c r="A96" s="2" t="inlineStr">
        <is>
          <t>jeminise.com+personalized-baseball-bedding-full-size-flag-custom-name-d-design-04</t>
        </is>
      </c>
      <c r="B96" s="2" t="inlineStr">
        <is>
          <t>T2</t>
        </is>
      </c>
      <c r="C96" s="2" t="n">
        <v>5</v>
      </c>
      <c r="D96" s="2" t="inlineStr">
        <is>
          <t>PARTIAL</t>
        </is>
      </c>
      <c r="E96" s="5">
        <f>IF(B96="I1",AVERAGEIF('QA_Images'!$A$2:$A$53,A96,'QA_Images'!$T$2:$T$53)/100,IF(D96="FULL",1,IF(D96="PARTIAL",0.5,IF(D96="FAIL",0,""))))</f>
        <v/>
      </c>
      <c r="F96" s="5">
        <f>IF(E96="",0,C96*E96)</f>
        <v/>
      </c>
      <c r="G96" s="5">
        <f>IF(B96="I1",20*AVERAGEIF('QA_Images'!$A$2:$A$53,A96,'QA_Images'!$U$2:$U$53)/100,IF(D96="NOT_CHECKED",0,C96))</f>
        <v/>
      </c>
      <c r="H96" s="2" t="inlineStr">
        <is>
          <t>Meta description is concise, publish-ready and avoids unsupported claims. Meta description checked for length, specificity and supportable claims.</t>
        </is>
      </c>
      <c r="I96" s="2" t="inlineStr">
        <is>
          <t>evidence_batch_018_179</t>
        </is>
      </c>
      <c r="J96" s="2" t="inlineStr">
        <is>
          <t>ISSUE-0074; ISSUE-0075; ISSUE-0076; ISSUE-0077</t>
        </is>
      </c>
    </row>
    <row r="97" ht="42" customHeight="1">
      <c r="A97" s="3" t="inlineStr">
        <is>
          <t>jeminise.com+personalized-baseball-bedding-full-size-flag-custom-name-d-design-04</t>
        </is>
      </c>
      <c r="B97" s="3" t="inlineStr">
        <is>
          <t>D1</t>
        </is>
      </c>
      <c r="C97" s="3" t="n">
        <v>10</v>
      </c>
      <c r="D97" s="3" t="inlineStr">
        <is>
          <t>FAIL</t>
        </is>
      </c>
      <c r="E97" s="7">
        <f>IF(B97="I1",AVERAGEIF('QA_Images'!$A$2:$A$53,A97,'QA_Images'!$T$2:$T$53)/100,IF(D97="FULL",1,IF(D97="PARTIAL",0.5,IF(D97="FAIL",0,""))))</f>
        <v/>
      </c>
      <c r="F97" s="7">
        <f>IF(E97="",0,C97*E97)</f>
        <v/>
      </c>
      <c r="G97" s="7">
        <f>IF(B97="I1",20*AVERAGEIF('QA_Images'!$A$2:$A$53,A97,'QA_Images'!$U$2:$U$53)/100,IF(D97="NOT_CHECKED",0,C97))</f>
        <v/>
      </c>
      <c r="H97" s="3" t="inlineStr">
        <is>
          <t>Description HTML is publish-ready and free of internal draft/QA instructions. Description HTML still contains internal QA/import language.</t>
        </is>
      </c>
      <c r="I97" s="3" t="inlineStr">
        <is>
          <t>evidence_batch_018_179</t>
        </is>
      </c>
      <c r="J97" s="3" t="inlineStr">
        <is>
          <t>ISSUE-0074; ISSUE-0075; ISSUE-0076; ISSUE-0077</t>
        </is>
      </c>
    </row>
    <row r="98" ht="42" customHeight="1">
      <c r="A98" s="2" t="inlineStr">
        <is>
          <t>jeminise.com+personalized-baseball-bedding-full-size-flag-custom-name-d-design-04</t>
        </is>
      </c>
      <c r="B98" s="2" t="inlineStr">
        <is>
          <t>D2</t>
        </is>
      </c>
      <c r="C98" s="2" t="n">
        <v>5</v>
      </c>
      <c r="D98" s="2" t="inlineStr">
        <is>
          <t>PARTIAL</t>
        </is>
      </c>
      <c r="E98" s="5">
        <f>IF(B98="I1",AVERAGEIF('QA_Images'!$A$2:$A$53,A98,'QA_Images'!$T$2:$T$53)/100,IF(D98="FULL",1,IF(D98="PARTIAL",0.5,IF(D98="FAIL",0,""))))</f>
        <v/>
      </c>
      <c r="F98" s="5">
        <f>IF(E98="",0,C98*E98)</f>
        <v/>
      </c>
      <c r="G98" s="5">
        <f>IF(B98="I1",20*AVERAGEIF('QA_Images'!$A$2:$A$53,A98,'QA_Images'!$U$2:$U$53)/100,IF(D98="NOT_CHECKED",0,C98))</f>
        <v/>
      </c>
      <c r="H98" s="2" t="inlineStr">
        <is>
          <t>Description content covers verified design, product type, use case and constraints. Description covers motif/product type but remains templated and does not always map every verified constraint.</t>
        </is>
      </c>
      <c r="I98" s="2" t="inlineStr">
        <is>
          <t>evidence_batch_018_179</t>
        </is>
      </c>
      <c r="J98" s="2" t="inlineStr">
        <is>
          <t>ISSUE-0074; ISSUE-0075; ISSUE-0076; ISSUE-0077</t>
        </is>
      </c>
    </row>
    <row r="99" ht="42" customHeight="1">
      <c r="A99" s="3" t="inlineStr">
        <is>
          <t>jeminise.com+personalized-baseball-bedding-full-size-flag-custom-name-d-design-04</t>
        </is>
      </c>
      <c r="B99" s="3" t="inlineStr">
        <is>
          <t>I1</t>
        </is>
      </c>
      <c r="C99" s="3" t="n">
        <v>20</v>
      </c>
      <c r="D99" s="3" t="inlineStr">
        <is>
          <t>FULL</t>
        </is>
      </c>
      <c r="E99" s="7">
        <f>IF(B99="I1",AVERAGEIF('QA_Images'!$A$2:$A$53,A99,'QA_Images'!$T$2:$T$53)/100,IF(D99="FULL",1,IF(D99="PARTIAL",0.5,IF(D99="FAIL",0,""))))</f>
        <v/>
      </c>
      <c r="F99" s="7">
        <f>IF(E99="",0,C99*E99)</f>
        <v/>
      </c>
      <c r="G99" s="7">
        <f>IF(B99="I1",20*AVERAGEIF('QA_Images'!$A$2:$A$53,A99,'QA_Images'!$U$2:$U$53)/100,IF(D99="NOT_CHECKED",0,C99))</f>
        <v/>
      </c>
      <c r="H99" s="3" t="inlineStr">
        <is>
          <t>Image coverage, image observations and alt text quality, derived from QA_Images. Derived from average image QA score; see QA_Images.</t>
        </is>
      </c>
      <c r="I99" s="3" t="inlineStr">
        <is>
          <t>evidence_batch_018_179</t>
        </is>
      </c>
      <c r="J99" s="3" t="inlineStr">
        <is>
          <t>ISSUE-0074; ISSUE-0075; ISSUE-0076; ISSUE-0077</t>
        </is>
      </c>
    </row>
    <row r="100" ht="42" customHeight="1">
      <c r="A100" s="2" t="inlineStr">
        <is>
          <t>jeminise.com+personalized-baseball-bedding-full-size-flag-custom-name-d-design-04</t>
        </is>
      </c>
      <c r="B100" s="2" t="inlineStr">
        <is>
          <t>E1</t>
        </is>
      </c>
      <c r="C100" s="2" t="n">
        <v>5</v>
      </c>
      <c r="D100" s="2" t="inlineStr">
        <is>
          <t>PARTIAL</t>
        </is>
      </c>
      <c r="E100" s="5">
        <f>IF(B100="I1",AVERAGEIF('QA_Images'!$A$2:$A$53,A100,'QA_Images'!$T$2:$T$53)/100,IF(D100="FULL",1,IF(D100="PARTIAL",0.5,IF(D100="FAIL",0,""))))</f>
        <v/>
      </c>
      <c r="F100" s="5">
        <f>IF(E100="",0,C100*E100)</f>
        <v/>
      </c>
      <c r="G100" s="5">
        <f>IF(B100="I1",20*AVERAGEIF('QA_Images'!$A$2:$A$53,A100,'QA_Images'!$U$2:$U$53)/100,IF(D100="NOT_CHECKED",0,C100))</f>
        <v/>
      </c>
      <c r="H100" s="2" t="inlineStr">
        <is>
          <t>Evidence chain is traceable and limitations are explicitly separated from failures. Evidence chain is traceable, with admin-export limitation explicitly separated.</t>
        </is>
      </c>
      <c r="I100" s="2" t="inlineStr">
        <is>
          <t>evidence_batch_018_179</t>
        </is>
      </c>
      <c r="J100" s="2" t="inlineStr">
        <is>
          <t>ISSUE-0074; ISSUE-0075; ISSUE-0076; ISSUE-0077</t>
        </is>
      </c>
    </row>
    <row r="101" ht="42" customHeight="1">
      <c r="A101" s="3" t="inlineStr">
        <is>
          <t>jeminise.com+personalized-baseball-bedding-full-size-flag-custom-name-d-design-05</t>
        </is>
      </c>
      <c r="B101" s="3" t="inlineStr">
        <is>
          <t>P1</t>
        </is>
      </c>
      <c r="C101" s="3" t="n">
        <v>15</v>
      </c>
      <c r="D101" s="3" t="inlineStr">
        <is>
          <t>FULL</t>
        </is>
      </c>
      <c r="E101" s="7">
        <f>IF(B101="I1",AVERAGEIF('QA_Images'!$A$2:$A$53,A101,'QA_Images'!$T$2:$T$53)/100,IF(D101="FULL",1,IF(D101="PARTIAL",0.5,IF(D101="FAIL",0,""))))</f>
        <v/>
      </c>
      <c r="F101" s="7">
        <f>IF(E101="",0,C101*E101)</f>
        <v/>
      </c>
      <c r="G101" s="7">
        <f>IF(B101="I1",20*AVERAGEIF('QA_Images'!$A$2:$A$53,A101,'QA_Images'!$U$2:$U$53)/100,IF(D101="NOT_CHECKED",0,C101))</f>
        <v/>
      </c>
      <c r="H101" s="3" t="inlineStr">
        <is>
          <t>Product identity, handle, product ID, URL and canonical match source/live evidence. Product key/handle/product ID/canonical checked against frozen workbook and live product evidence.</t>
        </is>
      </c>
      <c r="I101" s="3" t="inlineStr">
        <is>
          <t>evidence_batch_018_180</t>
        </is>
      </c>
      <c r="J101" s="3" t="inlineStr">
        <is>
          <t>ISSUE-0081; ISSUE-0082; ISSUE-0083; ISSUE-0084; ISSUE-0085</t>
        </is>
      </c>
    </row>
    <row r="102" ht="42" customHeight="1">
      <c r="A102" s="2" t="inlineStr">
        <is>
          <t>jeminise.com+personalized-baseball-bedding-full-size-flag-custom-name-d-design-05</t>
        </is>
      </c>
      <c r="B102" s="2" t="inlineStr">
        <is>
          <t>P2</t>
        </is>
      </c>
      <c r="C102" s="2" t="n">
        <v>10</v>
      </c>
      <c r="D102" s="2" t="inlineStr">
        <is>
          <t>FAIL</t>
        </is>
      </c>
      <c r="E102" s="5">
        <f>IF(B102="I1",AVERAGEIF('QA_Images'!$A$2:$A$53,A102,'QA_Images'!$T$2:$T$53)/100,IF(D102="FULL",1,IF(D102="PARTIAL",0.5,IF(D102="FAIL",0,""))))</f>
        <v/>
      </c>
      <c r="F102" s="5">
        <f>IF(E102="",0,C102*E102)</f>
        <v/>
      </c>
      <c r="G102" s="5">
        <f>IF(B102="I1",20*AVERAGEIF('QA_Images'!$A$2:$A$53,A102,'QA_Images'!$U$2:$U$53)/100,IF(D102="NOT_CHECKED",0,C102))</f>
        <v/>
      </c>
      <c r="H102" s="2" t="inlineStr">
        <is>
          <t>Source product facts, variants, specifications and personalization claims are evidence-backed. Personalization/specification claims checked against storefront product.js and static customizer config.</t>
        </is>
      </c>
      <c r="I102" s="2" t="inlineStr">
        <is>
          <t>evidence_batch_018_180</t>
        </is>
      </c>
      <c r="J102" s="2" t="inlineStr">
        <is>
          <t>ISSUE-0081; ISSUE-0082; ISSUE-0083; ISSUE-0084; ISSUE-0085</t>
        </is>
      </c>
    </row>
    <row r="103" ht="42" customHeight="1">
      <c r="A103" s="3" t="inlineStr">
        <is>
          <t>jeminise.com+personalized-baseball-bedding-full-size-flag-custom-name-d-design-05</t>
        </is>
      </c>
      <c r="B103" s="3" t="inlineStr">
        <is>
          <t>K1</t>
        </is>
      </c>
      <c r="C103" s="3" t="n">
        <v>10</v>
      </c>
      <c r="D103" s="3" t="inlineStr">
        <is>
          <t>PARTIAL</t>
        </is>
      </c>
      <c r="E103" s="7">
        <f>IF(B103="I1",AVERAGEIF('QA_Images'!$A$2:$A$53,A103,'QA_Images'!$T$2:$T$53)/100,IF(D103="FULL",1,IF(D103="PARTIAL",0.5,IF(D103="FAIL",0,""))))</f>
        <v/>
      </c>
      <c r="F103" s="7">
        <f>IF(E103="",0,C103*E103)</f>
        <v/>
      </c>
      <c r="G103" s="7">
        <f>IF(B103="I1",20*AVERAGEIF('QA_Images'!$A$2:$A$53,A103,'QA_Images'!$U$2:$U$53)/100,IF(D103="NOT_CHECKED",0,C103))</f>
        <v/>
      </c>
      <c r="H103" s="3" t="inlineStr">
        <is>
          <t>Primary keyword aligns with product-level US purchase intent. Primary keyword rechecked against US product-level SERP comparables.</t>
        </is>
      </c>
      <c r="I103" s="3" t="inlineStr">
        <is>
          <t>evidence_batch_018_180</t>
        </is>
      </c>
      <c r="J103" s="3" t="inlineStr">
        <is>
          <t>ISSUE-0081; ISSUE-0082; ISSUE-0083; ISSUE-0084; ISSUE-0085</t>
        </is>
      </c>
    </row>
    <row r="104" ht="42" customHeight="1">
      <c r="A104" s="2" t="inlineStr">
        <is>
          <t>jeminise.com+personalized-baseball-bedding-full-size-flag-custom-name-d-design-05</t>
        </is>
      </c>
      <c r="B104" s="2" t="inlineStr">
        <is>
          <t>K2</t>
        </is>
      </c>
      <c r="C104" s="2" t="n">
        <v>5</v>
      </c>
      <c r="D104" s="2" t="inlineStr">
        <is>
          <t>PARTIAL</t>
        </is>
      </c>
      <c r="E104" s="5">
        <f>IF(B104="I1",AVERAGEIF('QA_Images'!$A$2:$A$53,A104,'QA_Images'!$T$2:$T$53)/100,IF(D104="FULL",1,IF(D104="PARTIAL",0.5,IF(D104="FAIL",0,""))))</f>
        <v/>
      </c>
      <c r="F104" s="5">
        <f>IF(E104="",0,C104*E104)</f>
        <v/>
      </c>
      <c r="G104" s="5">
        <f>IF(B104="I1",20*AVERAGEIF('QA_Images'!$A$2:$A$53,A104,'QA_Images'!$U$2:$U$53)/100,IF(D104="NOT_CHECKED",0,C104))</f>
        <v/>
      </c>
      <c r="H104" s="2" t="inlineStr">
        <is>
          <t>Intent/cannibalization check distinguishes nearby products. Nearby product cluster has overlap risk, so intent distinction remains only partial.</t>
        </is>
      </c>
      <c r="I104" s="2" t="inlineStr">
        <is>
          <t>evidence_batch_018_180</t>
        </is>
      </c>
      <c r="J104" s="2" t="inlineStr">
        <is>
          <t>ISSUE-0081; ISSUE-0082; ISSUE-0083; ISSUE-0084; ISSUE-0085</t>
        </is>
      </c>
    </row>
    <row r="105" ht="42" customHeight="1">
      <c r="A105" s="3" t="inlineStr">
        <is>
          <t>jeminise.com+personalized-baseball-bedding-full-size-flag-custom-name-d-design-05</t>
        </is>
      </c>
      <c r="B105" s="3" t="inlineStr">
        <is>
          <t>K3</t>
        </is>
      </c>
      <c r="C105" s="3" t="n">
        <v>5</v>
      </c>
      <c r="D105" s="3" t="inlineStr">
        <is>
          <t>PARTIAL</t>
        </is>
      </c>
      <c r="E105" s="7">
        <f>IF(B105="I1",AVERAGEIF('QA_Images'!$A$2:$A$53,A105,'QA_Images'!$T$2:$T$53)/100,IF(D105="FULL",1,IF(D105="PARTIAL",0.5,IF(D105="FAIL",0,""))))</f>
        <v/>
      </c>
      <c r="F105" s="7">
        <f>IF(E105="",0,C105*E105)</f>
        <v/>
      </c>
      <c r="G105" s="7">
        <f>IF(B105="I1",20*AVERAGEIF('QA_Images'!$A$2:$A$53,A105,'QA_Images'!$U$2:$U$53)/100,IF(D105="NOT_CHECKED",0,C105))</f>
        <v/>
      </c>
      <c r="H105" s="3" t="inlineStr">
        <is>
          <t>Keyword evidence is supported by SERP comparables without unsupported volume claims. Evidence is public SERP only; no Search Console, keyword volume or customer-search corpus provided.</t>
        </is>
      </c>
      <c r="I105" s="3" t="inlineStr">
        <is>
          <t>evidence_batch_018_180</t>
        </is>
      </c>
      <c r="J105" s="3" t="inlineStr">
        <is>
          <t>ISSUE-0081; ISSUE-0082; ISSUE-0083; ISSUE-0084; ISSUE-0085</t>
        </is>
      </c>
    </row>
    <row r="106" ht="42" customHeight="1">
      <c r="A106" s="2" t="inlineStr">
        <is>
          <t>jeminise.com+personalized-baseball-bedding-full-size-flag-custom-name-d-design-05</t>
        </is>
      </c>
      <c r="B106" s="2" t="inlineStr">
        <is>
          <t>T1</t>
        </is>
      </c>
      <c r="C106" s="2" t="n">
        <v>10</v>
      </c>
      <c r="D106" s="2" t="inlineStr">
        <is>
          <t>PARTIAL</t>
        </is>
      </c>
      <c r="E106" s="5">
        <f>IF(B106="I1",AVERAGEIF('QA_Images'!$A$2:$A$53,A106,'QA_Images'!$T$2:$T$53)/100,IF(D106="FULL",1,IF(D106="PARTIAL",0.5,IF(D106="FAIL",0,""))))</f>
        <v/>
      </c>
      <c r="F106" s="5">
        <f>IF(E106="",0,C106*E106)</f>
        <v/>
      </c>
      <c r="G106" s="5">
        <f>IF(B106="I1",20*AVERAGEIF('QA_Images'!$A$2:$A$53,A106,'QA_Images'!$U$2:$U$53)/100,IF(D106="NOT_CHECKED",0,C106))</f>
        <v/>
      </c>
      <c r="H106" s="2" t="inlineStr">
        <is>
          <t>SEO title and H1 are relevant, specific and grounded in visible/source facts. Proposed H1 is blank, so the title/H1 pair cannot be fully verified.</t>
        </is>
      </c>
      <c r="I106" s="2" t="inlineStr">
        <is>
          <t>evidence_batch_018_180</t>
        </is>
      </c>
      <c r="J106" s="2" t="inlineStr">
        <is>
          <t>ISSUE-0081; ISSUE-0082; ISSUE-0083; ISSUE-0084; ISSUE-0085</t>
        </is>
      </c>
    </row>
    <row r="107" ht="42" customHeight="1">
      <c r="A107" s="3" t="inlineStr">
        <is>
          <t>jeminise.com+personalized-baseball-bedding-full-size-flag-custom-name-d-design-05</t>
        </is>
      </c>
      <c r="B107" s="3" t="inlineStr">
        <is>
          <t>T2</t>
        </is>
      </c>
      <c r="C107" s="3" t="n">
        <v>5</v>
      </c>
      <c r="D107" s="3" t="inlineStr">
        <is>
          <t>PARTIAL</t>
        </is>
      </c>
      <c r="E107" s="7">
        <f>IF(B107="I1",AVERAGEIF('QA_Images'!$A$2:$A$53,A107,'QA_Images'!$T$2:$T$53)/100,IF(D107="FULL",1,IF(D107="PARTIAL",0.5,IF(D107="FAIL",0,""))))</f>
        <v/>
      </c>
      <c r="F107" s="7">
        <f>IF(E107="",0,C107*E107)</f>
        <v/>
      </c>
      <c r="G107" s="7">
        <f>IF(B107="I1",20*AVERAGEIF('QA_Images'!$A$2:$A$53,A107,'QA_Images'!$U$2:$U$53)/100,IF(D107="NOT_CHECKED",0,C107))</f>
        <v/>
      </c>
      <c r="H107" s="3" t="inlineStr">
        <is>
          <t>Meta description is concise, publish-ready and avoids unsupported claims. Meta description checked for length, specificity and supportable claims.</t>
        </is>
      </c>
      <c r="I107" s="3" t="inlineStr">
        <is>
          <t>evidence_batch_018_180</t>
        </is>
      </c>
      <c r="J107" s="3" t="inlineStr">
        <is>
          <t>ISSUE-0081; ISSUE-0082; ISSUE-0083; ISSUE-0084; ISSUE-0085</t>
        </is>
      </c>
    </row>
    <row r="108" ht="42" customHeight="1">
      <c r="A108" s="2" t="inlineStr">
        <is>
          <t>jeminise.com+personalized-baseball-bedding-full-size-flag-custom-name-d-design-05</t>
        </is>
      </c>
      <c r="B108" s="2" t="inlineStr">
        <is>
          <t>D1</t>
        </is>
      </c>
      <c r="C108" s="2" t="n">
        <v>10</v>
      </c>
      <c r="D108" s="2" t="inlineStr">
        <is>
          <t>FAIL</t>
        </is>
      </c>
      <c r="E108" s="5">
        <f>IF(B108="I1",AVERAGEIF('QA_Images'!$A$2:$A$53,A108,'QA_Images'!$T$2:$T$53)/100,IF(D108="FULL",1,IF(D108="PARTIAL",0.5,IF(D108="FAIL",0,""))))</f>
        <v/>
      </c>
      <c r="F108" s="5">
        <f>IF(E108="",0,C108*E108)</f>
        <v/>
      </c>
      <c r="G108" s="5">
        <f>IF(B108="I1",20*AVERAGEIF('QA_Images'!$A$2:$A$53,A108,'QA_Images'!$U$2:$U$53)/100,IF(D108="NOT_CHECKED",0,C108))</f>
        <v/>
      </c>
      <c r="H108" s="2" t="inlineStr">
        <is>
          <t>Description HTML is publish-ready and free of internal draft/QA instructions. Description HTML still contains internal QA/import language.</t>
        </is>
      </c>
      <c r="I108" s="2" t="inlineStr">
        <is>
          <t>evidence_batch_018_180</t>
        </is>
      </c>
      <c r="J108" s="2" t="inlineStr">
        <is>
          <t>ISSUE-0081; ISSUE-0082; ISSUE-0083; ISSUE-0084; ISSUE-0085</t>
        </is>
      </c>
    </row>
    <row r="109" ht="42" customHeight="1">
      <c r="A109" s="3" t="inlineStr">
        <is>
          <t>jeminise.com+personalized-baseball-bedding-full-size-flag-custom-name-d-design-05</t>
        </is>
      </c>
      <c r="B109" s="3" t="inlineStr">
        <is>
          <t>D2</t>
        </is>
      </c>
      <c r="C109" s="3" t="n">
        <v>5</v>
      </c>
      <c r="D109" s="3" t="inlineStr">
        <is>
          <t>PARTIAL</t>
        </is>
      </c>
      <c r="E109" s="7">
        <f>IF(B109="I1",AVERAGEIF('QA_Images'!$A$2:$A$53,A109,'QA_Images'!$T$2:$T$53)/100,IF(D109="FULL",1,IF(D109="PARTIAL",0.5,IF(D109="FAIL",0,""))))</f>
        <v/>
      </c>
      <c r="F109" s="7">
        <f>IF(E109="",0,C109*E109)</f>
        <v/>
      </c>
      <c r="G109" s="7">
        <f>IF(B109="I1",20*AVERAGEIF('QA_Images'!$A$2:$A$53,A109,'QA_Images'!$U$2:$U$53)/100,IF(D109="NOT_CHECKED",0,C109))</f>
        <v/>
      </c>
      <c r="H109" s="3" t="inlineStr">
        <is>
          <t>Description content covers verified design, product type, use case and constraints. Description covers motif/product type but remains templated and does not always map every verified constraint.</t>
        </is>
      </c>
      <c r="I109" s="3" t="inlineStr">
        <is>
          <t>evidence_batch_018_180</t>
        </is>
      </c>
      <c r="J109" s="3" t="inlineStr">
        <is>
          <t>ISSUE-0081; ISSUE-0082; ISSUE-0083; ISSUE-0084; ISSUE-0085</t>
        </is>
      </c>
    </row>
    <row r="110" ht="42" customHeight="1">
      <c r="A110" s="2" t="inlineStr">
        <is>
          <t>jeminise.com+personalized-baseball-bedding-full-size-flag-custom-name-d-design-05</t>
        </is>
      </c>
      <c r="B110" s="2" t="inlineStr">
        <is>
          <t>I1</t>
        </is>
      </c>
      <c r="C110" s="2" t="n">
        <v>20</v>
      </c>
      <c r="D110" s="2" t="inlineStr">
        <is>
          <t>FULL</t>
        </is>
      </c>
      <c r="E110" s="5">
        <f>IF(B110="I1",AVERAGEIF('QA_Images'!$A$2:$A$53,A110,'QA_Images'!$T$2:$T$53)/100,IF(D110="FULL",1,IF(D110="PARTIAL",0.5,IF(D110="FAIL",0,""))))</f>
        <v/>
      </c>
      <c r="F110" s="5">
        <f>IF(E110="",0,C110*E110)</f>
        <v/>
      </c>
      <c r="G110" s="5">
        <f>IF(B110="I1",20*AVERAGEIF('QA_Images'!$A$2:$A$53,A110,'QA_Images'!$U$2:$U$53)/100,IF(D110="NOT_CHECKED",0,C110))</f>
        <v/>
      </c>
      <c r="H110" s="2" t="inlineStr">
        <is>
          <t>Image coverage, image observations and alt text quality, derived from QA_Images. Derived from average image QA score; see QA_Images.</t>
        </is>
      </c>
      <c r="I110" s="2" t="inlineStr">
        <is>
          <t>evidence_batch_018_180</t>
        </is>
      </c>
      <c r="J110" s="2" t="inlineStr">
        <is>
          <t>ISSUE-0081; ISSUE-0082; ISSUE-0083; ISSUE-0084; ISSUE-0085</t>
        </is>
      </c>
    </row>
    <row r="111" ht="42" customHeight="1">
      <c r="A111" s="3" t="inlineStr">
        <is>
          <t>jeminise.com+personalized-baseball-bedding-full-size-flag-custom-name-d-design-05</t>
        </is>
      </c>
      <c r="B111" s="3" t="inlineStr">
        <is>
          <t>E1</t>
        </is>
      </c>
      <c r="C111" s="3" t="n">
        <v>5</v>
      </c>
      <c r="D111" s="3" t="inlineStr">
        <is>
          <t>PARTIAL</t>
        </is>
      </c>
      <c r="E111" s="7">
        <f>IF(B111="I1",AVERAGEIF('QA_Images'!$A$2:$A$53,A111,'QA_Images'!$T$2:$T$53)/100,IF(D111="FULL",1,IF(D111="PARTIAL",0.5,IF(D111="FAIL",0,""))))</f>
        <v/>
      </c>
      <c r="F111" s="7">
        <f>IF(E111="",0,C111*E111)</f>
        <v/>
      </c>
      <c r="G111" s="7">
        <f>IF(B111="I1",20*AVERAGEIF('QA_Images'!$A$2:$A$53,A111,'QA_Images'!$U$2:$U$53)/100,IF(D111="NOT_CHECKED",0,C111))</f>
        <v/>
      </c>
      <c r="H111" s="3" t="inlineStr">
        <is>
          <t>Evidence chain is traceable and limitations are explicitly separated from failures. Evidence chain is traceable, with admin-export limitation explicitly separated.</t>
        </is>
      </c>
      <c r="I111" s="3" t="inlineStr">
        <is>
          <t>evidence_batch_018_180</t>
        </is>
      </c>
      <c r="J111" s="3" t="inlineStr">
        <is>
          <t>ISSUE-0081; ISSUE-0082; ISSUE-0083; ISSUE-0084; ISSUE-0085</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53"/>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24" customWidth="1" min="7" max="7"/>
    <col width="16" customWidth="1" min="8" max="8"/>
    <col width="24"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jeminise.com+pamnest-twin-halloween-comforter-set-with-sheets-5-pieces-design-08</t>
        </is>
      </c>
      <c r="B2" s="2" t="inlineStr">
        <is>
          <t>img_450a96db44e6c74e</t>
        </is>
      </c>
      <c r="C2" s="4" t="inlineStr">
        <is>
          <t>https://cdn.shopify.com/s/files/1/0792/5098/1063/files/1414cb561f6df4ab8d6ead2b6e9a0e8ee121f1b5aaf58a9de1efdb785e9232ca.jpg?v=1787936323</t>
        </is>
      </c>
      <c r="D2" s="4" t="inlineStr">
        <is>
          <t>https://cdn.shopify.com/s/files/1/0792/5098/1063/files/1414cb561f6df4ab8d6ead2b6e9a0e8ee121f1b5aaf58a9de1efdb785e9232ca.jpg?v=1787936323</t>
        </is>
      </c>
      <c r="E2" s="2" t="inlineStr">
        <is>
          <t>48066078245063</t>
        </is>
      </c>
      <c r="F2" s="2" t="inlineStr">
        <is>
          <t>48066078245063</t>
        </is>
      </c>
      <c r="G2" s="2" t="inlineStr">
        <is>
          <t>47062245933255,47062245966023,47062245998791,47062246031559</t>
        </is>
      </c>
      <c r="H2" s="2" t="inlineStr">
        <is>
          <t>GALLERY</t>
        </is>
      </c>
      <c r="I2" s="2" t="inlineStr">
        <is>
          <t>DIRECT_IMAGE_DOWNLOAD_AND_SOURCE_ROW_REVIEW</t>
        </is>
      </c>
      <c r="J2" s="2" t="inlineStr">
        <is>
          <t>2026-09-07T21:44:55+07:00</t>
        </is>
      </c>
      <c r="K2" s="2" t="inlineStr">
        <is>
          <t>Direct QA opened downloaded image 171_01; source SHA 25DB74D9042EACADA0DD05AD585E0F7FDBB44173FFBB84951AE9E09F10CD9BC8. Submitted observation reviewed against gallery position.</t>
        </is>
      </c>
      <c r="L2" s="2" t="inlineStr">
        <is>
          <t>Main product mockup showing pink black gothic skull patchwork comforter set.</t>
        </is>
      </c>
      <c r="M2" s="2" t="inlineStr">
        <is>
          <t>UNKNOWN</t>
        </is>
      </c>
      <c r="N2" s="2" t="inlineStr">
        <is>
          <t>SET</t>
        </is>
      </c>
      <c r="O2" s="2" t="inlineStr">
        <is>
          <t>Pink Black Gothic Skull Patchwork Comforter Set displayed in a main product mockup</t>
        </is>
      </c>
      <c r="P2" s="2" t="inlineStr">
        <is>
          <t>FULL</t>
        </is>
      </c>
      <c r="Q2" s="2" t="inlineStr">
        <is>
          <t>FULL</t>
        </is>
      </c>
      <c r="R2" s="2" t="inlineStr">
        <is>
          <t>PARTIAL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ISSUE-0006</t>
        </is>
      </c>
      <c r="Z2" s="2" t="inlineStr">
        <is>
          <t>D:\Shopify_Workspace\jeminise_seo\seo_runs\jeminise.com\20260906_234129\qa\20260907_213100\images\171_01.jpg; seo_runs\jeminise.com\20260906_234129\evidence\images\171_pamnest-twin-halloween-comforter-set-with-sheets-5-pieces-design-08\image_01_48066078245063.jpg; seo_runs\jeminise.com\20260906_234129\evidence\contact_sheets\171_pamnest-twin-halloween-comforter-set-with-sheets-5-pieces-design-08.jpg</t>
        </is>
      </c>
    </row>
    <row r="3" ht="66" customHeight="1">
      <c r="A3" s="3" t="inlineStr">
        <is>
          <t>jeminise.com+pamnest-twin-halloween-comforter-set-with-sheets-5-pieces-design-08</t>
        </is>
      </c>
      <c r="B3" s="3" t="inlineStr">
        <is>
          <t>img_95a67def7c413d43</t>
        </is>
      </c>
      <c r="C3" s="4" t="inlineStr">
        <is>
          <t>https://cdn.shopify.com/s/files/1/0792/5098/1063/files/805000fbbd933e0a2489a3e979b6fba5cc968fc2782bce3816b4857490140e9a.jpg?v=1787936323</t>
        </is>
      </c>
      <c r="D3" s="4" t="inlineStr">
        <is>
          <t>https://cdn.shopify.com/s/files/1/0792/5098/1063/files/805000fbbd933e0a2489a3e979b6fba5cc968fc2782bce3816b4857490140e9a.jpg?v=1787936323</t>
        </is>
      </c>
      <c r="E3" s="3" t="inlineStr">
        <is>
          <t>48066078408903</t>
        </is>
      </c>
      <c r="F3" s="3" t="inlineStr">
        <is>
          <t>48066078408903</t>
        </is>
      </c>
      <c r="G3" s="3" t="inlineStr"/>
      <c r="H3" s="3" t="inlineStr">
        <is>
          <t>GALLERY</t>
        </is>
      </c>
      <c r="I3" s="3" t="inlineStr">
        <is>
          <t>DIRECT_IMAGE_DOWNLOAD_AND_SOURCE_ROW_REVIEW</t>
        </is>
      </c>
      <c r="J3" s="3" t="inlineStr">
        <is>
          <t>2026-09-07T21:44:55+07:00</t>
        </is>
      </c>
      <c r="K3" s="3" t="inlineStr">
        <is>
          <t>Direct QA opened downloaded image 171_02; source SHA 0C614D3FD0850878E055398EDD815625FAE047CEE27E6CCE2E9B993E02048868. Submitted observation reviewed against gallery position.</t>
        </is>
      </c>
      <c r="L3" s="3" t="inlineStr">
        <is>
          <t>Secondary flat, close-up or bedroom mockup showing pink black gothic skull patchwork comforter set.</t>
        </is>
      </c>
      <c r="M3" s="3" t="inlineStr">
        <is>
          <t>UNKNOWN</t>
        </is>
      </c>
      <c r="N3" s="3" t="inlineStr">
        <is>
          <t>SET</t>
        </is>
      </c>
      <c r="O3" s="3" t="inlineStr">
        <is>
          <t>Feature or close-up image for Pink Black Gothic Skull Patchwork Comforter Set</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c r="Z3" s="3" t="inlineStr">
        <is>
          <t>D:\Shopify_Workspace\jeminise_seo\seo_runs\jeminise.com\20260906_234129\qa\20260907_213100\images\171_02.jpg; seo_runs\jeminise.com\20260906_234129\evidence\images\171_pamnest-twin-halloween-comforter-set-with-sheets-5-pieces-design-08\image_02_48066078408903.jpg; seo_runs\jeminise.com\20260906_234129\evidence\contact_sheets\171_pamnest-twin-halloween-comforter-set-with-sheets-5-pieces-design-08.jpg</t>
        </is>
      </c>
    </row>
    <row r="4" ht="66" customHeight="1">
      <c r="A4" s="2" t="inlineStr">
        <is>
          <t>jeminise.com+pamnest-twin-halloween-comforter-set-with-sheets-5-pieces-design-08</t>
        </is>
      </c>
      <c r="B4" s="2" t="inlineStr">
        <is>
          <t>img_b50be047fb1aab03</t>
        </is>
      </c>
      <c r="C4" s="4" t="inlineStr">
        <is>
          <t>https://cdn.shopify.com/s/files/1/0792/5098/1063/files/2728a23abdc49441c2c155cd7929b8a1cc9f41c97236fd8c2f144ead03fc4c79.jpg?v=1787936323</t>
        </is>
      </c>
      <c r="D4" s="4" t="inlineStr">
        <is>
          <t>https://cdn.shopify.com/s/files/1/0792/5098/1063/files/2728a23abdc49441c2c155cd7929b8a1cc9f41c97236fd8c2f144ead03fc4c79.jpg?v=1787936323</t>
        </is>
      </c>
      <c r="E4" s="2" t="inlineStr">
        <is>
          <t>48066078310599</t>
        </is>
      </c>
      <c r="F4" s="2" t="inlineStr">
        <is>
          <t>48066078310599</t>
        </is>
      </c>
      <c r="G4" s="2" t="inlineStr"/>
      <c r="H4" s="2" t="inlineStr">
        <is>
          <t>GALLERY</t>
        </is>
      </c>
      <c r="I4" s="2" t="inlineStr">
        <is>
          <t>DIRECT_IMAGE_DOWNLOAD_AND_SOURCE_ROW_REVIEW</t>
        </is>
      </c>
      <c r="J4" s="2" t="inlineStr">
        <is>
          <t>2026-09-07T21:44:55+07:00</t>
        </is>
      </c>
      <c r="K4" s="2" t="inlineStr">
        <is>
          <t>Direct QA opened downloaded image 171_03; source SHA 8B247AFA20F2A12745310AA6697C066D43931103F3B016A90C1053F7B9CFCBB0. Submitted observation reviewed against gallery position.</t>
        </is>
      </c>
      <c r="L4" s="2" t="inlineStr">
        <is>
          <t>Bedding type, feature, lifestyle or material image for pink black gothic skull patchwork comforter set.</t>
        </is>
      </c>
      <c r="M4" s="2" t="inlineStr">
        <is>
          <t>UNKNOWN</t>
        </is>
      </c>
      <c r="N4" s="2" t="inlineStr">
        <is>
          <t>SET</t>
        </is>
      </c>
      <c r="O4" s="2" t="inlineStr">
        <is>
          <t>Lifestyle or care image for Pink Black Gothic Skull Patchwork Comforter Set</t>
        </is>
      </c>
      <c r="P4" s="2" t="inlineStr">
        <is>
          <t>FULL</t>
        </is>
      </c>
      <c r="Q4" s="2" t="inlineStr">
        <is>
          <t>PARTIAL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ISSUE-0007</t>
        </is>
      </c>
      <c r="Z4" s="2" t="inlineStr">
        <is>
          <t>D:\Shopify_Workspace\jeminise_seo\seo_runs\jeminise.com\20260906_234129\qa\20260907_213100\images\171_03.jpg; seo_runs\jeminise.com\20260906_234129\evidence\images\171_pamnest-twin-halloween-comforter-set-with-sheets-5-pieces-design-08\image_03_48066078310599.jpg; seo_runs\jeminise.com\20260906_234129\evidence\contact_sheets\171_pamnest-twin-halloween-comforter-set-with-sheets-5-pieces-design-08.jpg</t>
        </is>
      </c>
    </row>
    <row r="5" ht="66" customHeight="1">
      <c r="A5" s="3" t="inlineStr">
        <is>
          <t>jeminise.com+pamnest-twin-halloween-comforter-set-with-sheets-5-pieces-design-08</t>
        </is>
      </c>
      <c r="B5" s="3" t="inlineStr">
        <is>
          <t>img_47747e0c385ef303</t>
        </is>
      </c>
      <c r="C5" s="4" t="inlineStr">
        <is>
          <t>https://cdn.shopify.com/s/files/1/0792/5098/1063/files/8a9bf6c406851ba19e675b0222fd0e4553c9cf6cd0602764bb3cbe6ef731c157.jpg?v=1787936323</t>
        </is>
      </c>
      <c r="D5" s="4" t="inlineStr">
        <is>
          <t>https://cdn.shopify.com/s/files/1/0792/5098/1063/files/8a9bf6c406851ba19e675b0222fd0e4553c9cf6cd0602764bb3cbe6ef731c157.jpg?v=1787936323</t>
        </is>
      </c>
      <c r="E5" s="3" t="inlineStr">
        <is>
          <t>48066078343367</t>
        </is>
      </c>
      <c r="F5" s="3" t="inlineStr">
        <is>
          <t>48066078343367</t>
        </is>
      </c>
      <c r="G5" s="3" t="inlineStr"/>
      <c r="H5" s="3" t="inlineStr">
        <is>
          <t>GALLERY</t>
        </is>
      </c>
      <c r="I5" s="3" t="inlineStr">
        <is>
          <t>DIRECT_IMAGE_DOWNLOAD_AND_SOURCE_ROW_REVIEW</t>
        </is>
      </c>
      <c r="J5" s="3" t="inlineStr">
        <is>
          <t>2026-09-07T21:44:55+07:00</t>
        </is>
      </c>
      <c r="K5" s="3" t="inlineStr">
        <is>
          <t>Direct QA opened downloaded image 171_04; source SHA 87F47F335D5001DB0AE91A241822F8E1F7BCD6414EDECAF761302AFE6D5529D7. Submitted observation reviewed against gallery position.</t>
        </is>
      </c>
      <c r="L5" s="3" t="inlineStr">
        <is>
          <t>Detail, feature panel or lifestyle image connected to pink black gothic skull patchwork comforter set.</t>
        </is>
      </c>
      <c r="M5" s="3" t="inlineStr">
        <is>
          <t>UNKNOWN</t>
        </is>
      </c>
      <c r="N5" s="3" t="inlineStr">
        <is>
          <t>SET</t>
        </is>
      </c>
      <c r="O5" s="3" t="inlineStr">
        <is>
          <t>Product detail or closure image for Pink Black Gothic Skull Patchwork Comforter Set</t>
        </is>
      </c>
      <c r="P5" s="3" t="inlineStr">
        <is>
          <t>FULL</t>
        </is>
      </c>
      <c r="Q5" s="3" t="inlineStr">
        <is>
          <t>PARTIAL</t>
        </is>
      </c>
      <c r="R5" s="3" t="inlineStr">
        <is>
          <t>FULL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ISSUE-0008</t>
        </is>
      </c>
      <c r="Z5" s="3" t="inlineStr">
        <is>
          <t>D:\Shopify_Workspace\jeminise_seo\seo_runs\jeminise.com\20260906_234129\qa\20260907_213100\images\171_04.jpg; seo_runs\jeminise.com\20260906_234129\evidence\images\171_pamnest-twin-halloween-comforter-set-with-sheets-5-pieces-design-08\image_04_48066078343367.jpg; seo_runs\jeminise.com\20260906_234129\evidence\contact_sheets\171_pamnest-twin-halloween-comforter-set-with-sheets-5-pieces-design-08.jpg</t>
        </is>
      </c>
    </row>
    <row r="6" ht="66" customHeight="1">
      <c r="A6" s="2" t="inlineStr">
        <is>
          <t>jeminise.com+pamnest-twin-halloween-comforter-set-with-sheets-5-pieces-design-08</t>
        </is>
      </c>
      <c r="B6" s="2" t="inlineStr">
        <is>
          <t>img_5a72f0c539dcdf05</t>
        </is>
      </c>
      <c r="C6" s="4" t="inlineStr">
        <is>
          <t>https://cdn.shopify.com/s/files/1/0792/5098/1063/files/1a110cdeb4611bb06dc73025e19e092ef38bf550ce9870452a33b81728254f09_ac2a8fc2-9cb0-4d34-a3da-10cc0d94e91a.jpg?v=1787936323</t>
        </is>
      </c>
      <c r="D6" s="4" t="inlineStr">
        <is>
          <t>https://cdn.shopify.com/s/files/1/0792/5098/1063/files/1a110cdeb4611bb06dc73025e19e092ef38bf550ce9870452a33b81728254f09_ac2a8fc2-9cb0-4d34-a3da-10cc0d94e91a.jpg?v=1787936323</t>
        </is>
      </c>
      <c r="E6" s="2" t="inlineStr">
        <is>
          <t>48066078376135</t>
        </is>
      </c>
      <c r="F6" s="2" t="inlineStr">
        <is>
          <t>48066078376135</t>
        </is>
      </c>
      <c r="G6" s="2" t="inlineStr"/>
      <c r="H6" s="2" t="inlineStr">
        <is>
          <t>GALLERY</t>
        </is>
      </c>
      <c r="I6" s="2" t="inlineStr">
        <is>
          <t>DIRECT_IMAGE_DOWNLOAD_AND_SOURCE_ROW_REVIEW</t>
        </is>
      </c>
      <c r="J6" s="2" t="inlineStr">
        <is>
          <t>2026-09-07T21:44:55+07:00</t>
        </is>
      </c>
      <c r="K6" s="2" t="inlineStr">
        <is>
          <t>Direct QA opened downloaded image 171_05; source SHA 525EF40045C3C9204B012715AE6253FA93D21236F6E34CA139273A29605414D9. Submitted observation reviewed against gallery position.</t>
        </is>
      </c>
      <c r="L6" s="2" t="inlineStr">
        <is>
          <t>Additional mockup, care or size information for pink black gothic skull patchwork comforter set.</t>
        </is>
      </c>
      <c r="M6" s="2" t="inlineStr">
        <is>
          <t>UNKNOWN</t>
        </is>
      </c>
      <c r="N6" s="2" t="inlineStr">
        <is>
          <t>SET</t>
        </is>
      </c>
      <c r="O6" s="2" t="inlineStr">
        <is>
          <t>Fitted sheet or size feature image for Pink Black Gothic Skull Patchwork Comforter Set</t>
        </is>
      </c>
      <c r="P6" s="2" t="inlineStr">
        <is>
          <t>FULL</t>
        </is>
      </c>
      <c r="Q6" s="2" t="inlineStr">
        <is>
          <t>FULL</t>
        </is>
      </c>
      <c r="R6" s="2" t="inlineStr">
        <is>
          <t>FULL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c r="Z6" s="2" t="inlineStr">
        <is>
          <t>D:\Shopify_Workspace\jeminise_seo\seo_runs\jeminise.com\20260906_234129\qa\20260907_213100\images\171_05.jpg; seo_runs\jeminise.com\20260906_234129\evidence\images\171_pamnest-twin-halloween-comforter-set-with-sheets-5-pieces-design-08\image_05_48066078376135.jpg; seo_runs\jeminise.com\20260906_234129\evidence\contact_sheets\171_pamnest-twin-halloween-comforter-set-with-sheets-5-pieces-design-08.jpg</t>
        </is>
      </c>
    </row>
    <row r="7" ht="66" customHeight="1">
      <c r="A7" s="3" t="inlineStr">
        <is>
          <t>jeminise.com+pamnest-twin-halloween-comforter-set-with-sheets-5-pieces-design-08</t>
        </is>
      </c>
      <c r="B7" s="3" t="inlineStr">
        <is>
          <t>img_5fc0b20a2a4400ff</t>
        </is>
      </c>
      <c r="C7" s="4" t="inlineStr">
        <is>
          <t>https://cdn.shopify.com/s/files/1/0792/5098/1063/files/ea04152d8b142a6d590a5ddfdc02601aa8a9d8d785f56bc4eca30f642edbb7eb.jpg?v=1787936323</t>
        </is>
      </c>
      <c r="D7" s="4" t="inlineStr">
        <is>
          <t>https://cdn.shopify.com/s/files/1/0792/5098/1063/files/ea04152d8b142a6d590a5ddfdc02601aa8a9d8d785f56bc4eca30f642edbb7eb.jpg?v=1787936323</t>
        </is>
      </c>
      <c r="E7" s="3" t="inlineStr">
        <is>
          <t>48066078441671</t>
        </is>
      </c>
      <c r="F7" s="3" t="inlineStr">
        <is>
          <t>48066078441671</t>
        </is>
      </c>
      <c r="G7" s="3" t="inlineStr"/>
      <c r="H7" s="3" t="inlineStr">
        <is>
          <t>GALLERY</t>
        </is>
      </c>
      <c r="I7" s="3" t="inlineStr">
        <is>
          <t>DIRECT_IMAGE_DOWNLOAD_AND_SOURCE_ROW_REVIEW</t>
        </is>
      </c>
      <c r="J7" s="3" t="inlineStr">
        <is>
          <t>2026-09-07T21:44:55+07:00</t>
        </is>
      </c>
      <c r="K7" s="3" t="inlineStr">
        <is>
          <t>Direct QA opened downloaded image 171_06; source SHA C1A6688344A0574E2C6FB719FC34C7CD3B4F9C06A68642ADB92AAAB4BCFB2912. Submitted observation reviewed against gallery position.</t>
        </is>
      </c>
      <c r="L7" s="3" t="inlineStr">
        <is>
          <t>Easy-care, size guide or product feature image for pink black gothic skull patchwork comforter set.</t>
        </is>
      </c>
      <c r="M7" s="3" t="inlineStr">
        <is>
          <t>UNKNOWN</t>
        </is>
      </c>
      <c r="N7" s="3" t="inlineStr">
        <is>
          <t>SET</t>
        </is>
      </c>
      <c r="O7" s="3" t="inlineStr">
        <is>
          <t>Set contents, fabric or size chart image for Pink Black Gothic Skull Patchwork Comforter Set</t>
        </is>
      </c>
      <c r="P7" s="3" t="inlineStr">
        <is>
          <t>FULL</t>
        </is>
      </c>
      <c r="Q7" s="3" t="inlineStr">
        <is>
          <t>PARTIAL</t>
        </is>
      </c>
      <c r="R7" s="3" t="inlineStr">
        <is>
          <t>PARTIAL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ISSUE-0009; ISSUE-0010</t>
        </is>
      </c>
      <c r="Z7" s="3" t="inlineStr">
        <is>
          <t>D:\Shopify_Workspace\jeminise_seo\seo_runs\jeminise.com\20260906_234129\qa\20260907_213100\images\171_06.jpg; seo_runs\jeminise.com\20260906_234129\evidence\images\171_pamnest-twin-halloween-comforter-set-with-sheets-5-pieces-design-08\image_06_48066078441671.jpg; seo_runs\jeminise.com\20260906_234129\evidence\contact_sheets\171_pamnest-twin-halloween-comforter-set-with-sheets-5-pieces-design-08.jpg</t>
        </is>
      </c>
    </row>
    <row r="8" ht="66" customHeight="1">
      <c r="A8" s="2" t="inlineStr">
        <is>
          <t>jeminise.com+pamnest-twin-halloween-comforter-set-with-sheets-5-pieces-design-09</t>
        </is>
      </c>
      <c r="B8" s="2" t="inlineStr">
        <is>
          <t>img_9aad5b5c3097cdff</t>
        </is>
      </c>
      <c r="C8" s="4" t="inlineStr">
        <is>
          <t>https://cdn.shopify.com/s/files/1/0792/5098/1063/files/5f6b3ffa6d1b25d15b04641037bd7eb2b56065ea9e8dbb07633375ab9f848645.jpg?v=1787936329</t>
        </is>
      </c>
      <c r="D8" s="4" t="inlineStr">
        <is>
          <t>https://cdn.shopify.com/s/files/1/0792/5098/1063/files/5f6b3ffa6d1b25d15b04641037bd7eb2b56065ea9e8dbb07633375ab9f848645.jpg?v=1787936329</t>
        </is>
      </c>
      <c r="E8" s="2" t="inlineStr">
        <is>
          <t>48066078474439</t>
        </is>
      </c>
      <c r="F8" s="2" t="inlineStr">
        <is>
          <t>48066078474439</t>
        </is>
      </c>
      <c r="G8" s="2" t="inlineStr">
        <is>
          <t>47062246129863,47062246162631,47062246195399,47062246228167</t>
        </is>
      </c>
      <c r="H8" s="2" t="inlineStr">
        <is>
          <t>GALLERY</t>
        </is>
      </c>
      <c r="I8" s="2" t="inlineStr">
        <is>
          <t>DIRECT_IMAGE_DOWNLOAD_AND_SOURCE_ROW_REVIEW</t>
        </is>
      </c>
      <c r="J8" s="2" t="inlineStr">
        <is>
          <t>2026-09-07T21:44:55+07:00</t>
        </is>
      </c>
      <c r="K8" s="2" t="inlineStr">
        <is>
          <t>Direct QA opened downloaded image 172_01; source SHA DF6D5EF252B17ED2A09DA11AC8AB88F23E3CA47DF26372633D1B9DCA3E7363DC. Submitted observation reviewed against gallery position.</t>
        </is>
      </c>
      <c r="L8" s="2" t="inlineStr">
        <is>
          <t>Main product mockup showing black haunted house trick or treat comforter set.</t>
        </is>
      </c>
      <c r="M8" s="2" t="inlineStr">
        <is>
          <t>UNKNOWN</t>
        </is>
      </c>
      <c r="N8" s="2" t="inlineStr">
        <is>
          <t>SET</t>
        </is>
      </c>
      <c r="O8" s="2" t="inlineStr">
        <is>
          <t>Black Haunted House Trick or Treat Comforter Set displayed in a main product mockup</t>
        </is>
      </c>
      <c r="P8" s="2" t="inlineStr">
        <is>
          <t>FULL</t>
        </is>
      </c>
      <c r="Q8" s="2" t="inlineStr">
        <is>
          <t>FULL</t>
        </is>
      </c>
      <c r="R8" s="2" t="inlineStr">
        <is>
          <t>PARTIAL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ISSUE-0016</t>
        </is>
      </c>
      <c r="Z8" s="2" t="inlineStr">
        <is>
          <t>D:\Shopify_Workspace\jeminise_seo\seo_runs\jeminise.com\20260906_234129\qa\20260907_213100\images\172_01.jpg; seo_runs\jeminise.com\20260906_234129\evidence\images\172_pamnest-twin-halloween-comforter-set-with-sheets-5-pieces-design-09\image_01_48066078474439.jpg; seo_runs\jeminise.com\20260906_234129\evidence\contact_sheets\172_pamnest-twin-halloween-comforter-set-with-sheets-5-pieces-design-09.jpg</t>
        </is>
      </c>
    </row>
    <row r="9" ht="66" customHeight="1">
      <c r="A9" s="3" t="inlineStr">
        <is>
          <t>jeminise.com+pamnest-twin-halloween-comforter-set-with-sheets-5-pieces-design-09</t>
        </is>
      </c>
      <c r="B9" s="3" t="inlineStr">
        <is>
          <t>img_da992cf4c0e91370</t>
        </is>
      </c>
      <c r="C9" s="4" t="inlineStr">
        <is>
          <t>https://cdn.shopify.com/s/files/1/0792/5098/1063/files/595097cee0d9955bd52f4b1f7b49af4558262e7c3d35d8fdc7368c2dd7e48aaa.jpg?v=1787936329</t>
        </is>
      </c>
      <c r="D9" s="4" t="inlineStr">
        <is>
          <t>https://cdn.shopify.com/s/files/1/0792/5098/1063/files/595097cee0d9955bd52f4b1f7b49af4558262e7c3d35d8fdc7368c2dd7e48aaa.jpg?v=1787936329</t>
        </is>
      </c>
      <c r="E9" s="3" t="inlineStr">
        <is>
          <t>48066078638279</t>
        </is>
      </c>
      <c r="F9" s="3" t="inlineStr">
        <is>
          <t>48066078638279</t>
        </is>
      </c>
      <c r="G9" s="3" t="inlineStr"/>
      <c r="H9" s="3" t="inlineStr">
        <is>
          <t>GALLERY</t>
        </is>
      </c>
      <c r="I9" s="3" t="inlineStr">
        <is>
          <t>DIRECT_IMAGE_DOWNLOAD_AND_SOURCE_ROW_REVIEW</t>
        </is>
      </c>
      <c r="J9" s="3" t="inlineStr">
        <is>
          <t>2026-09-07T21:44:55+07:00</t>
        </is>
      </c>
      <c r="K9" s="3" t="inlineStr">
        <is>
          <t>Direct QA opened downloaded image 172_02; source SHA C5E49C724979A0A1FBC17821A80C7F5C19A4E3AB03A715D292DE453C229FE217. Submitted observation reviewed against gallery position.</t>
        </is>
      </c>
      <c r="L9" s="3" t="inlineStr">
        <is>
          <t>Secondary flat, close-up or bedroom mockup showing black haunted house trick or treat comforter set.</t>
        </is>
      </c>
      <c r="M9" s="3" t="inlineStr">
        <is>
          <t>UNKNOWN</t>
        </is>
      </c>
      <c r="N9" s="3" t="inlineStr">
        <is>
          <t>SET</t>
        </is>
      </c>
      <c r="O9" s="3" t="inlineStr">
        <is>
          <t>Feature or close-up image for Black Haunted House Trick or Treat Comforter Set</t>
        </is>
      </c>
      <c r="P9" s="3" t="inlineStr">
        <is>
          <t>FULL</t>
        </is>
      </c>
      <c r="Q9" s="3" t="inlineStr">
        <is>
          <t>FULL</t>
        </is>
      </c>
      <c r="R9" s="3" t="inlineStr">
        <is>
          <t>FULL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c r="Z9" s="3" t="inlineStr">
        <is>
          <t>D:\Shopify_Workspace\jeminise_seo\seo_runs\jeminise.com\20260906_234129\qa\20260907_213100\images\172_02.jpg; seo_runs\jeminise.com\20260906_234129\evidence\images\172_pamnest-twin-halloween-comforter-set-with-sheets-5-pieces-design-09\image_02_48066078638279.jpg; seo_runs\jeminise.com\20260906_234129\evidence\contact_sheets\172_pamnest-twin-halloween-comforter-set-with-sheets-5-pieces-design-09.jpg</t>
        </is>
      </c>
    </row>
    <row r="10" ht="66" customHeight="1">
      <c r="A10" s="2" t="inlineStr">
        <is>
          <t>jeminise.com+pamnest-twin-halloween-comforter-set-with-sheets-5-pieces-design-09</t>
        </is>
      </c>
      <c r="B10" s="2" t="inlineStr">
        <is>
          <t>img_2bace2a7bdf71881</t>
        </is>
      </c>
      <c r="C10" s="4" t="inlineStr">
        <is>
          <t>https://cdn.shopify.com/s/files/1/0792/5098/1063/files/292b1822d4957871ea066bd5256725b3c42b3da499773973f5481529a7dff977.jpg?v=1787936329</t>
        </is>
      </c>
      <c r="D10" s="4" t="inlineStr">
        <is>
          <t>https://cdn.shopify.com/s/files/1/0792/5098/1063/files/292b1822d4957871ea066bd5256725b3c42b3da499773973f5481529a7dff977.jpg?v=1787936329</t>
        </is>
      </c>
      <c r="E10" s="2" t="inlineStr">
        <is>
          <t>48066078539975</t>
        </is>
      </c>
      <c r="F10" s="2" t="inlineStr">
        <is>
          <t>48066078539975</t>
        </is>
      </c>
      <c r="G10" s="2" t="inlineStr"/>
      <c r="H10" s="2" t="inlineStr">
        <is>
          <t>GALLERY</t>
        </is>
      </c>
      <c r="I10" s="2" t="inlineStr">
        <is>
          <t>DIRECT_IMAGE_DOWNLOAD_AND_SOURCE_ROW_REVIEW</t>
        </is>
      </c>
      <c r="J10" s="2" t="inlineStr">
        <is>
          <t>2026-09-07T21:44:55+07:00</t>
        </is>
      </c>
      <c r="K10" s="2" t="inlineStr">
        <is>
          <t>Direct QA opened downloaded image 172_03; source SHA 7F2C1F0985EF29651681707463C76FFC4D9D13D1C0107964EAE1CB0E5E96E428. Submitted observation reviewed against gallery position.</t>
        </is>
      </c>
      <c r="L10" s="2" t="inlineStr">
        <is>
          <t>Bedding type, feature, lifestyle or material image for black haunted house trick or treat comforter set.</t>
        </is>
      </c>
      <c r="M10" s="2" t="inlineStr">
        <is>
          <t>UNKNOWN</t>
        </is>
      </c>
      <c r="N10" s="2" t="inlineStr">
        <is>
          <t>SET</t>
        </is>
      </c>
      <c r="O10" s="2" t="inlineStr">
        <is>
          <t>Lifestyle or care image for Black Haunted House Trick or Treat Comforter Set</t>
        </is>
      </c>
      <c r="P10" s="2" t="inlineStr">
        <is>
          <t>FULL</t>
        </is>
      </c>
      <c r="Q10" s="2" t="inlineStr">
        <is>
          <t>PARTIAL</t>
        </is>
      </c>
      <c r="R10" s="2" t="inlineStr">
        <is>
          <t>FULL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ISSUE-0017</t>
        </is>
      </c>
      <c r="Z10" s="2" t="inlineStr">
        <is>
          <t>D:\Shopify_Workspace\jeminise_seo\seo_runs\jeminise.com\20260906_234129\qa\20260907_213100\images\172_03.jpg; seo_runs\jeminise.com\20260906_234129\evidence\images\172_pamnest-twin-halloween-comforter-set-with-sheets-5-pieces-design-09\image_03_48066078539975.jpg; seo_runs\jeminise.com\20260906_234129\evidence\contact_sheets\172_pamnest-twin-halloween-comforter-set-with-sheets-5-pieces-design-09.jpg</t>
        </is>
      </c>
    </row>
    <row r="11" ht="66" customHeight="1">
      <c r="A11" s="3" t="inlineStr">
        <is>
          <t>jeminise.com+pamnest-twin-halloween-comforter-set-with-sheets-5-pieces-design-09</t>
        </is>
      </c>
      <c r="B11" s="3" t="inlineStr">
        <is>
          <t>img_02b2a28b70c586b5</t>
        </is>
      </c>
      <c r="C11" s="4" t="inlineStr">
        <is>
          <t>https://cdn.shopify.com/s/files/1/0792/5098/1063/files/1aa720a0e20bf14801e041af538733bf6e42104b44e5ee6952dcd10b1be384f9.jpg?v=1787936345</t>
        </is>
      </c>
      <c r="D11" s="4" t="inlineStr">
        <is>
          <t>https://cdn.shopify.com/s/files/1/0792/5098/1063/files/1aa720a0e20bf14801e041af538733bf6e42104b44e5ee6952dcd10b1be384f9.jpg?v=1787936345</t>
        </is>
      </c>
      <c r="E11" s="3" t="inlineStr">
        <is>
          <t>48066078572743</t>
        </is>
      </c>
      <c r="F11" s="3" t="inlineStr">
        <is>
          <t>48066078572743</t>
        </is>
      </c>
      <c r="G11" s="3" t="inlineStr"/>
      <c r="H11" s="3" t="inlineStr">
        <is>
          <t>GALLERY</t>
        </is>
      </c>
      <c r="I11" s="3" t="inlineStr">
        <is>
          <t>DIRECT_IMAGE_DOWNLOAD_AND_SOURCE_ROW_REVIEW</t>
        </is>
      </c>
      <c r="J11" s="3" t="inlineStr">
        <is>
          <t>2026-09-07T21:44:55+07:00</t>
        </is>
      </c>
      <c r="K11" s="3" t="inlineStr">
        <is>
          <t>Direct QA opened downloaded image 172_04; source SHA BD78AE12E07C2168D903998050039B31EBFF8876B13AB43DE37AFBC39C99463A. Submitted observation reviewed against gallery position.</t>
        </is>
      </c>
      <c r="L11" s="3" t="inlineStr">
        <is>
          <t>Detail, feature panel or lifestyle image connected to black haunted house trick or treat comforter set.</t>
        </is>
      </c>
      <c r="M11" s="3" t="inlineStr">
        <is>
          <t>UNKNOWN</t>
        </is>
      </c>
      <c r="N11" s="3" t="inlineStr">
        <is>
          <t>SET</t>
        </is>
      </c>
      <c r="O11" s="3" t="inlineStr">
        <is>
          <t>Product detail or closure image for Black Haunted House Trick or Treat Comforter Set</t>
        </is>
      </c>
      <c r="P11" s="3" t="inlineStr">
        <is>
          <t>FULL</t>
        </is>
      </c>
      <c r="Q11" s="3" t="inlineStr">
        <is>
          <t>PARTIAL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ISSUE-0018</t>
        </is>
      </c>
      <c r="Z11" s="3" t="inlineStr">
        <is>
          <t>D:\Shopify_Workspace\jeminise_seo\seo_runs\jeminise.com\20260906_234129\qa\20260907_213100\images\172_04.jpg; seo_runs\jeminise.com\20260906_234129\evidence\images\172_pamnest-twin-halloween-comforter-set-with-sheets-5-pieces-design-09\image_04_48066078572743.jpg; seo_runs\jeminise.com\20260906_234129\evidence\contact_sheets\172_pamnest-twin-halloween-comforter-set-with-sheets-5-pieces-design-09.jpg</t>
        </is>
      </c>
    </row>
    <row r="12" ht="66" customHeight="1">
      <c r="A12" s="2" t="inlineStr">
        <is>
          <t>jeminise.com+pamnest-twin-halloween-comforter-set-with-sheets-5-pieces-design-09</t>
        </is>
      </c>
      <c r="B12" s="2" t="inlineStr">
        <is>
          <t>img_9557255c2548a64b</t>
        </is>
      </c>
      <c r="C12" s="4" t="inlineStr">
        <is>
          <t>https://cdn.shopify.com/s/files/1/0792/5098/1063/files/f05b5b4966cbfbf6e7138bce62a10e8d53a6554d2095ee522f5577dc8f19de13_3bca0338-af59-4fc3-a836-03d426c73ed0.jpg?v=1787936328</t>
        </is>
      </c>
      <c r="D12" s="4" t="inlineStr">
        <is>
          <t>https://cdn.shopify.com/s/files/1/0792/5098/1063/files/f05b5b4966cbfbf6e7138bce62a10e8d53a6554d2095ee522f5577dc8f19de13_3bca0338-af59-4fc3-a836-03d426c73ed0.jpg?v=1787936328</t>
        </is>
      </c>
      <c r="E12" s="2" t="inlineStr">
        <is>
          <t>48066078605511</t>
        </is>
      </c>
      <c r="F12" s="2" t="inlineStr">
        <is>
          <t>48066078605511</t>
        </is>
      </c>
      <c r="G12" s="2" t="inlineStr"/>
      <c r="H12" s="2" t="inlineStr">
        <is>
          <t>GALLERY</t>
        </is>
      </c>
      <c r="I12" s="2" t="inlineStr">
        <is>
          <t>DIRECT_IMAGE_DOWNLOAD_AND_SOURCE_ROW_REVIEW</t>
        </is>
      </c>
      <c r="J12" s="2" t="inlineStr">
        <is>
          <t>2026-09-07T21:44:55+07:00</t>
        </is>
      </c>
      <c r="K12" s="2" t="inlineStr">
        <is>
          <t>Direct QA opened downloaded image 172_05; source SHA 809B3ECD83AED0CAA2010656FE734B5AB8D96D036358CFF86225C3D8B52BC2E3. Submitted observation reviewed against gallery position.</t>
        </is>
      </c>
      <c r="L12" s="2" t="inlineStr">
        <is>
          <t>Additional mockup, care or size information for black haunted house trick or treat comforter set.</t>
        </is>
      </c>
      <c r="M12" s="2" t="inlineStr">
        <is>
          <t>UNKNOWN</t>
        </is>
      </c>
      <c r="N12" s="2" t="inlineStr">
        <is>
          <t>SET</t>
        </is>
      </c>
      <c r="O12" s="2" t="inlineStr">
        <is>
          <t>Fitted sheet or size feature image for Black Haunted House Trick or Treat Comforter Set</t>
        </is>
      </c>
      <c r="P12" s="2" t="inlineStr">
        <is>
          <t>FULL</t>
        </is>
      </c>
      <c r="Q12" s="2" t="inlineStr">
        <is>
          <t>FULL</t>
        </is>
      </c>
      <c r="R12" s="2" t="inlineStr">
        <is>
          <t>FULL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c r="Z12" s="2" t="inlineStr">
        <is>
          <t>D:\Shopify_Workspace\jeminise_seo\seo_runs\jeminise.com\20260906_234129\qa\20260907_213100\images\172_05.jpg; seo_runs\jeminise.com\20260906_234129\evidence\images\172_pamnest-twin-halloween-comforter-set-with-sheets-5-pieces-design-09\image_05_48066078605511.jpg; seo_runs\jeminise.com\20260906_234129\evidence\contact_sheets\172_pamnest-twin-halloween-comforter-set-with-sheets-5-pieces-design-09.jpg</t>
        </is>
      </c>
    </row>
    <row r="13" ht="66" customHeight="1">
      <c r="A13" s="3" t="inlineStr">
        <is>
          <t>jeminise.com+pamnest-twin-halloween-comforter-set-with-sheets-5-pieces-design-09</t>
        </is>
      </c>
      <c r="B13" s="3" t="inlineStr">
        <is>
          <t>img_659c172950cfdf22</t>
        </is>
      </c>
      <c r="C13" s="4" t="inlineStr">
        <is>
          <t>https://cdn.shopify.com/s/files/1/0792/5098/1063/files/6abf30b3d2c6cd0aff034437ff25ac87b964f7fc79cb73b460c7b0f17a36956d.jpg?v=1787936329</t>
        </is>
      </c>
      <c r="D13" s="4" t="inlineStr">
        <is>
          <t>https://cdn.shopify.com/s/files/1/0792/5098/1063/files/6abf30b3d2c6cd0aff034437ff25ac87b964f7fc79cb73b460c7b0f17a36956d.jpg?v=1787936329</t>
        </is>
      </c>
      <c r="E13" s="3" t="inlineStr">
        <is>
          <t>48066078671047</t>
        </is>
      </c>
      <c r="F13" s="3" t="inlineStr">
        <is>
          <t>48066078671047</t>
        </is>
      </c>
      <c r="G13" s="3" t="inlineStr"/>
      <c r="H13" s="3" t="inlineStr">
        <is>
          <t>GALLERY</t>
        </is>
      </c>
      <c r="I13" s="3" t="inlineStr">
        <is>
          <t>DIRECT_IMAGE_DOWNLOAD_AND_SOURCE_ROW_REVIEW</t>
        </is>
      </c>
      <c r="J13" s="3" t="inlineStr">
        <is>
          <t>2026-09-07T21:44:55+07:00</t>
        </is>
      </c>
      <c r="K13" s="3" t="inlineStr">
        <is>
          <t>Direct QA opened downloaded image 172_06; source SHA AEAB83BB8584AFF22871B44EC09AF5973E17C025CFDD91E5EC5B02B23A2E1191. Submitted observation reviewed against gallery position.</t>
        </is>
      </c>
      <c r="L13" s="3" t="inlineStr">
        <is>
          <t>Easy-care, size guide or product feature image for black haunted house trick or treat comforter set.</t>
        </is>
      </c>
      <c r="M13" s="3" t="inlineStr">
        <is>
          <t>UNKNOWN</t>
        </is>
      </c>
      <c r="N13" s="3" t="inlineStr">
        <is>
          <t>SET</t>
        </is>
      </c>
      <c r="O13" s="3" t="inlineStr">
        <is>
          <t>Set contents, fabric or size chart image for Black Haunted House Trick or Treat Comforter Set</t>
        </is>
      </c>
      <c r="P13" s="3" t="inlineStr">
        <is>
          <t>FULL</t>
        </is>
      </c>
      <c r="Q13" s="3" t="inlineStr">
        <is>
          <t>PARTIAL</t>
        </is>
      </c>
      <c r="R13" s="3" t="inlineStr">
        <is>
          <t>PARTIAL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ISSUE-0019; ISSUE-0020</t>
        </is>
      </c>
      <c r="Z13" s="3" t="inlineStr">
        <is>
          <t>D:\Shopify_Workspace\jeminise_seo\seo_runs\jeminise.com\20260906_234129\qa\20260907_213100\images\172_06.jpg; seo_runs\jeminise.com\20260906_234129\evidence\images\172_pamnest-twin-halloween-comforter-set-with-sheets-5-pieces-design-09\image_06_48066078671047.jpg; seo_runs\jeminise.com\20260906_234129\evidence\contact_sheets\172_pamnest-twin-halloween-comforter-set-with-sheets-5-pieces-design-09.jpg</t>
        </is>
      </c>
    </row>
    <row r="14" ht="66" customHeight="1">
      <c r="A14" s="2" t="inlineStr">
        <is>
          <t>jeminise.com+pamnest-twin-halloween-comforter-set-with-sheets-5-pieces-evil</t>
        </is>
      </c>
      <c r="B14" s="2" t="inlineStr">
        <is>
          <t>img_ef046bf485095cdd</t>
        </is>
      </c>
      <c r="C14" s="4" t="inlineStr">
        <is>
          <t>https://cdn.shopify.com/s/files/1/0792/5098/1063/files/1f37711843552e811d34b03499b81c9d5785fd1cc3e1583509a63c36390e6e7d.jpg?v=1787936145</t>
        </is>
      </c>
      <c r="D14" s="4" t="inlineStr">
        <is>
          <t>https://cdn.shopify.com/s/files/1/0792/5098/1063/files/1f37711843552e811d34b03499b81c9d5785fd1cc3e1583509a63c36390e6e7d.jpg?v=1787936145</t>
        </is>
      </c>
      <c r="E14" s="2" t="inlineStr">
        <is>
          <t>48066073231559</t>
        </is>
      </c>
      <c r="F14" s="2" t="inlineStr">
        <is>
          <t>48066073231559</t>
        </is>
      </c>
      <c r="G14" s="2" t="inlineStr">
        <is>
          <t>47062243836103,47062243868871,47062243901639,47062243934407</t>
        </is>
      </c>
      <c r="H14" s="2" t="inlineStr">
        <is>
          <t>GALLERY</t>
        </is>
      </c>
      <c r="I14" s="2" t="inlineStr">
        <is>
          <t>DIRECT_IMAGE_DOWNLOAD_AND_SOURCE_ROW_REVIEW</t>
        </is>
      </c>
      <c r="J14" s="2" t="inlineStr">
        <is>
          <t>2026-09-07T21:44:55+07:00</t>
        </is>
      </c>
      <c r="K14" s="2" t="inlineStr">
        <is>
          <t>Direct QA opened downloaded image 173_01; source SHA 879833F46A6EBA94856373E8583D90E7F604B72C06B75A6B5229BBF7AA576663. Submitted observation reviewed against gallery position.</t>
        </is>
      </c>
      <c r="L14" s="2" t="inlineStr">
        <is>
          <t>Main product mockup showing cream pumpkin ghost Halloween comforter set.</t>
        </is>
      </c>
      <c r="M14" s="2" t="inlineStr">
        <is>
          <t>UNKNOWN</t>
        </is>
      </c>
      <c r="N14" s="2" t="inlineStr">
        <is>
          <t>SET</t>
        </is>
      </c>
      <c r="O14" s="2" t="inlineStr">
        <is>
          <t>Cream Pumpkin Ghost Halloween Comforter Set displayed in a main product mockup</t>
        </is>
      </c>
      <c r="P14" s="2" t="inlineStr">
        <is>
          <t>FULL</t>
        </is>
      </c>
      <c r="Q14" s="2" t="inlineStr">
        <is>
          <t>FULL</t>
        </is>
      </c>
      <c r="R14" s="2" t="inlineStr">
        <is>
          <t>PARTIAL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ISSUE-0026</t>
        </is>
      </c>
      <c r="Z14" s="2" t="inlineStr">
        <is>
          <t>D:\Shopify_Workspace\jeminise_seo\seo_runs\jeminise.com\20260906_234129\qa\20260907_213100\images\173_01.jpg; seo_runs\jeminise.com\20260906_234129\evidence\images\173_pamnest-twin-halloween-comforter-set-with-sheets-5-pieces-evil\image_01_48066073231559.jpg; seo_runs\jeminise.com\20260906_234129\evidence\contact_sheets\173_pamnest-twin-halloween-comforter-set-with-sheets-5-pieces-evil.jpg</t>
        </is>
      </c>
    </row>
    <row r="15" ht="66" customHeight="1">
      <c r="A15" s="3" t="inlineStr">
        <is>
          <t>jeminise.com+pamnest-twin-halloween-comforter-set-with-sheets-5-pieces-evil</t>
        </is>
      </c>
      <c r="B15" s="3" t="inlineStr">
        <is>
          <t>img_c8a12e923bc803b5</t>
        </is>
      </c>
      <c r="C15" s="4" t="inlineStr">
        <is>
          <t>https://cdn.shopify.com/s/files/1/0792/5098/1063/files/e56e8aced3e989692dd9bf1c23b4a225328e8d0fea66009e73b4084392ea0c2e.jpg?v=1787936161</t>
        </is>
      </c>
      <c r="D15" s="4" t="inlineStr">
        <is>
          <t>https://cdn.shopify.com/s/files/1/0792/5098/1063/files/e56e8aced3e989692dd9bf1c23b4a225328e8d0fea66009e73b4084392ea0c2e.jpg?v=1787936161</t>
        </is>
      </c>
      <c r="E15" s="3" t="inlineStr">
        <is>
          <t>48066073395399</t>
        </is>
      </c>
      <c r="F15" s="3" t="inlineStr">
        <is>
          <t>48066073395399</t>
        </is>
      </c>
      <c r="G15" s="3" t="inlineStr"/>
      <c r="H15" s="3" t="inlineStr">
        <is>
          <t>GALLERY</t>
        </is>
      </c>
      <c r="I15" s="3" t="inlineStr">
        <is>
          <t>DIRECT_IMAGE_DOWNLOAD_AND_SOURCE_ROW_REVIEW</t>
        </is>
      </c>
      <c r="J15" s="3" t="inlineStr">
        <is>
          <t>2026-09-07T21:44:55+07:00</t>
        </is>
      </c>
      <c r="K15" s="3" t="inlineStr">
        <is>
          <t>Direct QA opened downloaded image 173_02; source SHA A5AC7F8F71337E69E5242BE73F39A6BB98C9DCFB09BFCA1858716F527BDECCBE. Submitted observation reviewed against gallery position.</t>
        </is>
      </c>
      <c r="L15" s="3" t="inlineStr">
        <is>
          <t>Secondary flat, close-up or bedroom mockup showing cream pumpkin ghost Halloween comforter set.</t>
        </is>
      </c>
      <c r="M15" s="3" t="inlineStr">
        <is>
          <t>UNKNOWN</t>
        </is>
      </c>
      <c r="N15" s="3" t="inlineStr">
        <is>
          <t>SET</t>
        </is>
      </c>
      <c r="O15" s="3" t="inlineStr">
        <is>
          <t>Feature or close-up image for Cream Pumpkin Ghost Halloween Comforter Set</t>
        </is>
      </c>
      <c r="P15" s="3" t="inlineStr">
        <is>
          <t>FULL</t>
        </is>
      </c>
      <c r="Q15" s="3" t="inlineStr">
        <is>
          <t>FULL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c r="Z15" s="3" t="inlineStr">
        <is>
          <t>D:\Shopify_Workspace\jeminise_seo\seo_runs\jeminise.com\20260906_234129\qa\20260907_213100\images\173_02.jpg; seo_runs\jeminise.com\20260906_234129\evidence\images\173_pamnest-twin-halloween-comforter-set-with-sheets-5-pieces-evil\image_02_48066073395399.jpg; seo_runs\jeminise.com\20260906_234129\evidence\contact_sheets\173_pamnest-twin-halloween-comforter-set-with-sheets-5-pieces-evil.jpg</t>
        </is>
      </c>
    </row>
    <row r="16" ht="66" customHeight="1">
      <c r="A16" s="2" t="inlineStr">
        <is>
          <t>jeminise.com+pamnest-twin-halloween-comforter-set-with-sheets-5-pieces-evil</t>
        </is>
      </c>
      <c r="B16" s="2" t="inlineStr">
        <is>
          <t>img_35208c1ace406225</t>
        </is>
      </c>
      <c r="C16" s="4" t="inlineStr">
        <is>
          <t>https://cdn.shopify.com/s/files/1/0792/5098/1063/files/1979a29f833fb8025e53c517613c6d03b36c25e8662d27c2fb6bc34a912889c3.jpg?v=1787936144</t>
        </is>
      </c>
      <c r="D16" s="4" t="inlineStr">
        <is>
          <t>https://cdn.shopify.com/s/files/1/0792/5098/1063/files/1979a29f833fb8025e53c517613c6d03b36c25e8662d27c2fb6bc34a912889c3.jpg?v=1787936144</t>
        </is>
      </c>
      <c r="E16" s="2" t="inlineStr">
        <is>
          <t>48066073297095</t>
        </is>
      </c>
      <c r="F16" s="2" t="inlineStr">
        <is>
          <t>48066073297095</t>
        </is>
      </c>
      <c r="G16" s="2" t="inlineStr"/>
      <c r="H16" s="2" t="inlineStr">
        <is>
          <t>GALLERY</t>
        </is>
      </c>
      <c r="I16" s="2" t="inlineStr">
        <is>
          <t>DIRECT_IMAGE_DOWNLOAD_AND_SOURCE_ROW_REVIEW</t>
        </is>
      </c>
      <c r="J16" s="2" t="inlineStr">
        <is>
          <t>2026-09-07T21:44:55+07:00</t>
        </is>
      </c>
      <c r="K16" s="2" t="inlineStr">
        <is>
          <t>Direct QA opened downloaded image 173_03; source SHA 011A97D6B1BD842C1AEE91E44CB3A6AFA41F6CA7A755CAEC0973E53DD7056C2B. Submitted observation reviewed against gallery position.</t>
        </is>
      </c>
      <c r="L16" s="2" t="inlineStr">
        <is>
          <t>Bedding type, feature, lifestyle or material image for cream pumpkin ghost Halloween comforter set.</t>
        </is>
      </c>
      <c r="M16" s="2" t="inlineStr">
        <is>
          <t>UNKNOWN</t>
        </is>
      </c>
      <c r="N16" s="2" t="inlineStr">
        <is>
          <t>SET</t>
        </is>
      </c>
      <c r="O16" s="2" t="inlineStr">
        <is>
          <t>Lifestyle or care image for Cream Pumpkin Ghost Halloween Comforter Set</t>
        </is>
      </c>
      <c r="P16" s="2" t="inlineStr">
        <is>
          <t>FULL</t>
        </is>
      </c>
      <c r="Q16" s="2" t="inlineStr">
        <is>
          <t>PARTIAL</t>
        </is>
      </c>
      <c r="R16" s="2" t="inlineStr">
        <is>
          <t>FULL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ISSUE-0027</t>
        </is>
      </c>
      <c r="Z16" s="2" t="inlineStr">
        <is>
          <t>D:\Shopify_Workspace\jeminise_seo\seo_runs\jeminise.com\20260906_234129\qa\20260907_213100\images\173_03.jpg; seo_runs\jeminise.com\20260906_234129\evidence\images\173_pamnest-twin-halloween-comforter-set-with-sheets-5-pieces-evil\image_03_48066073297095.jpg; seo_runs\jeminise.com\20260906_234129\evidence\contact_sheets\173_pamnest-twin-halloween-comforter-set-with-sheets-5-pieces-evil.jpg</t>
        </is>
      </c>
    </row>
    <row r="17" ht="66" customHeight="1">
      <c r="A17" s="3" t="inlineStr">
        <is>
          <t>jeminise.com+pamnest-twin-halloween-comforter-set-with-sheets-5-pieces-evil</t>
        </is>
      </c>
      <c r="B17" s="3" t="inlineStr">
        <is>
          <t>img_7b07518c8c20b27d</t>
        </is>
      </c>
      <c r="C17" s="4" t="inlineStr">
        <is>
          <t>https://cdn.shopify.com/s/files/1/0792/5098/1063/files/bacf0277965f8020606b9e83034a662044f1253d4027305dac42b9ee615e71ad.jpg?v=1787936144</t>
        </is>
      </c>
      <c r="D17" s="4" t="inlineStr">
        <is>
          <t>https://cdn.shopify.com/s/files/1/0792/5098/1063/files/bacf0277965f8020606b9e83034a662044f1253d4027305dac42b9ee615e71ad.jpg?v=1787936144</t>
        </is>
      </c>
      <c r="E17" s="3" t="inlineStr">
        <is>
          <t>48066073329863</t>
        </is>
      </c>
      <c r="F17" s="3" t="inlineStr">
        <is>
          <t>48066073329863</t>
        </is>
      </c>
      <c r="G17" s="3" t="inlineStr"/>
      <c r="H17" s="3" t="inlineStr">
        <is>
          <t>GALLERY</t>
        </is>
      </c>
      <c r="I17" s="3" t="inlineStr">
        <is>
          <t>DIRECT_IMAGE_DOWNLOAD_AND_SOURCE_ROW_REVIEW</t>
        </is>
      </c>
      <c r="J17" s="3" t="inlineStr">
        <is>
          <t>2026-09-07T21:44:55+07:00</t>
        </is>
      </c>
      <c r="K17" s="3" t="inlineStr">
        <is>
          <t>Direct QA opened downloaded image 173_04; source SHA ED7E34278B95F46655382DE8EF5ECFEE03FACD4EC7B4AB37A7BB6492F6268C55. Submitted observation reviewed against gallery position.</t>
        </is>
      </c>
      <c r="L17" s="3" t="inlineStr">
        <is>
          <t>Detail, feature panel or lifestyle image connected to cream pumpkin ghost Halloween comforter set.</t>
        </is>
      </c>
      <c r="M17" s="3" t="inlineStr">
        <is>
          <t>UNKNOWN</t>
        </is>
      </c>
      <c r="N17" s="3" t="inlineStr">
        <is>
          <t>SET</t>
        </is>
      </c>
      <c r="O17" s="3" t="inlineStr">
        <is>
          <t>Product detail or closure image for Cream Pumpkin Ghost Halloween Comforter Set</t>
        </is>
      </c>
      <c r="P17" s="3" t="inlineStr">
        <is>
          <t>FULL</t>
        </is>
      </c>
      <c r="Q17" s="3" t="inlineStr">
        <is>
          <t>PARTIAL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ISSUE-0028</t>
        </is>
      </c>
      <c r="Z17" s="3" t="inlineStr">
        <is>
          <t>D:\Shopify_Workspace\jeminise_seo\seo_runs\jeminise.com\20260906_234129\qa\20260907_213100\images\173_04.jpg; seo_runs\jeminise.com\20260906_234129\evidence\images\173_pamnest-twin-halloween-comforter-set-with-sheets-5-pieces-evil\image_04_48066073329863.jpg; seo_runs\jeminise.com\20260906_234129\evidence\contact_sheets\173_pamnest-twin-halloween-comforter-set-with-sheets-5-pieces-evil.jpg</t>
        </is>
      </c>
    </row>
    <row r="18" ht="66" customHeight="1">
      <c r="A18" s="2" t="inlineStr">
        <is>
          <t>jeminise.com+pamnest-twin-halloween-comforter-set-with-sheets-5-pieces-evil</t>
        </is>
      </c>
      <c r="B18" s="2" t="inlineStr">
        <is>
          <t>img_a37ce35637a03059</t>
        </is>
      </c>
      <c r="C18" s="4" t="inlineStr">
        <is>
          <t>https://cdn.shopify.com/s/files/1/0792/5098/1063/files/870b145d05eb0c164fb8e3c80b7784c4ed4883727b64f89609c97bff8778bcd7.jpg?v=1787936144</t>
        </is>
      </c>
      <c r="D18" s="4" t="inlineStr">
        <is>
          <t>https://cdn.shopify.com/s/files/1/0792/5098/1063/files/870b145d05eb0c164fb8e3c80b7784c4ed4883727b64f89609c97bff8778bcd7.jpg?v=1787936144</t>
        </is>
      </c>
      <c r="E18" s="2" t="inlineStr">
        <is>
          <t>48066073362631</t>
        </is>
      </c>
      <c r="F18" s="2" t="inlineStr">
        <is>
          <t>48066073362631</t>
        </is>
      </c>
      <c r="G18" s="2" t="inlineStr"/>
      <c r="H18" s="2" t="inlineStr">
        <is>
          <t>GALLERY</t>
        </is>
      </c>
      <c r="I18" s="2" t="inlineStr">
        <is>
          <t>DIRECT_IMAGE_DOWNLOAD_AND_SOURCE_ROW_REVIEW</t>
        </is>
      </c>
      <c r="J18" s="2" t="inlineStr">
        <is>
          <t>2026-09-07T21:44:55+07:00</t>
        </is>
      </c>
      <c r="K18" s="2" t="inlineStr">
        <is>
          <t>Direct QA opened downloaded image 173_05; source SHA C0D372F6C4011A40A001C5D6AC50882AD128EC4F00FED350AE22E16A0A297CE7. Submitted observation reviewed against gallery position.</t>
        </is>
      </c>
      <c r="L18" s="2" t="inlineStr">
        <is>
          <t>Additional mockup, care or size information for cream pumpkin ghost Halloween comforter set.</t>
        </is>
      </c>
      <c r="M18" s="2" t="inlineStr">
        <is>
          <t>UNKNOWN</t>
        </is>
      </c>
      <c r="N18" s="2" t="inlineStr">
        <is>
          <t>SET</t>
        </is>
      </c>
      <c r="O18" s="2" t="inlineStr">
        <is>
          <t>Fitted sheet or size feature image for Cream Pumpkin Ghost Halloween Comforter Set</t>
        </is>
      </c>
      <c r="P18" s="2" t="inlineStr">
        <is>
          <t>FULL</t>
        </is>
      </c>
      <c r="Q18" s="2" t="inlineStr">
        <is>
          <t>FULL</t>
        </is>
      </c>
      <c r="R18" s="2" t="inlineStr">
        <is>
          <t>FULL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c r="Z18" s="2" t="inlineStr">
        <is>
          <t>D:\Shopify_Workspace\jeminise_seo\seo_runs\jeminise.com\20260906_234129\qa\20260907_213100\images\173_05.jpg; seo_runs\jeminise.com\20260906_234129\evidence\images\173_pamnest-twin-halloween-comforter-set-with-sheets-5-pieces-evil\image_05_48066073362631.jpg; seo_runs\jeminise.com\20260906_234129\evidence\contact_sheets\173_pamnest-twin-halloween-comforter-set-with-sheets-5-pieces-evil.jpg</t>
        </is>
      </c>
    </row>
    <row r="19" ht="66" customHeight="1">
      <c r="A19" s="3" t="inlineStr">
        <is>
          <t>jeminise.com+pamnest-twin-halloween-comforter-set-with-sheets-5-pieces-evil</t>
        </is>
      </c>
      <c r="B19" s="3" t="inlineStr">
        <is>
          <t>img_d10055c42fc60dfc</t>
        </is>
      </c>
      <c r="C19" s="4" t="inlineStr">
        <is>
          <t>https://cdn.shopify.com/s/files/1/0792/5098/1063/files/51c5512488c313adc9a08e18c0f0de957e7d3f41ed5d2ce794cb6765b7051f7f.jpg?v=1787936144</t>
        </is>
      </c>
      <c r="D19" s="4" t="inlineStr">
        <is>
          <t>https://cdn.shopify.com/s/files/1/0792/5098/1063/files/51c5512488c313adc9a08e18c0f0de957e7d3f41ed5d2ce794cb6765b7051f7f.jpg?v=1787936144</t>
        </is>
      </c>
      <c r="E19" s="3" t="inlineStr">
        <is>
          <t>48066073428167</t>
        </is>
      </c>
      <c r="F19" s="3" t="inlineStr">
        <is>
          <t>48066073428167</t>
        </is>
      </c>
      <c r="G19" s="3" t="inlineStr"/>
      <c r="H19" s="3" t="inlineStr">
        <is>
          <t>GALLERY</t>
        </is>
      </c>
      <c r="I19" s="3" t="inlineStr">
        <is>
          <t>DIRECT_IMAGE_DOWNLOAD_AND_SOURCE_ROW_REVIEW</t>
        </is>
      </c>
      <c r="J19" s="3" t="inlineStr">
        <is>
          <t>2026-09-07T21:44:55+07:00</t>
        </is>
      </c>
      <c r="K19" s="3" t="inlineStr">
        <is>
          <t>Direct QA opened downloaded image 173_06; source SHA 4C2C750B50403DB52882A7FB5AEF672FE62F3E6487EA18B54DF9896DCF0F1CC5. Submitted observation reviewed against gallery position.</t>
        </is>
      </c>
      <c r="L19" s="3" t="inlineStr">
        <is>
          <t>Easy-care, size guide or product feature image for cream pumpkin ghost Halloween comforter set.</t>
        </is>
      </c>
      <c r="M19" s="3" t="inlineStr">
        <is>
          <t>UNKNOWN</t>
        </is>
      </c>
      <c r="N19" s="3" t="inlineStr">
        <is>
          <t>SET</t>
        </is>
      </c>
      <c r="O19" s="3" t="inlineStr">
        <is>
          <t>Set contents, fabric or size chart image for Cream Pumpkin Ghost Halloween Comforter Set</t>
        </is>
      </c>
      <c r="P19" s="3" t="inlineStr">
        <is>
          <t>FULL</t>
        </is>
      </c>
      <c r="Q19" s="3" t="inlineStr">
        <is>
          <t>PARTIAL</t>
        </is>
      </c>
      <c r="R19" s="3" t="inlineStr">
        <is>
          <t>PARTIAL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ISSUE-0029; ISSUE-0030</t>
        </is>
      </c>
      <c r="Z19" s="3" t="inlineStr">
        <is>
          <t>D:\Shopify_Workspace\jeminise_seo\seo_runs\jeminise.com\20260906_234129\qa\20260907_213100\images\173_06.jpg; seo_runs\jeminise.com\20260906_234129\evidence\images\173_pamnest-twin-halloween-comforter-set-with-sheets-5-pieces-evil\image_06_48066073428167.jpg; seo_runs\jeminise.com\20260906_234129\evidence\contact_sheets\173_pamnest-twin-halloween-comforter-set-with-sheets-5-pieces-evil.jpg</t>
        </is>
      </c>
    </row>
    <row r="20" ht="66" customHeight="1">
      <c r="A20" s="2" t="inlineStr">
        <is>
          <t>jeminise.com+personalized-and-romance-music-player-interface-quilt-with-photo-b8a3dc4155-b8a3dc4155</t>
        </is>
      </c>
      <c r="B20" s="2" t="inlineStr">
        <is>
          <t>img_276999e589860388</t>
        </is>
      </c>
      <c r="C20" s="4" t="inlineStr">
        <is>
          <t>https://cdn.shopify.com/s/files/1/0792/5098/1063/files/9df0bd134caafb80cef543e0fa9ad7f956cd590354e7ab38b19d069b5fedd77a.jpg?v=1785103605</t>
        </is>
      </c>
      <c r="D20" s="4" t="inlineStr">
        <is>
          <t>https://cdn.shopify.com/s/files/1/0792/5098/1063/files/9df0bd134caafb80cef543e0fa9ad7f956cd590354e7ab38b19d069b5fedd77a.jpg?v=1785103605</t>
        </is>
      </c>
      <c r="E20" s="2" t="inlineStr">
        <is>
          <t>47540432371911</t>
        </is>
      </c>
      <c r="F20" s="2" t="inlineStr">
        <is>
          <t>47540432371911</t>
        </is>
      </c>
      <c r="G20" s="2" t="inlineStr"/>
      <c r="H20" s="2" t="inlineStr">
        <is>
          <t>GALLERY</t>
        </is>
      </c>
      <c r="I20" s="2" t="inlineStr">
        <is>
          <t>DIRECT_IMAGE_DOWNLOAD_AND_SOURCE_ROW_REVIEW</t>
        </is>
      </c>
      <c r="J20" s="2" t="inlineStr">
        <is>
          <t>2026-09-07T21:44:55+07:00</t>
        </is>
      </c>
      <c r="K20" s="2" t="inlineStr">
        <is>
          <t>Direct QA opened downloaded image 174_01; source SHA 674E40AD5FC2B9EBCCE7DE7CAEA1DC411D2E4FBD651018070708125954D70021. Submitted observation reviewed against gallery position.</t>
        </is>
      </c>
      <c r="L20" s="2" t="inlineStr">
        <is>
          <t>Main product mockup showing personalized photo music player quilt.</t>
        </is>
      </c>
      <c r="M20" s="2" t="inlineStr">
        <is>
          <t>UNKNOWN</t>
        </is>
      </c>
      <c r="N20" s="2" t="inlineStr">
        <is>
          <t>SET</t>
        </is>
      </c>
      <c r="O20" s="2" t="inlineStr">
        <is>
          <t>Personalized Photo Music Player Quilt displayed in a main product mockup</t>
        </is>
      </c>
      <c r="P20" s="2" t="inlineStr">
        <is>
          <t>FULL</t>
        </is>
      </c>
      <c r="Q20" s="2" t="inlineStr">
        <is>
          <t>FULL</t>
        </is>
      </c>
      <c r="R20" s="2" t="inlineStr">
        <is>
          <t>PARTIAL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ISSUE-0035</t>
        </is>
      </c>
      <c r="Z20" s="2" t="inlineStr">
        <is>
          <t>D:\Shopify_Workspace\jeminise_seo\seo_runs\jeminise.com\20260906_234129\qa\20260907_213100\images\174_01.jpg; 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row>
    <row r="21" ht="66" customHeight="1">
      <c r="A21" s="3" t="inlineStr">
        <is>
          <t>jeminise.com+personalized-and-romance-music-player-interface-quilt-with-photo-b8a3dc4155-b8a3dc4155</t>
        </is>
      </c>
      <c r="B21" s="3" t="inlineStr">
        <is>
          <t>img_a398bf609a93c7b9</t>
        </is>
      </c>
      <c r="C21" s="4" t="inlineStr">
        <is>
          <t>https://cdn.shopify.com/s/files/1/0792/5098/1063/files/44ba6b918e03007da3fc84d7e71d7fd9b1132b2182aed08bea42aed1149b7149.jpg?v=1785103606</t>
        </is>
      </c>
      <c r="D21" s="4" t="inlineStr">
        <is>
          <t>https://cdn.shopify.com/s/files/1/0792/5098/1063/files/44ba6b918e03007da3fc84d7e71d7fd9b1132b2182aed08bea42aed1149b7149.jpg?v=1785103606</t>
        </is>
      </c>
      <c r="E21" s="3" t="inlineStr">
        <is>
          <t>47540432404679</t>
        </is>
      </c>
      <c r="F21" s="3" t="inlineStr">
        <is>
          <t>47540432404679</t>
        </is>
      </c>
      <c r="G21" s="3" t="inlineStr"/>
      <c r="H21" s="3" t="inlineStr">
        <is>
          <t>GALLERY</t>
        </is>
      </c>
      <c r="I21" s="3" t="inlineStr">
        <is>
          <t>DIRECT_IMAGE_DOWNLOAD_AND_SOURCE_ROW_REVIEW</t>
        </is>
      </c>
      <c r="J21" s="3" t="inlineStr">
        <is>
          <t>2026-09-07T21:44:55+07:00</t>
        </is>
      </c>
      <c r="K21" s="3" t="inlineStr">
        <is>
          <t>Direct QA opened downloaded image 174_02; source SHA AE963E3E2993033A99821CF11591B70DF3BF23EC839D97C9C3BE5F9C13A1B9A1. Submitted observation reviewed against gallery position.</t>
        </is>
      </c>
      <c r="L21" s="3" t="inlineStr">
        <is>
          <t>Secondary flat, close-up or bedroom mockup showing personalized photo music player quilt.</t>
        </is>
      </c>
      <c r="M21" s="3" t="inlineStr">
        <is>
          <t>UNKNOWN</t>
        </is>
      </c>
      <c r="N21" s="3" t="inlineStr">
        <is>
          <t>SET</t>
        </is>
      </c>
      <c r="O21" s="3" t="inlineStr">
        <is>
          <t>Feature or close-up image for Personalized Photo Music Player Quilt</t>
        </is>
      </c>
      <c r="P21" s="3" t="inlineStr">
        <is>
          <t>FULL</t>
        </is>
      </c>
      <c r="Q21" s="3" t="inlineStr">
        <is>
          <t>FULL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c r="Z21" s="3" t="inlineStr">
        <is>
          <t>D:\Shopify_Workspace\jeminise_seo\seo_runs\jeminise.com\20260906_234129\qa\20260907_213100\images\174_02.jpg; 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row>
    <row r="22" ht="66" customHeight="1">
      <c r="A22" s="2" t="inlineStr">
        <is>
          <t>jeminise.com+personalized-and-romance-music-player-interface-quilt-with-photo-b8a3dc4155-b8a3dc4155</t>
        </is>
      </c>
      <c r="B22" s="2" t="inlineStr">
        <is>
          <t>img_3b4a8796d4c806d9</t>
        </is>
      </c>
      <c r="C22" s="4" t="inlineStr">
        <is>
          <t>https://cdn.shopify.com/s/files/1/0792/5098/1063/files/ada188324d65131d6d5d25a2a12d7b12cae7dc6a6a29f750589e8acc2aadf240.jpg?v=1785103605</t>
        </is>
      </c>
      <c r="D22" s="4" t="inlineStr">
        <is>
          <t>https://cdn.shopify.com/s/files/1/0792/5098/1063/files/ada188324d65131d6d5d25a2a12d7b12cae7dc6a6a29f750589e8acc2aadf240.jpg?v=1785103605</t>
        </is>
      </c>
      <c r="E22" s="2" t="inlineStr">
        <is>
          <t>47540432437447</t>
        </is>
      </c>
      <c r="F22" s="2" t="inlineStr">
        <is>
          <t>47540432437447</t>
        </is>
      </c>
      <c r="G22" s="2" t="inlineStr"/>
      <c r="H22" s="2" t="inlineStr">
        <is>
          <t>GALLERY</t>
        </is>
      </c>
      <c r="I22" s="2" t="inlineStr">
        <is>
          <t>DIRECT_IMAGE_DOWNLOAD_AND_SOURCE_ROW_REVIEW</t>
        </is>
      </c>
      <c r="J22" s="2" t="inlineStr">
        <is>
          <t>2026-09-07T21:44:55+07:00</t>
        </is>
      </c>
      <c r="K22" s="2" t="inlineStr">
        <is>
          <t>Direct QA opened downloaded image 174_03; source SHA 1F173D9C53BC7DAFCAF2AFD1AFFAFFD782B8A20D58ECE75149E0F2C8C238FCCD. Submitted observation reviewed against gallery position.</t>
        </is>
      </c>
      <c r="L22" s="2" t="inlineStr">
        <is>
          <t>Bedding type, feature, lifestyle or material image for personalized photo music player quilt.</t>
        </is>
      </c>
      <c r="M22" s="2" t="inlineStr">
        <is>
          <t>UNKNOWN</t>
        </is>
      </c>
      <c r="N22" s="2" t="inlineStr">
        <is>
          <t>SET</t>
        </is>
      </c>
      <c r="O22" s="2" t="inlineStr">
        <is>
          <t>Lifestyle or care image for Personalized Photo Music Player Quilt</t>
        </is>
      </c>
      <c r="P22" s="2" t="inlineStr">
        <is>
          <t>FULL</t>
        </is>
      </c>
      <c r="Q22" s="2" t="inlineStr">
        <is>
          <t>PARTIAL</t>
        </is>
      </c>
      <c r="R22" s="2" t="inlineStr">
        <is>
          <t>FULL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ISSUE-0036</t>
        </is>
      </c>
      <c r="Z22" s="2" t="inlineStr">
        <is>
          <t>D:\Shopify_Workspace\jeminise_seo\seo_runs\jeminise.com\20260906_234129\qa\20260907_213100\images\174_03.jpg; 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row>
    <row r="23" ht="66" customHeight="1">
      <c r="A23" s="3" t="inlineStr">
        <is>
          <t>jeminise.com+personalized-and-romance-music-player-interface-quilt-with-photo-b8a3dc4155-b8a3dc4155</t>
        </is>
      </c>
      <c r="B23" s="3" t="inlineStr">
        <is>
          <t>img_ed3a2326f13c7492</t>
        </is>
      </c>
      <c r="C23" s="4" t="inlineStr">
        <is>
          <t>https://cdn.shopify.com/s/files/1/0792/5098/1063/files/0ef4a2cf2af0944419c4d2e67a29d6f9d4c5405e2e59137b056c95c1f1eccfd1.jpg?v=1785103605</t>
        </is>
      </c>
      <c r="D23" s="4" t="inlineStr">
        <is>
          <t>https://cdn.shopify.com/s/files/1/0792/5098/1063/files/0ef4a2cf2af0944419c4d2e67a29d6f9d4c5405e2e59137b056c95c1f1eccfd1.jpg?v=1785103605</t>
        </is>
      </c>
      <c r="E23" s="3" t="inlineStr">
        <is>
          <t>47540432470215</t>
        </is>
      </c>
      <c r="F23" s="3" t="inlineStr">
        <is>
          <t>47540432470215</t>
        </is>
      </c>
      <c r="G23" s="3" t="inlineStr"/>
      <c r="H23" s="3" t="inlineStr">
        <is>
          <t>GALLERY</t>
        </is>
      </c>
      <c r="I23" s="3" t="inlineStr">
        <is>
          <t>DIRECT_IMAGE_DOWNLOAD_AND_SOURCE_ROW_REVIEW</t>
        </is>
      </c>
      <c r="J23" s="3" t="inlineStr">
        <is>
          <t>2026-09-07T21:44:55+07:00</t>
        </is>
      </c>
      <c r="K23" s="3" t="inlineStr">
        <is>
          <t>Direct QA opened downloaded image 174_04; source SHA B5B13F4433243FB3730DFBA8D71089AEAF6FF389272D31617DA40616142D18BA. Submitted observation reviewed against gallery position.</t>
        </is>
      </c>
      <c r="L23" s="3" t="inlineStr">
        <is>
          <t>Detail, feature panel or lifestyle image connected to personalized photo music player quilt.</t>
        </is>
      </c>
      <c r="M23" s="3" t="inlineStr">
        <is>
          <t>UNKNOWN</t>
        </is>
      </c>
      <c r="N23" s="3" t="inlineStr">
        <is>
          <t>SET</t>
        </is>
      </c>
      <c r="O23" s="3" t="inlineStr">
        <is>
          <t>Product detail or closure image for Personalized Photo Music Player Quilt</t>
        </is>
      </c>
      <c r="P23" s="3" t="inlineStr">
        <is>
          <t>FULL</t>
        </is>
      </c>
      <c r="Q23" s="3" t="inlineStr">
        <is>
          <t>PARTIAL</t>
        </is>
      </c>
      <c r="R23" s="3" t="inlineStr">
        <is>
          <t>FULL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ISSUE-0037</t>
        </is>
      </c>
      <c r="Z23" s="3" t="inlineStr">
        <is>
          <t>D:\Shopify_Workspace\jeminise_seo\seo_runs\jeminise.com\20260906_234129\qa\20260907_213100\images\174_04.jpg; 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row>
    <row r="24" ht="66" customHeight="1">
      <c r="A24" s="2" t="inlineStr">
        <is>
          <t>jeminise.com+personalized-and-romance-music-player-interface-quilt-with-photo-b8a3dc4155-b8a3dc4155</t>
        </is>
      </c>
      <c r="B24" s="2" t="inlineStr">
        <is>
          <t>img_44f71ee62f96cac0</t>
        </is>
      </c>
      <c r="C24" s="4" t="inlineStr">
        <is>
          <t>https://cdn.shopify.com/s/files/1/0792/5098/1063/files/4d6a288f3e1f77ceabddb188f9a9809ea332bb528a83f48fccc688a298c61bc9.jpg?v=1785103605</t>
        </is>
      </c>
      <c r="D24" s="4" t="inlineStr">
        <is>
          <t>https://cdn.shopify.com/s/files/1/0792/5098/1063/files/4d6a288f3e1f77ceabddb188f9a9809ea332bb528a83f48fccc688a298c61bc9.jpg?v=1785103605</t>
        </is>
      </c>
      <c r="E24" s="2" t="inlineStr">
        <is>
          <t>47540432502983</t>
        </is>
      </c>
      <c r="F24" s="2" t="inlineStr">
        <is>
          <t>47540432502983</t>
        </is>
      </c>
      <c r="G24" s="2" t="inlineStr"/>
      <c r="H24" s="2" t="inlineStr">
        <is>
          <t>GALLERY</t>
        </is>
      </c>
      <c r="I24" s="2" t="inlineStr">
        <is>
          <t>DIRECT_IMAGE_DOWNLOAD_AND_SOURCE_ROW_REVIEW</t>
        </is>
      </c>
      <c r="J24" s="2" t="inlineStr">
        <is>
          <t>2026-09-07T21:44:55+07:00</t>
        </is>
      </c>
      <c r="K24" s="2" t="inlineStr">
        <is>
          <t>Direct QA opened downloaded image 174_05; source SHA 126540461E4C3AB9A761F91D64233692E0CAE8B10DDBB63D8B8818DB817E7AD9. Submitted observation reviewed against gallery position.</t>
        </is>
      </c>
      <c r="L24" s="2" t="inlineStr">
        <is>
          <t>Additional mockup, care or size information for personalized photo music player quilt.</t>
        </is>
      </c>
      <c r="M24" s="2" t="inlineStr">
        <is>
          <t>UNKNOWN</t>
        </is>
      </c>
      <c r="N24" s="2" t="inlineStr">
        <is>
          <t>SET</t>
        </is>
      </c>
      <c r="O24" s="2" t="inlineStr">
        <is>
          <t>Fitted sheet or size feature image for Personalized Photo Music Player Quilt</t>
        </is>
      </c>
      <c r="P24" s="2" t="inlineStr">
        <is>
          <t>FULL</t>
        </is>
      </c>
      <c r="Q24" s="2" t="inlineStr">
        <is>
          <t>FULL</t>
        </is>
      </c>
      <c r="R24" s="2" t="inlineStr">
        <is>
          <t>FULL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c r="Z24" s="2" t="inlineStr">
        <is>
          <t>D:\Shopify_Workspace\jeminise_seo\seo_runs\jeminise.com\20260906_234129\qa\20260907_213100\images\174_05.jpg; 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row>
    <row r="25" ht="66" customHeight="1">
      <c r="A25" s="3" t="inlineStr">
        <is>
          <t>jeminise.com+personalized-and-romance-music-player-interface-quilt-with-photo-b8a3dc4155-b8a3dc4155</t>
        </is>
      </c>
      <c r="B25" s="3" t="inlineStr">
        <is>
          <t>img_6d222095b5b6acb3</t>
        </is>
      </c>
      <c r="C25" s="4" t="inlineStr">
        <is>
          <t>https://cdn.shopify.com/s/files/1/0792/5098/1063/files/89f35e8d5de515e1b75dcf0c65c85ef13b058ae4f9983fe7da44c702d7374b45.jpg?v=1785103605</t>
        </is>
      </c>
      <c r="D25" s="4" t="inlineStr">
        <is>
          <t>https://cdn.shopify.com/s/files/1/0792/5098/1063/files/89f35e8d5de515e1b75dcf0c65c85ef13b058ae4f9983fe7da44c702d7374b45.jpg?v=1785103605</t>
        </is>
      </c>
      <c r="E25" s="3" t="inlineStr">
        <is>
          <t>47540432535751</t>
        </is>
      </c>
      <c r="F25" s="3" t="inlineStr">
        <is>
          <t>47540432535751</t>
        </is>
      </c>
      <c r="G25" s="3" t="inlineStr"/>
      <c r="H25" s="3" t="inlineStr">
        <is>
          <t>GALLERY</t>
        </is>
      </c>
      <c r="I25" s="3" t="inlineStr">
        <is>
          <t>DIRECT_IMAGE_DOWNLOAD_AND_SOURCE_ROW_REVIEW</t>
        </is>
      </c>
      <c r="J25" s="3" t="inlineStr">
        <is>
          <t>2026-09-07T21:44:55+07:00</t>
        </is>
      </c>
      <c r="K25" s="3" t="inlineStr">
        <is>
          <t>Direct QA opened downloaded image 174_06; source SHA FC571B54CAA293915CB51F7254FC95CBA257BEF9C4680184B959C0C37EA4B4D0. Submitted observation reviewed against gallery position.</t>
        </is>
      </c>
      <c r="L25" s="3" t="inlineStr">
        <is>
          <t>Easy-care, size guide or product feature image for personalized photo music player quilt.</t>
        </is>
      </c>
      <c r="M25" s="3" t="inlineStr">
        <is>
          <t>UNKNOWN</t>
        </is>
      </c>
      <c r="N25" s="3" t="inlineStr">
        <is>
          <t>SET</t>
        </is>
      </c>
      <c r="O25" s="3" t="inlineStr">
        <is>
          <t>Set contents, fabric or size chart image for Personalized Photo Music Player Quilt</t>
        </is>
      </c>
      <c r="P25" s="3" t="inlineStr">
        <is>
          <t>FULL</t>
        </is>
      </c>
      <c r="Q25" s="3" t="inlineStr">
        <is>
          <t>PARTIAL</t>
        </is>
      </c>
      <c r="R25" s="3" t="inlineStr">
        <is>
          <t>PARTIAL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ISSUE-0038; ISSUE-0039</t>
        </is>
      </c>
      <c r="Z25" s="3" t="inlineStr">
        <is>
          <t>D:\Shopify_Workspace\jeminise_seo\seo_runs\jeminise.com\20260906_234129\qa\20260907_213100\images\174_06.jpg; 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row>
    <row r="26" ht="66" customHeight="1">
      <c r="A26" s="2" t="inlineStr">
        <is>
          <t>jeminise.com+personalized-and-romance-music-player-interface-quilt-with-photo-b8a3dc4155-b8a3dc4155</t>
        </is>
      </c>
      <c r="B26" s="2" t="inlineStr">
        <is>
          <t>img_323e80043ab8b29c</t>
        </is>
      </c>
      <c r="C26" s="4" t="inlineStr">
        <is>
          <t>https://cdn.shopify.com/s/files/1/0792/5098/1063/files/ab6a0a01e28e814d8f3cbc64e88430ceb1b8a226c57a04429ff8ee2f9f8470ea.jpg?v=1785103606</t>
        </is>
      </c>
      <c r="D26" s="4" t="inlineStr">
        <is>
          <t>https://cdn.shopify.com/s/files/1/0792/5098/1063/files/ab6a0a01e28e814d8f3cbc64e88430ceb1b8a226c57a04429ff8ee2f9f8470ea.jpg?v=1785103606</t>
        </is>
      </c>
      <c r="E26" s="2" t="inlineStr">
        <is>
          <t>47540432568519</t>
        </is>
      </c>
      <c r="F26" s="2" t="inlineStr">
        <is>
          <t>47540432568519</t>
        </is>
      </c>
      <c r="G26" s="2" t="inlineStr"/>
      <c r="H26" s="2" t="inlineStr">
        <is>
          <t>GALLERY</t>
        </is>
      </c>
      <c r="I26" s="2" t="inlineStr">
        <is>
          <t>DIRECT_IMAGE_DOWNLOAD_AND_SOURCE_ROW_REVIEW</t>
        </is>
      </c>
      <c r="J26" s="2" t="inlineStr">
        <is>
          <t>2026-09-07T21:44:55+07:00</t>
        </is>
      </c>
      <c r="K26" s="2" t="inlineStr">
        <is>
          <t>Direct QA opened downloaded image 174_07; source SHA D5AC771C8CC7B348BE8FFA166AF09437EE2A4B2E393DAAF52752A2CBA316EFB6. Submitted observation reviewed against gallery position.</t>
        </is>
      </c>
      <c r="L26" s="2" t="inlineStr">
        <is>
          <t>Additional lifestyle, feature or product detail image showing personalized photo music player quilt.</t>
        </is>
      </c>
      <c r="M26" s="2" t="inlineStr">
        <is>
          <t>UNKNOWN</t>
        </is>
      </c>
      <c r="N26" s="2" t="inlineStr">
        <is>
          <t>SET</t>
        </is>
      </c>
      <c r="O26" s="2" t="inlineStr">
        <is>
          <t>Additional product mockup of Personalized Photo Music Player Quilt</t>
        </is>
      </c>
      <c r="P26" s="2" t="inlineStr">
        <is>
          <t>FULL</t>
        </is>
      </c>
      <c r="Q26" s="2" t="inlineStr">
        <is>
          <t>PARTIAL</t>
        </is>
      </c>
      <c r="R26" s="2" t="inlineStr">
        <is>
          <t>FULL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ISSUE-0040</t>
        </is>
      </c>
      <c r="Z26" s="2" t="inlineStr">
        <is>
          <t>D:\Shopify_Workspace\jeminise_seo\seo_runs\jeminise.com\20260906_234129\qa\20260907_213100\images\174_07.jpg; 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row>
    <row r="27" ht="66" customHeight="1">
      <c r="A27" s="3" t="inlineStr">
        <is>
          <t>jeminise.com+personalized-autumn-tree-of-life-birds-flowers-quilt-sets-radiant</t>
        </is>
      </c>
      <c r="B27" s="3" t="inlineStr">
        <is>
          <t>img_f4027e4dfe8ce19b</t>
        </is>
      </c>
      <c r="C27" s="4" t="inlineStr">
        <is>
          <t>https://cdn.shopify.com/s/files/1/0792/5098/1063/files/76e83bca36e7d6cbe9d52534b537497ba2da302985d2500484b04ef5c13e86f1.jpg?v=1786569190</t>
        </is>
      </c>
      <c r="D27" s="4" t="inlineStr">
        <is>
          <t>https://cdn.shopify.com/s/files/1/0792/5098/1063/files/76e83bca36e7d6cbe9d52534b537497ba2da302985d2500484b04ef5c13e86f1.jpg?v=1786569190</t>
        </is>
      </c>
      <c r="E27" s="3" t="inlineStr">
        <is>
          <t>47826165956807</t>
        </is>
      </c>
      <c r="F27" s="3" t="inlineStr">
        <is>
          <t>47826165956807</t>
        </is>
      </c>
      <c r="G27" s="3" t="inlineStr"/>
      <c r="H27" s="3" t="inlineStr">
        <is>
          <t>GALLERY</t>
        </is>
      </c>
      <c r="I27" s="3" t="inlineStr">
        <is>
          <t>DIRECT_IMAGE_DOWNLOAD_AND_SOURCE_ROW_REVIEW</t>
        </is>
      </c>
      <c r="J27" s="3" t="inlineStr">
        <is>
          <t>2026-09-07T21:44:55+07:00</t>
        </is>
      </c>
      <c r="K27" s="3" t="inlineStr">
        <is>
          <t>Direct QA opened downloaded image 175_01; source SHA A49D727878679E1CA0E717EDF1D722E42C45347B5691A2CDD19E5E8D595551B2. Submitted observation reviewed against gallery position.</t>
        </is>
      </c>
      <c r="L27" s="3" t="inlineStr">
        <is>
          <t>Main product mockup showing autumn tree of life birds flowers quilt.</t>
        </is>
      </c>
      <c r="M27" s="3" t="inlineStr">
        <is>
          <t>UNKNOWN</t>
        </is>
      </c>
      <c r="N27" s="3" t="inlineStr">
        <is>
          <t>SET</t>
        </is>
      </c>
      <c r="O27" s="3" t="inlineStr">
        <is>
          <t>Autumn Tree of Life Birds and Flowers Quilt displayed in a main product mockup</t>
        </is>
      </c>
      <c r="P27" s="3" t="inlineStr">
        <is>
          <t>FULL</t>
        </is>
      </c>
      <c r="Q27" s="3" t="inlineStr">
        <is>
          <t>FULL</t>
        </is>
      </c>
      <c r="R27" s="3" t="inlineStr">
        <is>
          <t>PARTIAL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ISSUE-0046</t>
        </is>
      </c>
      <c r="Z27" s="3" t="inlineStr">
        <is>
          <t>D:\Shopify_Workspace\jeminise_seo\seo_runs\jeminise.com\20260906_234129\qa\20260907_213100\images\175_01.jpg; seo_runs\jeminise.com\20260906_234129\evidence\images\175_personalized-autumn-tree-of-life-birds-flowers-quilt-sets-radiant\image_01_47826165956807.jpg; seo_runs\jeminise.com\20260906_234129\evidence\contact_sheets\175_personalized-autumn-tree-of-life-birds-flowers-quilt-sets-radiant.jpg</t>
        </is>
      </c>
    </row>
    <row r="28" ht="66" customHeight="1">
      <c r="A28" s="2" t="inlineStr">
        <is>
          <t>jeminise.com+personalized-autumn-tree-of-life-birds-flowers-quilt-sets-radiant</t>
        </is>
      </c>
      <c r="B28" s="2" t="inlineStr">
        <is>
          <t>img_91c4bed6ee47460e</t>
        </is>
      </c>
      <c r="C28" s="4" t="inlineStr">
        <is>
          <t>https://cdn.shopify.com/s/files/1/0792/5098/1063/files/e88f9c91210002eaa2f256be9d65bf02c309f8b3dc9a23c994a72d37aa8df308.jpg?v=1786569190</t>
        </is>
      </c>
      <c r="D28" s="4" t="inlineStr">
        <is>
          <t>https://cdn.shopify.com/s/files/1/0792/5098/1063/files/e88f9c91210002eaa2f256be9d65bf02c309f8b3dc9a23c994a72d37aa8df308.jpg?v=1786569190</t>
        </is>
      </c>
      <c r="E28" s="2" t="inlineStr">
        <is>
          <t>47826165989575</t>
        </is>
      </c>
      <c r="F28" s="2" t="inlineStr">
        <is>
          <t>47826165989575</t>
        </is>
      </c>
      <c r="G28" s="2" t="inlineStr"/>
      <c r="H28" s="2" t="inlineStr">
        <is>
          <t>GALLERY</t>
        </is>
      </c>
      <c r="I28" s="2" t="inlineStr">
        <is>
          <t>DIRECT_IMAGE_DOWNLOAD_AND_SOURCE_ROW_REVIEW</t>
        </is>
      </c>
      <c r="J28" s="2" t="inlineStr">
        <is>
          <t>2026-09-07T21:44:55+07:00</t>
        </is>
      </c>
      <c r="K28" s="2" t="inlineStr">
        <is>
          <t>Direct QA opened downloaded image 175_02; source SHA C725A8ECB39E7AB8EF735BECEB562B42710EBD2EF9BC71C04A3BAAC004FFC97A. Submitted observation reviewed against gallery position.</t>
        </is>
      </c>
      <c r="L28" s="2" t="inlineStr">
        <is>
          <t>Secondary flat, close-up or bedroom mockup showing autumn tree of life birds flowers quilt.</t>
        </is>
      </c>
      <c r="M28" s="2" t="inlineStr">
        <is>
          <t>UNKNOWN</t>
        </is>
      </c>
      <c r="N28" s="2" t="inlineStr">
        <is>
          <t>SET</t>
        </is>
      </c>
      <c r="O28" s="2" t="inlineStr">
        <is>
          <t>Feature or close-up image for Autumn Tree of Life Birds and Flowers Quilt</t>
        </is>
      </c>
      <c r="P28" s="2" t="inlineStr">
        <is>
          <t>FULL</t>
        </is>
      </c>
      <c r="Q28" s="2" t="inlineStr">
        <is>
          <t>FULL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c r="Z28" s="2" t="inlineStr">
        <is>
          <t>D:\Shopify_Workspace\jeminise_seo\seo_runs\jeminise.com\20260906_234129\qa\20260907_213100\images\175_02.jpg; seo_runs\jeminise.com\20260906_234129\evidence\images\175_personalized-autumn-tree-of-life-birds-flowers-quilt-sets-radiant\image_02_47826165989575.jpg; seo_runs\jeminise.com\20260906_234129\evidence\contact_sheets\175_personalized-autumn-tree-of-life-birds-flowers-quilt-sets-radiant.jpg</t>
        </is>
      </c>
    </row>
    <row r="29" ht="66" customHeight="1">
      <c r="A29" s="3" t="inlineStr">
        <is>
          <t>jeminise.com+personalized-autumn-tree-of-life-birds-flowers-quilt-sets-radiant</t>
        </is>
      </c>
      <c r="B29" s="3" t="inlineStr">
        <is>
          <t>img_5dc0930c0a34735a</t>
        </is>
      </c>
      <c r="C29" s="4" t="inlineStr">
        <is>
          <t>https://cdn.shopify.com/s/files/1/0792/5098/1063/files/14fdab197c2fb28af22fc3dad45c9f6e647085505ad1d22079f42b99ff4512c9.jpg?v=1786569190</t>
        </is>
      </c>
      <c r="D29" s="4" t="inlineStr">
        <is>
          <t>https://cdn.shopify.com/s/files/1/0792/5098/1063/files/14fdab197c2fb28af22fc3dad45c9f6e647085505ad1d22079f42b99ff4512c9.jpg?v=1786569190</t>
        </is>
      </c>
      <c r="E29" s="3" t="inlineStr">
        <is>
          <t>47826166022343</t>
        </is>
      </c>
      <c r="F29" s="3" t="inlineStr">
        <is>
          <t>47826166022343</t>
        </is>
      </c>
      <c r="G29" s="3" t="inlineStr"/>
      <c r="H29" s="3" t="inlineStr">
        <is>
          <t>GALLERY</t>
        </is>
      </c>
      <c r="I29" s="3" t="inlineStr">
        <is>
          <t>DIRECT_IMAGE_DOWNLOAD_AND_SOURCE_ROW_REVIEW</t>
        </is>
      </c>
      <c r="J29" s="3" t="inlineStr">
        <is>
          <t>2026-09-07T21:44:55+07:00</t>
        </is>
      </c>
      <c r="K29" s="3" t="inlineStr">
        <is>
          <t>Direct QA opened downloaded image 175_03; source SHA C538CBBFFF35687B84A4011BD39F02025523390F6403CCB8A8571C9FF0234A12. Submitted observation reviewed against gallery position.</t>
        </is>
      </c>
      <c r="L29" s="3" t="inlineStr">
        <is>
          <t>Bedding type, feature, lifestyle or material image for autumn tree of life birds flowers quilt.</t>
        </is>
      </c>
      <c r="M29" s="3" t="inlineStr">
        <is>
          <t>UNKNOWN</t>
        </is>
      </c>
      <c r="N29" s="3" t="inlineStr">
        <is>
          <t>SET</t>
        </is>
      </c>
      <c r="O29" s="3" t="inlineStr">
        <is>
          <t>Lifestyle or care image for Autumn Tree of Life Birds and Flowers Quilt</t>
        </is>
      </c>
      <c r="P29" s="3" t="inlineStr">
        <is>
          <t>FULL</t>
        </is>
      </c>
      <c r="Q29" s="3" t="inlineStr">
        <is>
          <t>PARTIAL</t>
        </is>
      </c>
      <c r="R29" s="3" t="inlineStr">
        <is>
          <t>FULL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ISSUE-0047</t>
        </is>
      </c>
      <c r="Z29" s="3" t="inlineStr">
        <is>
          <t>D:\Shopify_Workspace\jeminise_seo\seo_runs\jeminise.com\20260906_234129\qa\20260907_213100\images\175_03.jpg; seo_runs\jeminise.com\20260906_234129\evidence\images\175_personalized-autumn-tree-of-life-birds-flowers-quilt-sets-radiant\image_03_47826166022343.jpg; seo_runs\jeminise.com\20260906_234129\evidence\contact_sheets\175_personalized-autumn-tree-of-life-birds-flowers-quilt-sets-radiant.jpg</t>
        </is>
      </c>
    </row>
    <row r="30" ht="66" customHeight="1">
      <c r="A30" s="2" t="inlineStr">
        <is>
          <t>jeminise.com+personalized-autumn-tree-of-life-birds-flowers-quilt-sets-radiant</t>
        </is>
      </c>
      <c r="B30" s="2" t="inlineStr">
        <is>
          <t>img_666dc62742244c34</t>
        </is>
      </c>
      <c r="C30" s="4" t="inlineStr">
        <is>
          <t>https://cdn.shopify.com/s/files/1/0792/5098/1063/files/75a8841341082afa024eccaf666cc50689cb0804b1b5c6121a143f1ad7fd0f5c.jpg?v=1786569190</t>
        </is>
      </c>
      <c r="D30" s="4" t="inlineStr">
        <is>
          <t>https://cdn.shopify.com/s/files/1/0792/5098/1063/files/75a8841341082afa024eccaf666cc50689cb0804b1b5c6121a143f1ad7fd0f5c.jpg?v=1786569190</t>
        </is>
      </c>
      <c r="E30" s="2" t="inlineStr">
        <is>
          <t>47826166055111</t>
        </is>
      </c>
      <c r="F30" s="2" t="inlineStr">
        <is>
          <t>47826166055111</t>
        </is>
      </c>
      <c r="G30" s="2" t="inlineStr"/>
      <c r="H30" s="2" t="inlineStr">
        <is>
          <t>GALLERY</t>
        </is>
      </c>
      <c r="I30" s="2" t="inlineStr">
        <is>
          <t>DIRECT_IMAGE_DOWNLOAD_AND_SOURCE_ROW_REVIEW</t>
        </is>
      </c>
      <c r="J30" s="2" t="inlineStr">
        <is>
          <t>2026-09-07T21:44:55+07:00</t>
        </is>
      </c>
      <c r="K30" s="2" t="inlineStr">
        <is>
          <t>Direct QA opened downloaded image 175_04; source SHA A75A180EA425A10617D60173CBF6A9B219472E24E519596633EE44DDEEE66E75. Submitted observation reviewed against gallery position.</t>
        </is>
      </c>
      <c r="L30" s="2" t="inlineStr">
        <is>
          <t>Detail, feature panel or lifestyle image connected to autumn tree of life birds flowers quilt.</t>
        </is>
      </c>
      <c r="M30" s="2" t="inlineStr">
        <is>
          <t>UNKNOWN</t>
        </is>
      </c>
      <c r="N30" s="2" t="inlineStr">
        <is>
          <t>SET</t>
        </is>
      </c>
      <c r="O30" s="2" t="inlineStr">
        <is>
          <t>Product detail or closure image for Autumn Tree of Life Birds and Flowers Quilt</t>
        </is>
      </c>
      <c r="P30" s="2" t="inlineStr">
        <is>
          <t>FULL</t>
        </is>
      </c>
      <c r="Q30" s="2" t="inlineStr">
        <is>
          <t>PARTIAL</t>
        </is>
      </c>
      <c r="R30" s="2" t="inlineStr">
        <is>
          <t>FULL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ISSUE-0048</t>
        </is>
      </c>
      <c r="Z30" s="2" t="inlineStr">
        <is>
          <t>D:\Shopify_Workspace\jeminise_seo\seo_runs\jeminise.com\20260906_234129\qa\20260907_213100\images\175_04.jpg; seo_runs\jeminise.com\20260906_234129\evidence\images\175_personalized-autumn-tree-of-life-birds-flowers-quilt-sets-radiant\image_04_47826166055111.jpg; seo_runs\jeminise.com\20260906_234129\evidence\contact_sheets\175_personalized-autumn-tree-of-life-birds-flowers-quilt-sets-radiant.jpg</t>
        </is>
      </c>
    </row>
    <row r="31" ht="66" customHeight="1">
      <c r="A31" s="3" t="inlineStr">
        <is>
          <t>jeminise.com+personalized-autumn-tree-of-life-birds-flowers-quilt-sets-radiant</t>
        </is>
      </c>
      <c r="B31" s="3" t="inlineStr">
        <is>
          <t>img_afb42bbcdf311432</t>
        </is>
      </c>
      <c r="C31" s="4" t="inlineStr">
        <is>
          <t>https://cdn.shopify.com/s/files/1/0792/5098/1063/files/e219e0bbc1c8ff23741eccef9f119feb831d13dc409a2b2543144c43134d1124.jpg?v=1786569190</t>
        </is>
      </c>
      <c r="D31" s="4" t="inlineStr">
        <is>
          <t>https://cdn.shopify.com/s/files/1/0792/5098/1063/files/e219e0bbc1c8ff23741eccef9f119feb831d13dc409a2b2543144c43134d1124.jpg?v=1786569190</t>
        </is>
      </c>
      <c r="E31" s="3" t="inlineStr">
        <is>
          <t>47826166087879</t>
        </is>
      </c>
      <c r="F31" s="3" t="inlineStr">
        <is>
          <t>47826166087879</t>
        </is>
      </c>
      <c r="G31" s="3" t="inlineStr"/>
      <c r="H31" s="3" t="inlineStr">
        <is>
          <t>GALLERY</t>
        </is>
      </c>
      <c r="I31" s="3" t="inlineStr">
        <is>
          <t>DIRECT_IMAGE_DOWNLOAD_AND_SOURCE_ROW_REVIEW</t>
        </is>
      </c>
      <c r="J31" s="3" t="inlineStr">
        <is>
          <t>2026-09-07T21:44:55+07:00</t>
        </is>
      </c>
      <c r="K31" s="3" t="inlineStr">
        <is>
          <t>Direct QA opened downloaded image 175_05; source SHA B4068A8688304AB80D23BDB2EAE46C7FD51DCB79B726BD8BA6E2C2F279CC95B0. Submitted observation reviewed against gallery position.</t>
        </is>
      </c>
      <c r="L31" s="3" t="inlineStr">
        <is>
          <t>Additional mockup, care or size information for autumn tree of life birds flowers quilt.</t>
        </is>
      </c>
      <c r="M31" s="3" t="inlineStr">
        <is>
          <t>UNKNOWN</t>
        </is>
      </c>
      <c r="N31" s="3" t="inlineStr">
        <is>
          <t>SET</t>
        </is>
      </c>
      <c r="O31" s="3" t="inlineStr">
        <is>
          <t>Fitted sheet or size feature image for Autumn Tree of Life Birds and Flowers Quilt</t>
        </is>
      </c>
      <c r="P31" s="3" t="inlineStr">
        <is>
          <t>FULL</t>
        </is>
      </c>
      <c r="Q31" s="3" t="inlineStr">
        <is>
          <t>FULL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c r="Z31" s="3" t="inlineStr">
        <is>
          <t>D:\Shopify_Workspace\jeminise_seo\seo_runs\jeminise.com\20260906_234129\qa\20260907_213100\images\175_05.jpg; seo_runs\jeminise.com\20260906_234129\evidence\images\175_personalized-autumn-tree-of-life-birds-flowers-quilt-sets-radiant\image_05_47826166087879.jpg; seo_runs\jeminise.com\20260906_234129\evidence\contact_sheets\175_personalized-autumn-tree-of-life-birds-flowers-quilt-sets-radiant.jpg</t>
        </is>
      </c>
    </row>
    <row r="32" ht="66" customHeight="1">
      <c r="A32" s="2" t="inlineStr">
        <is>
          <t>jeminise.com+personalized-autumn-tree-of-life-birds-flowers-quilt-sets-radiant</t>
        </is>
      </c>
      <c r="B32" s="2" t="inlineStr">
        <is>
          <t>img_160776f07e0e57b2</t>
        </is>
      </c>
      <c r="C32" s="4" t="inlineStr">
        <is>
          <t>https://cdn.shopify.com/s/files/1/0792/5098/1063/files/4e3bd5db7f8f32bc843c373deb779457b0bc909907e444f3fd479b1487f44f0c.jpg?v=1786569190</t>
        </is>
      </c>
      <c r="D32" s="4" t="inlineStr">
        <is>
          <t>https://cdn.shopify.com/s/files/1/0792/5098/1063/files/4e3bd5db7f8f32bc843c373deb779457b0bc909907e444f3fd479b1487f44f0c.jpg?v=1786569190</t>
        </is>
      </c>
      <c r="E32" s="2" t="inlineStr">
        <is>
          <t>47826166120647</t>
        </is>
      </c>
      <c r="F32" s="2" t="inlineStr">
        <is>
          <t>47826166120647</t>
        </is>
      </c>
      <c r="G32" s="2" t="inlineStr"/>
      <c r="H32" s="2" t="inlineStr">
        <is>
          <t>GALLERY</t>
        </is>
      </c>
      <c r="I32" s="2" t="inlineStr">
        <is>
          <t>DIRECT_IMAGE_DOWNLOAD_AND_SOURCE_ROW_REVIEW</t>
        </is>
      </c>
      <c r="J32" s="2" t="inlineStr">
        <is>
          <t>2026-09-07T21:44:55+07:00</t>
        </is>
      </c>
      <c r="K32" s="2" t="inlineStr">
        <is>
          <t>Direct QA opened downloaded image 175_06; source SHA 96A63279C64C48621D6452A80E6293EB314A4119E5D7F2DA212D3F76B08D9173. Submitted observation reviewed against gallery position.</t>
        </is>
      </c>
      <c r="L32" s="2" t="inlineStr">
        <is>
          <t>Easy-care, size guide or product feature image for autumn tree of life birds flowers quilt.</t>
        </is>
      </c>
      <c r="M32" s="2" t="inlineStr">
        <is>
          <t>UNKNOWN</t>
        </is>
      </c>
      <c r="N32" s="2" t="inlineStr">
        <is>
          <t>SET</t>
        </is>
      </c>
      <c r="O32" s="2" t="inlineStr">
        <is>
          <t>Set contents, fabric or size chart image for Autumn Tree of Life Birds and Flowers Quilt</t>
        </is>
      </c>
      <c r="P32" s="2" t="inlineStr">
        <is>
          <t>FULL</t>
        </is>
      </c>
      <c r="Q32" s="2" t="inlineStr">
        <is>
          <t>PARTIAL</t>
        </is>
      </c>
      <c r="R32" s="2" t="inlineStr">
        <is>
          <t>PARTIAL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ISSUE-0049; ISSUE-0050</t>
        </is>
      </c>
      <c r="Z32" s="2" t="inlineStr">
        <is>
          <t>D:\Shopify_Workspace\jeminise_seo\seo_runs\jeminise.com\20260906_234129\qa\20260907_213100\images\175_06.jpg; seo_runs\jeminise.com\20260906_234129\evidence\images\175_personalized-autumn-tree-of-life-birds-flowers-quilt-sets-radiant\image_06_47826166120647.jpg; seo_runs\jeminise.com\20260906_234129\evidence\contact_sheets\175_personalized-autumn-tree-of-life-birds-flowers-quilt-sets-radiant.jpg</t>
        </is>
      </c>
    </row>
    <row r="33" ht="66" customHeight="1">
      <c r="A33" s="3" t="inlineStr">
        <is>
          <t>jeminise.com+personalized-autumn-tree-of-life-birds-flowers-quilt-sets-radiant</t>
        </is>
      </c>
      <c r="B33" s="3" t="inlineStr">
        <is>
          <t>img_738a291d0306aba3</t>
        </is>
      </c>
      <c r="C33" s="4" t="inlineStr">
        <is>
          <t>https://cdn.shopify.com/s/files/1/0792/5098/1063/files/1ac440907b13bbfe69aa9df8b823b1b2403e9b7593955f0dc4a32ec79c5ad5dd.jpg?v=1786569191</t>
        </is>
      </c>
      <c r="D33" s="4" t="inlineStr">
        <is>
          <t>https://cdn.shopify.com/s/files/1/0792/5098/1063/files/1ac440907b13bbfe69aa9df8b823b1b2403e9b7593955f0dc4a32ec79c5ad5dd.jpg?v=1786569191</t>
        </is>
      </c>
      <c r="E33" s="3" t="inlineStr">
        <is>
          <t>47826166153415</t>
        </is>
      </c>
      <c r="F33" s="3" t="inlineStr">
        <is>
          <t>47826166153415</t>
        </is>
      </c>
      <c r="G33" s="3" t="inlineStr"/>
      <c r="H33" s="3" t="inlineStr">
        <is>
          <t>GALLERY</t>
        </is>
      </c>
      <c r="I33" s="3" t="inlineStr">
        <is>
          <t>DIRECT_IMAGE_DOWNLOAD_AND_SOURCE_ROW_REVIEW</t>
        </is>
      </c>
      <c r="J33" s="3" t="inlineStr">
        <is>
          <t>2026-09-07T21:44:55+07:00</t>
        </is>
      </c>
      <c r="K33" s="3" t="inlineStr">
        <is>
          <t>Direct QA opened downloaded image 175_07; source SHA B946D92A771792CFA3A2225FC9201C939121A7B08C5520B7693DC245FBE74C7A. Submitted observation reviewed against gallery position.</t>
        </is>
      </c>
      <c r="L33" s="3" t="inlineStr">
        <is>
          <t>Additional lifestyle, feature or product detail image showing autumn tree of life birds flowers quilt.</t>
        </is>
      </c>
      <c r="M33" s="3" t="inlineStr">
        <is>
          <t>UNKNOWN</t>
        </is>
      </c>
      <c r="N33" s="3" t="inlineStr">
        <is>
          <t>SET</t>
        </is>
      </c>
      <c r="O33" s="3" t="inlineStr">
        <is>
          <t>Additional product mockup of Autumn Tree of Life Birds and Flowers Quilt</t>
        </is>
      </c>
      <c r="P33" s="3" t="inlineStr">
        <is>
          <t>FULL</t>
        </is>
      </c>
      <c r="Q33" s="3" t="inlineStr">
        <is>
          <t>PARTIAL</t>
        </is>
      </c>
      <c r="R33" s="3" t="inlineStr">
        <is>
          <t>FULL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ISSUE-0051</t>
        </is>
      </c>
      <c r="Z33" s="3" t="inlineStr">
        <is>
          <t>D:\Shopify_Workspace\jeminise_seo\seo_runs\jeminise.com\20260906_234129\qa\20260907_213100\images\175_07.jpg; seo_runs\jeminise.com\20260906_234129\evidence\images\175_personalized-autumn-tree-of-life-birds-flowers-quilt-sets-radiant\image_07_47826166153415.jpg; seo_runs\jeminise.com\20260906_234129\evidence\contact_sheets\175_personalized-autumn-tree-of-life-birds-flowers-quilt-sets-radiant.jpg</t>
        </is>
      </c>
    </row>
    <row r="34" ht="66" customHeight="1">
      <c r="A34" s="2" t="inlineStr">
        <is>
          <t>jeminise.com+personalized-baseball-bedding-full-size-flag-custom-name-d-design-01</t>
        </is>
      </c>
      <c r="B34" s="2" t="inlineStr">
        <is>
          <t>img_047651ad480d6508</t>
        </is>
      </c>
      <c r="C34" s="4" t="inlineStr">
        <is>
          <t>https://cdn.shopify.com/s/files/1/0792/5098/1063/files/7b5c51aa3d8e7b0ede2b944964c9def4c11bee595091e278a8a03e64c42de41e.jpg?v=1787242220</t>
        </is>
      </c>
      <c r="D34" s="4" t="inlineStr">
        <is>
          <t>https://cdn.shopify.com/s/files/1/0792/5098/1063/files/7b5c51aa3d8e7b0ede2b944964c9def4c11bee595091e278a8a03e64c42de41e.jpg?v=1787242220</t>
        </is>
      </c>
      <c r="E34" s="2" t="inlineStr">
        <is>
          <t>47934348525767</t>
        </is>
      </c>
      <c r="F34" s="2" t="inlineStr">
        <is>
          <t>47934348525767</t>
        </is>
      </c>
      <c r="G34" s="2" t="inlineStr"/>
      <c r="H34" s="2" t="inlineStr">
        <is>
          <t>GALLERY</t>
        </is>
      </c>
      <c r="I34" s="2" t="inlineStr">
        <is>
          <t>DIRECT_IMAGE_DOWNLOAD_AND_SOURCE_ROW_REVIEW</t>
        </is>
      </c>
      <c r="J34" s="2" t="inlineStr">
        <is>
          <t>2026-09-07T21:44:55+07:00</t>
        </is>
      </c>
      <c r="K34" s="2" t="inlineStr">
        <is>
          <t>Direct QA opened downloaded image 176_01; source SHA 33D10311CA5C0E6C5A782371B8106103DE3C16A750F155172E11B002BCBCB482. Submitted observation reviewed against gallery position.</t>
        </is>
      </c>
      <c r="L34" s="2" t="inlineStr">
        <is>
          <t>Main product mockup showing personalized baseball American flag bedding with vertical name.</t>
        </is>
      </c>
      <c r="M34" s="2" t="inlineStr">
        <is>
          <t>UNKNOWN</t>
        </is>
      </c>
      <c r="N34" s="2" t="inlineStr">
        <is>
          <t>SET</t>
        </is>
      </c>
      <c r="O34" s="2" t="inlineStr">
        <is>
          <t>Personalized Baseball American Flag Bedding displayed in a main product mockup</t>
        </is>
      </c>
      <c r="P34" s="2" t="inlineStr">
        <is>
          <t>FULL</t>
        </is>
      </c>
      <c r="Q34" s="2" t="inlineStr">
        <is>
          <t>FULL</t>
        </is>
      </c>
      <c r="R34" s="2" t="inlineStr">
        <is>
          <t>PARTIAL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ISSUE-0056</t>
        </is>
      </c>
      <c r="Z34" s="2" t="inlineStr">
        <is>
          <t>D:\Shopify_Workspace\jeminise_seo\seo_runs\jeminise.com\20260906_234129\qa\20260907_213100\images\176_01.jpg; seo_runs\jeminise.com\20260906_234129\evidence\images\176_personalized-baseball-bedding-full-size-flag-custom-name-d-design-01\image_01_47934348525767.jpg; seo_runs\jeminise.com\20260906_234129\evidence\contact_sheets\176_personalized-baseball-bedding-full-size-flag-custom-name-d-design-01.jpg</t>
        </is>
      </c>
    </row>
    <row r="35" ht="66" customHeight="1">
      <c r="A35" s="3" t="inlineStr">
        <is>
          <t>jeminise.com+personalized-baseball-bedding-full-size-flag-custom-name-d-design-01</t>
        </is>
      </c>
      <c r="B35" s="3" t="inlineStr">
        <is>
          <t>img_ac5cca30637a999e</t>
        </is>
      </c>
      <c r="C35" s="4" t="inlineStr">
        <is>
          <t>https://cdn.shopify.com/s/files/1/0792/5098/1063/files/ef81c56fe7d5f4f60045bfbd0778e14ad11ce2a6824c23132d2b864ef763fe85_83117c85-a870-4095-b779-416d250e7276.jpg?v=1787242220</t>
        </is>
      </c>
      <c r="D35" s="4" t="inlineStr">
        <is>
          <t>https://cdn.shopify.com/s/files/1/0792/5098/1063/files/ef81c56fe7d5f4f60045bfbd0778e14ad11ce2a6824c23132d2b864ef763fe85_83117c85-a870-4095-b779-416d250e7276.jpg?v=1787242220</t>
        </is>
      </c>
      <c r="E35" s="3" t="inlineStr">
        <is>
          <t>47934348558535</t>
        </is>
      </c>
      <c r="F35" s="3" t="inlineStr">
        <is>
          <t>47934348558535</t>
        </is>
      </c>
      <c r="G35" s="3" t="inlineStr"/>
      <c r="H35" s="3" t="inlineStr">
        <is>
          <t>GALLERY</t>
        </is>
      </c>
      <c r="I35" s="3" t="inlineStr">
        <is>
          <t>DIRECT_IMAGE_DOWNLOAD_AND_SOURCE_ROW_REVIEW</t>
        </is>
      </c>
      <c r="J35" s="3" t="inlineStr">
        <is>
          <t>2026-09-07T21:44:55+07:00</t>
        </is>
      </c>
      <c r="K35" s="3" t="inlineStr">
        <is>
          <t>Direct QA opened downloaded image 176_02; source SHA 946D5B32E02CA70029866292D0775686EA770A101CD6D8BC2C108F506AB44BBE. Submitted observation reviewed against gallery position.</t>
        </is>
      </c>
      <c r="L35" s="3" t="inlineStr">
        <is>
          <t>Secondary flat, close-up or bedroom mockup showing personalized baseball American flag bedding with vertical name.</t>
        </is>
      </c>
      <c r="M35" s="3" t="inlineStr">
        <is>
          <t>UNKNOWN</t>
        </is>
      </c>
      <c r="N35" s="3" t="inlineStr">
        <is>
          <t>SET</t>
        </is>
      </c>
      <c r="O35" s="3" t="inlineStr">
        <is>
          <t>Feature or close-up image for Personalized Baseball American Flag Bedding</t>
        </is>
      </c>
      <c r="P35" s="3" t="inlineStr">
        <is>
          <t>FULL</t>
        </is>
      </c>
      <c r="Q35" s="3" t="inlineStr">
        <is>
          <t>FULL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c r="Z35" s="3" t="inlineStr">
        <is>
          <t>D:\Shopify_Workspace\jeminise_seo\seo_runs\jeminise.com\20260906_234129\qa\20260907_213100\images\176_02.jpg; seo_runs\jeminise.com\20260906_234129\evidence\images\176_personalized-baseball-bedding-full-size-flag-custom-name-d-design-01\image_02_47934348558535.jpg; seo_runs\jeminise.com\20260906_234129\evidence\contact_sheets\176_personalized-baseball-bedding-full-size-flag-custom-name-d-design-01.jpg</t>
        </is>
      </c>
    </row>
    <row r="36" ht="66" customHeight="1">
      <c r="A36" s="2" t="inlineStr">
        <is>
          <t>jeminise.com+personalized-baseball-bedding-full-size-flag-custom-name-d-design-01</t>
        </is>
      </c>
      <c r="B36" s="2" t="inlineStr">
        <is>
          <t>img_bcd6b7a223c511a0</t>
        </is>
      </c>
      <c r="C36" s="4" t="inlineStr">
        <is>
          <t>https://cdn.shopify.com/s/files/1/0792/5098/1063/files/b495d9b37eafdceff5caf3643256f7b3a83de826d49a14bdc531b13424296018_88164598-e9f4-4928-b053-76791a3a0dcf.jpg?v=1787242220</t>
        </is>
      </c>
      <c r="D36" s="4" t="inlineStr">
        <is>
          <t>https://cdn.shopify.com/s/files/1/0792/5098/1063/files/b495d9b37eafdceff5caf3643256f7b3a83de826d49a14bdc531b13424296018_88164598-e9f4-4928-b053-76791a3a0dcf.jpg?v=1787242220</t>
        </is>
      </c>
      <c r="E36" s="2" t="inlineStr">
        <is>
          <t>47934348591303</t>
        </is>
      </c>
      <c r="F36" s="2" t="inlineStr">
        <is>
          <t>47934348591303</t>
        </is>
      </c>
      <c r="G36" s="2" t="inlineStr"/>
      <c r="H36" s="2" t="inlineStr">
        <is>
          <t>GALLERY</t>
        </is>
      </c>
      <c r="I36" s="2" t="inlineStr">
        <is>
          <t>DIRECT_IMAGE_DOWNLOAD_AND_SOURCE_ROW_REVIEW</t>
        </is>
      </c>
      <c r="J36" s="2" t="inlineStr">
        <is>
          <t>2026-09-07T21:44:55+07:00</t>
        </is>
      </c>
      <c r="K36" s="2" t="inlineStr">
        <is>
          <t>Direct QA opened downloaded image 176_03; source SHA 82D08ED974694A5AE83601A42A9EAD30E75BA471FA67537A9B6996296A80AD73. Submitted observation reviewed against gallery position.</t>
        </is>
      </c>
      <c r="L36" s="2" t="inlineStr">
        <is>
          <t>Bedding type, feature, lifestyle or material image for personalized baseball American flag bedding with vertical name.</t>
        </is>
      </c>
      <c r="M36" s="2" t="inlineStr">
        <is>
          <t>UNKNOWN</t>
        </is>
      </c>
      <c r="N36" s="2" t="inlineStr">
        <is>
          <t>SET</t>
        </is>
      </c>
      <c r="O36" s="2" t="inlineStr">
        <is>
          <t>Lifestyle or care image for Personalized Baseball American Flag Bedding</t>
        </is>
      </c>
      <c r="P36" s="2" t="inlineStr">
        <is>
          <t>FULL</t>
        </is>
      </c>
      <c r="Q36" s="2" t="inlineStr">
        <is>
          <t>PARTIAL</t>
        </is>
      </c>
      <c r="R36" s="2" t="inlineStr">
        <is>
          <t>FULL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ISSUE-0057</t>
        </is>
      </c>
      <c r="Z36" s="2" t="inlineStr">
        <is>
          <t>D:\Shopify_Workspace\jeminise_seo\seo_runs\jeminise.com\20260906_234129\qa\20260907_213100\images\176_03.jpg; seo_runs\jeminise.com\20260906_234129\evidence\images\176_personalized-baseball-bedding-full-size-flag-custom-name-d-design-01\image_03_47934348591303.jpg; seo_runs\jeminise.com\20260906_234129\evidence\contact_sheets\176_personalized-baseball-bedding-full-size-flag-custom-name-d-design-01.jpg</t>
        </is>
      </c>
    </row>
    <row r="37" ht="66" customHeight="1">
      <c r="A37" s="3" t="inlineStr">
        <is>
          <t>jeminise.com+personalized-baseball-bedding-full-size-flag-custom-name-d-design-01</t>
        </is>
      </c>
      <c r="B37" s="3" t="inlineStr">
        <is>
          <t>img_7286b889f5907e8b</t>
        </is>
      </c>
      <c r="C37" s="4" t="inlineStr">
        <is>
          <t>https://cdn.shopify.com/s/files/1/0792/5098/1063/files/d51e3360a3e4b984af63b01c4b53d517484ca3d6cb1beeea158bcf59acab9ed4_987bc884-03f1-4194-a3cf-9a2acfe15561.jpg?v=1787242220</t>
        </is>
      </c>
      <c r="D37" s="4" t="inlineStr">
        <is>
          <t>https://cdn.shopify.com/s/files/1/0792/5098/1063/files/d51e3360a3e4b984af63b01c4b53d517484ca3d6cb1beeea158bcf59acab9ed4_987bc884-03f1-4194-a3cf-9a2acfe15561.jpg?v=1787242220</t>
        </is>
      </c>
      <c r="E37" s="3" t="inlineStr">
        <is>
          <t>47934348624071</t>
        </is>
      </c>
      <c r="F37" s="3" t="inlineStr">
        <is>
          <t>47934348624071</t>
        </is>
      </c>
      <c r="G37" s="3" t="inlineStr"/>
      <c r="H37" s="3" t="inlineStr">
        <is>
          <t>GALLERY</t>
        </is>
      </c>
      <c r="I37" s="3" t="inlineStr">
        <is>
          <t>DIRECT_IMAGE_DOWNLOAD_AND_SOURCE_ROW_REVIEW</t>
        </is>
      </c>
      <c r="J37" s="3" t="inlineStr">
        <is>
          <t>2026-09-07T21:44:55+07:00</t>
        </is>
      </c>
      <c r="K37" s="3" t="inlineStr">
        <is>
          <t>Direct QA opened downloaded image 176_04; source SHA 232246736D0E74D62007D0E6971A2E140EDFD432E8573485134C1F85951D9CC3. Submitted observation reviewed against gallery position.</t>
        </is>
      </c>
      <c r="L37" s="3" t="inlineStr">
        <is>
          <t>Detail, feature panel or lifestyle image connected to personalized baseball American flag bedding with vertical name.</t>
        </is>
      </c>
      <c r="M37" s="3" t="inlineStr">
        <is>
          <t>UNKNOWN</t>
        </is>
      </c>
      <c r="N37" s="3" t="inlineStr">
        <is>
          <t>SET</t>
        </is>
      </c>
      <c r="O37" s="3" t="inlineStr">
        <is>
          <t>Product detail or closure image for Personalized Baseball American Flag Bedding</t>
        </is>
      </c>
      <c r="P37" s="3" t="inlineStr">
        <is>
          <t>FULL</t>
        </is>
      </c>
      <c r="Q37" s="3" t="inlineStr">
        <is>
          <t>PARTIAL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ISSUE-0058</t>
        </is>
      </c>
      <c r="Z37" s="3" t="inlineStr">
        <is>
          <t>D:\Shopify_Workspace\jeminise_seo\seo_runs\jeminise.com\20260906_234129\qa\20260907_213100\images\176_04.jpg; seo_runs\jeminise.com\20260906_234129\evidence\images\176_personalized-baseball-bedding-full-size-flag-custom-name-d-design-01\image_04_47934348624071.jpg; seo_runs\jeminise.com\20260906_234129\evidence\contact_sheets\176_personalized-baseball-bedding-full-size-flag-custom-name-d-design-01.jpg</t>
        </is>
      </c>
    </row>
    <row r="38" ht="66" customHeight="1">
      <c r="A38" s="2" t="inlineStr">
        <is>
          <t>jeminise.com+personalized-baseball-bedding-full-size-flag-custom-name-d-design-02</t>
        </is>
      </c>
      <c r="B38" s="2" t="inlineStr">
        <is>
          <t>img_2382cbb554221fe7</t>
        </is>
      </c>
      <c r="C38" s="4" t="inlineStr">
        <is>
          <t>https://cdn.shopify.com/s/files/1/0792/5098/1063/files/6f4d49a4f378e1d847ce6c5fba523fd3e99a8eb747a9dd8bc23b8fd0282b9151.jpg?v=1787242229</t>
        </is>
      </c>
      <c r="D38" s="4" t="inlineStr">
        <is>
          <t>https://cdn.shopify.com/s/files/1/0792/5098/1063/files/6f4d49a4f378e1d847ce6c5fba523fd3e99a8eb747a9dd8bc23b8fd0282b9151.jpg?v=1787242229</t>
        </is>
      </c>
      <c r="E38" s="2" t="inlineStr">
        <is>
          <t>47934350295239</t>
        </is>
      </c>
      <c r="F38" s="2" t="inlineStr">
        <is>
          <t>47934350295239</t>
        </is>
      </c>
      <c r="G38" s="2" t="inlineStr"/>
      <c r="H38" s="2" t="inlineStr">
        <is>
          <t>GALLERY</t>
        </is>
      </c>
      <c r="I38" s="2" t="inlineStr">
        <is>
          <t>DIRECT_IMAGE_DOWNLOAD_AND_SOURCE_ROW_REVIEW</t>
        </is>
      </c>
      <c r="J38" s="2" t="inlineStr">
        <is>
          <t>2026-09-07T21:44:55+07:00</t>
        </is>
      </c>
      <c r="K38" s="2" t="inlineStr">
        <is>
          <t>Direct QA opened downloaded image 177_01; source SHA 9BE9E308D174ACB48FC951E5CC92535AEB4062DC910A0418855B4B241D13F9B6. Submitted observation reviewed against gallery position.</t>
        </is>
      </c>
      <c r="L38" s="2" t="inlineStr">
        <is>
          <t>Main product mockup showing personalized black baseball glove bedding.</t>
        </is>
      </c>
      <c r="M38" s="2" t="inlineStr">
        <is>
          <t>UNKNOWN</t>
        </is>
      </c>
      <c r="N38" s="2" t="inlineStr">
        <is>
          <t>SET</t>
        </is>
      </c>
      <c r="O38" s="2" t="inlineStr">
        <is>
          <t>Personalized Black Baseball Glove Bedding displayed in a main product mockup</t>
        </is>
      </c>
      <c r="P38" s="2" t="inlineStr">
        <is>
          <t>FULL</t>
        </is>
      </c>
      <c r="Q38" s="2" t="inlineStr">
        <is>
          <t>FULL</t>
        </is>
      </c>
      <c r="R38" s="2" t="inlineStr">
        <is>
          <t>PARTIAL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ISSUE-0063</t>
        </is>
      </c>
      <c r="Z38" s="2" t="inlineStr">
        <is>
          <t>D:\Shopify_Workspace\jeminise_seo\seo_runs\jeminise.com\20260906_234129\qa\20260907_213100\images\177_01.jpg; seo_runs\jeminise.com\20260906_234129\evidence\images\177_personalized-baseball-bedding-full-size-flag-custom-name-d-design-02\image_01_47934350295239.jpg; seo_runs\jeminise.com\20260906_234129\evidence\contact_sheets\177_personalized-baseball-bedding-full-size-flag-custom-name-d-design-02.jpg</t>
        </is>
      </c>
    </row>
    <row r="39" ht="66" customHeight="1">
      <c r="A39" s="3" t="inlineStr">
        <is>
          <t>jeminise.com+personalized-baseball-bedding-full-size-flag-custom-name-d-design-02</t>
        </is>
      </c>
      <c r="B39" s="3" t="inlineStr">
        <is>
          <t>img_d0ae32fd58306b55</t>
        </is>
      </c>
      <c r="C39" s="4" t="inlineStr">
        <is>
          <t>https://cdn.shopify.com/s/files/1/0792/5098/1063/files/ef81c56fe7d5f4f60045bfbd0778e14ad11ce2a6824c23132d2b864ef763fe85_952918f8-4644-43e8-b268-9f0431d5aecc.jpg?v=1787242229</t>
        </is>
      </c>
      <c r="D39" s="4" t="inlineStr">
        <is>
          <t>https://cdn.shopify.com/s/files/1/0792/5098/1063/files/ef81c56fe7d5f4f60045bfbd0778e14ad11ce2a6824c23132d2b864ef763fe85_952918f8-4644-43e8-b268-9f0431d5aecc.jpg?v=1787242229</t>
        </is>
      </c>
      <c r="E39" s="3" t="inlineStr">
        <is>
          <t>47934350328007</t>
        </is>
      </c>
      <c r="F39" s="3" t="inlineStr">
        <is>
          <t>47934350328007</t>
        </is>
      </c>
      <c r="G39" s="3" t="inlineStr"/>
      <c r="H39" s="3" t="inlineStr">
        <is>
          <t>GALLERY</t>
        </is>
      </c>
      <c r="I39" s="3" t="inlineStr">
        <is>
          <t>DIRECT_IMAGE_DOWNLOAD_AND_SOURCE_ROW_REVIEW</t>
        </is>
      </c>
      <c r="J39" s="3" t="inlineStr">
        <is>
          <t>2026-09-07T21:44:55+07:00</t>
        </is>
      </c>
      <c r="K39" s="3" t="inlineStr">
        <is>
          <t>Direct QA opened downloaded image 177_02; source SHA 946D5B32E02CA70029866292D0775686EA770A101CD6D8BC2C108F506AB44BBE. Submitted observation reviewed against gallery position.</t>
        </is>
      </c>
      <c r="L39" s="3" t="inlineStr">
        <is>
          <t>Secondary flat, close-up or bedroom mockup showing personalized black baseball glove bedding.</t>
        </is>
      </c>
      <c r="M39" s="3" t="inlineStr">
        <is>
          <t>UNKNOWN</t>
        </is>
      </c>
      <c r="N39" s="3" t="inlineStr">
        <is>
          <t>SET</t>
        </is>
      </c>
      <c r="O39" s="3" t="inlineStr">
        <is>
          <t>Feature or close-up image for Personalized Black Baseball Glove Bedding</t>
        </is>
      </c>
      <c r="P39" s="3" t="inlineStr">
        <is>
          <t>FULL</t>
        </is>
      </c>
      <c r="Q39" s="3" t="inlineStr">
        <is>
          <t>FULL</t>
        </is>
      </c>
      <c r="R39" s="3" t="inlineStr">
        <is>
          <t>FULL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c r="Z39" s="3" t="inlineStr">
        <is>
          <t>D:\Shopify_Workspace\jeminise_seo\seo_runs\jeminise.com\20260906_234129\qa\20260907_213100\images\177_02.jpg; seo_runs\jeminise.com\20260906_234129\evidence\images\177_personalized-baseball-bedding-full-size-flag-custom-name-d-design-02\image_02_47934350328007.jpg; seo_runs\jeminise.com\20260906_234129\evidence\contact_sheets\177_personalized-baseball-bedding-full-size-flag-custom-name-d-design-02.jpg</t>
        </is>
      </c>
    </row>
    <row r="40" ht="66" customHeight="1">
      <c r="A40" s="2" t="inlineStr">
        <is>
          <t>jeminise.com+personalized-baseball-bedding-full-size-flag-custom-name-d-design-02</t>
        </is>
      </c>
      <c r="B40" s="2" t="inlineStr">
        <is>
          <t>img_64501c296000c987</t>
        </is>
      </c>
      <c r="C40" s="4" t="inlineStr">
        <is>
          <t>https://cdn.shopify.com/s/files/1/0792/5098/1063/files/b495d9b37eafdceff5caf3643256f7b3a83de826d49a14bdc531b13424296018_dfb03393-cd58-4da6-9667-2c2debadf87d.jpg?v=1787242229</t>
        </is>
      </c>
      <c r="D40" s="4" t="inlineStr">
        <is>
          <t>https://cdn.shopify.com/s/files/1/0792/5098/1063/files/b495d9b37eafdceff5caf3643256f7b3a83de826d49a14bdc531b13424296018_dfb03393-cd58-4da6-9667-2c2debadf87d.jpg?v=1787242229</t>
        </is>
      </c>
      <c r="E40" s="2" t="inlineStr">
        <is>
          <t>47934350360775</t>
        </is>
      </c>
      <c r="F40" s="2" t="inlineStr">
        <is>
          <t>47934350360775</t>
        </is>
      </c>
      <c r="G40" s="2" t="inlineStr"/>
      <c r="H40" s="2" t="inlineStr">
        <is>
          <t>GALLERY</t>
        </is>
      </c>
      <c r="I40" s="2" t="inlineStr">
        <is>
          <t>DIRECT_IMAGE_DOWNLOAD_AND_SOURCE_ROW_REVIEW</t>
        </is>
      </c>
      <c r="J40" s="2" t="inlineStr">
        <is>
          <t>2026-09-07T21:44:55+07:00</t>
        </is>
      </c>
      <c r="K40" s="2" t="inlineStr">
        <is>
          <t>Direct QA opened downloaded image 177_03; source SHA 82D08ED974694A5AE83601A42A9EAD30E75BA471FA67537A9B6996296A80AD73. Submitted observation reviewed against gallery position.</t>
        </is>
      </c>
      <c r="L40" s="2" t="inlineStr">
        <is>
          <t>Bedding type, feature, lifestyle or material image for personalized black baseball glove bedding.</t>
        </is>
      </c>
      <c r="M40" s="2" t="inlineStr">
        <is>
          <t>UNKNOWN</t>
        </is>
      </c>
      <c r="N40" s="2" t="inlineStr">
        <is>
          <t>SET</t>
        </is>
      </c>
      <c r="O40" s="2" t="inlineStr">
        <is>
          <t>Lifestyle or care image for Personalized Black Baseball Glove Bedding</t>
        </is>
      </c>
      <c r="P40" s="2" t="inlineStr">
        <is>
          <t>FULL</t>
        </is>
      </c>
      <c r="Q40" s="2" t="inlineStr">
        <is>
          <t>PARTIAL</t>
        </is>
      </c>
      <c r="R40" s="2" t="inlineStr">
        <is>
          <t>FULL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ISSUE-0064</t>
        </is>
      </c>
      <c r="Z40" s="2" t="inlineStr">
        <is>
          <t>D:\Shopify_Workspace\jeminise_seo\seo_runs\jeminise.com\20260906_234129\qa\20260907_213100\images\177_03.jpg; seo_runs\jeminise.com\20260906_234129\evidence\images\177_personalized-baseball-bedding-full-size-flag-custom-name-d-design-02\image_03_47934350360775.jpg; seo_runs\jeminise.com\20260906_234129\evidence\contact_sheets\177_personalized-baseball-bedding-full-size-flag-custom-name-d-design-02.jpg</t>
        </is>
      </c>
    </row>
    <row r="41" ht="66" customHeight="1">
      <c r="A41" s="3" t="inlineStr">
        <is>
          <t>jeminise.com+personalized-baseball-bedding-full-size-flag-custom-name-d-design-02</t>
        </is>
      </c>
      <c r="B41" s="3" t="inlineStr">
        <is>
          <t>img_a54c555401e34d6d</t>
        </is>
      </c>
      <c r="C41" s="4" t="inlineStr">
        <is>
          <t>https://cdn.shopify.com/s/files/1/0792/5098/1063/files/d51e3360a3e4b984af63b01c4b53d517484ca3d6cb1beeea158bcf59acab9ed4_e691d30e-f1b0-45d9-9db3-4cfb5842444a.jpg?v=1787242229</t>
        </is>
      </c>
      <c r="D41" s="4" t="inlineStr">
        <is>
          <t>https://cdn.shopify.com/s/files/1/0792/5098/1063/files/d51e3360a3e4b984af63b01c4b53d517484ca3d6cb1beeea158bcf59acab9ed4_e691d30e-f1b0-45d9-9db3-4cfb5842444a.jpg?v=1787242229</t>
        </is>
      </c>
      <c r="E41" s="3" t="inlineStr">
        <is>
          <t>47934350393543</t>
        </is>
      </c>
      <c r="F41" s="3" t="inlineStr">
        <is>
          <t>47934350393543</t>
        </is>
      </c>
      <c r="G41" s="3" t="inlineStr"/>
      <c r="H41" s="3" t="inlineStr">
        <is>
          <t>GALLERY</t>
        </is>
      </c>
      <c r="I41" s="3" t="inlineStr">
        <is>
          <t>DIRECT_IMAGE_DOWNLOAD_AND_SOURCE_ROW_REVIEW</t>
        </is>
      </c>
      <c r="J41" s="3" t="inlineStr">
        <is>
          <t>2026-09-07T21:44:55+07:00</t>
        </is>
      </c>
      <c r="K41" s="3" t="inlineStr">
        <is>
          <t>Direct QA opened downloaded image 177_04; source SHA 232246736D0E74D62007D0E6971A2E140EDFD432E8573485134C1F85951D9CC3. Submitted observation reviewed against gallery position.</t>
        </is>
      </c>
      <c r="L41" s="3" t="inlineStr">
        <is>
          <t>Detail, feature panel or lifestyle image connected to personalized black baseball glove bedding.</t>
        </is>
      </c>
      <c r="M41" s="3" t="inlineStr">
        <is>
          <t>UNKNOWN</t>
        </is>
      </c>
      <c r="N41" s="3" t="inlineStr">
        <is>
          <t>SET</t>
        </is>
      </c>
      <c r="O41" s="3" t="inlineStr">
        <is>
          <t>Product detail or closure image for Personalized Black Baseball Glove Bedding</t>
        </is>
      </c>
      <c r="P41" s="3" t="inlineStr">
        <is>
          <t>FULL</t>
        </is>
      </c>
      <c r="Q41" s="3" t="inlineStr">
        <is>
          <t>PARTIAL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ISSUE-0065</t>
        </is>
      </c>
      <c r="Z41" s="3" t="inlineStr">
        <is>
          <t>D:\Shopify_Workspace\jeminise_seo\seo_runs\jeminise.com\20260906_234129\qa\20260907_213100\images\177_04.jpg; seo_runs\jeminise.com\20260906_234129\evidence\images\177_personalized-baseball-bedding-full-size-flag-custom-name-d-design-02\image_04_47934350393543.jpg; seo_runs\jeminise.com\20260906_234129\evidence\contact_sheets\177_personalized-baseball-bedding-full-size-flag-custom-name-d-design-02.jpg</t>
        </is>
      </c>
    </row>
    <row r="42" ht="66" customHeight="1">
      <c r="A42" s="2" t="inlineStr">
        <is>
          <t>jeminise.com+personalized-baseball-bedding-full-size-flag-custom-name-d-design-03</t>
        </is>
      </c>
      <c r="B42" s="2" t="inlineStr">
        <is>
          <t>img_775beed5701ef217</t>
        </is>
      </c>
      <c r="C42" s="4" t="inlineStr">
        <is>
          <t>https://cdn.shopify.com/s/files/1/0792/5098/1063/files/ed0de96ab2ac6dbaf3ca19c66570314baff970eed7b3354a16d3982fb106adf2.jpg?v=1787242226</t>
        </is>
      </c>
      <c r="D42" s="4" t="inlineStr">
        <is>
          <t>https://cdn.shopify.com/s/files/1/0792/5098/1063/files/ed0de96ab2ac6dbaf3ca19c66570314baff970eed7b3354a16d3982fb106adf2.jpg?v=1787242226</t>
        </is>
      </c>
      <c r="E42" s="2" t="inlineStr">
        <is>
          <t>47934349410503</t>
        </is>
      </c>
      <c r="F42" s="2" t="inlineStr">
        <is>
          <t>47934349410503</t>
        </is>
      </c>
      <c r="G42" s="2" t="inlineStr"/>
      <c r="H42" s="2" t="inlineStr">
        <is>
          <t>GALLERY</t>
        </is>
      </c>
      <c r="I42" s="2" t="inlineStr">
        <is>
          <t>DIRECT_IMAGE_DOWNLOAD_AND_SOURCE_ROW_REVIEW</t>
        </is>
      </c>
      <c r="J42" s="2" t="inlineStr">
        <is>
          <t>2026-09-07T21:44:55+07:00</t>
        </is>
      </c>
      <c r="K42" s="2" t="inlineStr">
        <is>
          <t>Direct QA opened downloaded image 178_01; source SHA 8916CC579003C2D5A4A023EBB07F4F219168E434DF7CE5BB21C55C0F06341606. Submitted observation reviewed against gallery position.</t>
        </is>
      </c>
      <c r="L42" s="2" t="inlineStr">
        <is>
          <t>Main product mockup showing personalized baseball flag bedding with large name.</t>
        </is>
      </c>
      <c r="M42" s="2" t="inlineStr">
        <is>
          <t>UNKNOWN</t>
        </is>
      </c>
      <c r="N42" s="2" t="inlineStr">
        <is>
          <t>SET</t>
        </is>
      </c>
      <c r="O42" s="2" t="inlineStr">
        <is>
          <t>Personalized Baseball Flag Bedding with Custom Name displayed in a main product mockup</t>
        </is>
      </c>
      <c r="P42" s="2" t="inlineStr">
        <is>
          <t>FULL</t>
        </is>
      </c>
      <c r="Q42" s="2" t="inlineStr">
        <is>
          <t>FULL</t>
        </is>
      </c>
      <c r="R42" s="2" t="inlineStr">
        <is>
          <t>PARTIAL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ISSUE-0071</t>
        </is>
      </c>
      <c r="Z42" s="2" t="inlineStr">
        <is>
          <t>D:\Shopify_Workspace\jeminise_seo\seo_runs\jeminise.com\20260906_234129\qa\20260907_213100\images\178_01.jpg; seo_runs\jeminise.com\20260906_234129\evidence\images\178_personalized-baseball-bedding-full-size-flag-custom-name-d-design-03\image_01_47934349410503.jpg; seo_runs\jeminise.com\20260906_234129\evidence\contact_sheets\178_personalized-baseball-bedding-full-size-flag-custom-name-d-design-03.jpg</t>
        </is>
      </c>
    </row>
    <row r="43" ht="66" customHeight="1">
      <c r="A43" s="3" t="inlineStr">
        <is>
          <t>jeminise.com+personalized-baseball-bedding-full-size-flag-custom-name-d-design-03</t>
        </is>
      </c>
      <c r="B43" s="3" t="inlineStr">
        <is>
          <t>img_55cf29867fd64a4b</t>
        </is>
      </c>
      <c r="C43" s="4" t="inlineStr">
        <is>
          <t>https://cdn.shopify.com/s/files/1/0792/5098/1063/files/ef81c56fe7d5f4f60045bfbd0778e14ad11ce2a6824c23132d2b864ef763fe85_5d33a8a1-9e4f-4f88-a0fd-c61670c2a2a8.jpg?v=1787242226</t>
        </is>
      </c>
      <c r="D43" s="4" t="inlineStr">
        <is>
          <t>https://cdn.shopify.com/s/files/1/0792/5098/1063/files/ef81c56fe7d5f4f60045bfbd0778e14ad11ce2a6824c23132d2b864ef763fe85_5d33a8a1-9e4f-4f88-a0fd-c61670c2a2a8.jpg?v=1787242226</t>
        </is>
      </c>
      <c r="E43" s="3" t="inlineStr">
        <is>
          <t>47934349443271</t>
        </is>
      </c>
      <c r="F43" s="3" t="inlineStr">
        <is>
          <t>47934349443271</t>
        </is>
      </c>
      <c r="G43" s="3" t="inlineStr"/>
      <c r="H43" s="3" t="inlineStr">
        <is>
          <t>GALLERY</t>
        </is>
      </c>
      <c r="I43" s="3" t="inlineStr">
        <is>
          <t>DIRECT_IMAGE_DOWNLOAD_AND_SOURCE_ROW_REVIEW</t>
        </is>
      </c>
      <c r="J43" s="3" t="inlineStr">
        <is>
          <t>2026-09-07T21:44:55+07:00</t>
        </is>
      </c>
      <c r="K43" s="3" t="inlineStr">
        <is>
          <t>Direct QA opened downloaded image 178_02; source SHA 946D5B32E02CA70029866292D0775686EA770A101CD6D8BC2C108F506AB44BBE. Submitted observation reviewed against gallery position.</t>
        </is>
      </c>
      <c r="L43" s="3" t="inlineStr">
        <is>
          <t>Secondary flat, close-up or bedroom mockup showing personalized baseball flag bedding with large name.</t>
        </is>
      </c>
      <c r="M43" s="3" t="inlineStr">
        <is>
          <t>UNKNOWN</t>
        </is>
      </c>
      <c r="N43" s="3" t="inlineStr">
        <is>
          <t>SET</t>
        </is>
      </c>
      <c r="O43" s="3" t="inlineStr">
        <is>
          <t>Feature or close-up image for Personalized Baseball Flag Bedding with Custom Name</t>
        </is>
      </c>
      <c r="P43" s="3" t="inlineStr">
        <is>
          <t>FULL</t>
        </is>
      </c>
      <c r="Q43" s="3" t="inlineStr">
        <is>
          <t>FULL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c r="Z43" s="3" t="inlineStr">
        <is>
          <t>D:\Shopify_Workspace\jeminise_seo\seo_runs\jeminise.com\20260906_234129\qa\20260907_213100\images\178_02.jpg; seo_runs\jeminise.com\20260906_234129\evidence\images\178_personalized-baseball-bedding-full-size-flag-custom-name-d-design-03\image_02_47934349443271.jpg; seo_runs\jeminise.com\20260906_234129\evidence\contact_sheets\178_personalized-baseball-bedding-full-size-flag-custom-name-d-design-03.jpg</t>
        </is>
      </c>
    </row>
    <row r="44" ht="66" customHeight="1">
      <c r="A44" s="2" t="inlineStr">
        <is>
          <t>jeminise.com+personalized-baseball-bedding-full-size-flag-custom-name-d-design-03</t>
        </is>
      </c>
      <c r="B44" s="2" t="inlineStr">
        <is>
          <t>img_b7e5ac6cac2eee68</t>
        </is>
      </c>
      <c r="C44" s="4" t="inlineStr">
        <is>
          <t>https://cdn.shopify.com/s/files/1/0792/5098/1063/files/b495d9b37eafdceff5caf3643256f7b3a83de826d49a14bdc531b13424296018_2b33ed3c-86f2-46fc-9402-38337778b41b.jpg?v=1787242226</t>
        </is>
      </c>
      <c r="D44" s="4" t="inlineStr">
        <is>
          <t>https://cdn.shopify.com/s/files/1/0792/5098/1063/files/b495d9b37eafdceff5caf3643256f7b3a83de826d49a14bdc531b13424296018_2b33ed3c-86f2-46fc-9402-38337778b41b.jpg?v=1787242226</t>
        </is>
      </c>
      <c r="E44" s="2" t="inlineStr">
        <is>
          <t>47934349476039</t>
        </is>
      </c>
      <c r="F44" s="2" t="inlineStr">
        <is>
          <t>47934349476039</t>
        </is>
      </c>
      <c r="G44" s="2" t="inlineStr"/>
      <c r="H44" s="2" t="inlineStr">
        <is>
          <t>GALLERY</t>
        </is>
      </c>
      <c r="I44" s="2" t="inlineStr">
        <is>
          <t>DIRECT_IMAGE_DOWNLOAD_AND_SOURCE_ROW_REVIEW</t>
        </is>
      </c>
      <c r="J44" s="2" t="inlineStr">
        <is>
          <t>2026-09-07T21:44:55+07:00</t>
        </is>
      </c>
      <c r="K44" s="2" t="inlineStr">
        <is>
          <t>Direct QA opened downloaded image 178_03; source SHA 82D08ED974694A5AE83601A42A9EAD30E75BA471FA67537A9B6996296A80AD73. Submitted observation reviewed against gallery position.</t>
        </is>
      </c>
      <c r="L44" s="2" t="inlineStr">
        <is>
          <t>Bedding type, feature, lifestyle or material image for personalized baseball flag bedding with large name.</t>
        </is>
      </c>
      <c r="M44" s="2" t="inlineStr">
        <is>
          <t>UNKNOWN</t>
        </is>
      </c>
      <c r="N44" s="2" t="inlineStr">
        <is>
          <t>SET</t>
        </is>
      </c>
      <c r="O44" s="2" t="inlineStr">
        <is>
          <t>Lifestyle or care image for Personalized Baseball Flag Bedding with Custom Name</t>
        </is>
      </c>
      <c r="P44" s="2" t="inlineStr">
        <is>
          <t>FULL</t>
        </is>
      </c>
      <c r="Q44" s="2" t="inlineStr">
        <is>
          <t>PARTIAL</t>
        </is>
      </c>
      <c r="R44" s="2" t="inlineStr">
        <is>
          <t>FULL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ISSUE-0072</t>
        </is>
      </c>
      <c r="Z44" s="2" t="inlineStr">
        <is>
          <t>D:\Shopify_Workspace\jeminise_seo\seo_runs\jeminise.com\20260906_234129\qa\20260907_213100\images\178_03.jpg; seo_runs\jeminise.com\20260906_234129\evidence\images\178_personalized-baseball-bedding-full-size-flag-custom-name-d-design-03\image_03_47934349476039.jpg; seo_runs\jeminise.com\20260906_234129\evidence\contact_sheets\178_personalized-baseball-bedding-full-size-flag-custom-name-d-design-03.jpg</t>
        </is>
      </c>
    </row>
    <row r="45" ht="66" customHeight="1">
      <c r="A45" s="3" t="inlineStr">
        <is>
          <t>jeminise.com+personalized-baseball-bedding-full-size-flag-custom-name-d-design-03</t>
        </is>
      </c>
      <c r="B45" s="3" t="inlineStr">
        <is>
          <t>img_fe09149ab990b87d</t>
        </is>
      </c>
      <c r="C45" s="4" t="inlineStr">
        <is>
          <t>https://cdn.shopify.com/s/files/1/0792/5098/1063/files/d51e3360a3e4b984af63b01c4b53d517484ca3d6cb1beeea158bcf59acab9ed4_aef6b386-0ac2-46fc-90ba-47ef022ead61.jpg?v=1787242226</t>
        </is>
      </c>
      <c r="D45" s="4" t="inlineStr">
        <is>
          <t>https://cdn.shopify.com/s/files/1/0792/5098/1063/files/d51e3360a3e4b984af63b01c4b53d517484ca3d6cb1beeea158bcf59acab9ed4_aef6b386-0ac2-46fc-90ba-47ef022ead61.jpg?v=1787242226</t>
        </is>
      </c>
      <c r="E45" s="3" t="inlineStr">
        <is>
          <t>47934349508807</t>
        </is>
      </c>
      <c r="F45" s="3" t="inlineStr">
        <is>
          <t>47934349508807</t>
        </is>
      </c>
      <c r="G45" s="3" t="inlineStr"/>
      <c r="H45" s="3" t="inlineStr">
        <is>
          <t>GALLERY</t>
        </is>
      </c>
      <c r="I45" s="3" t="inlineStr">
        <is>
          <t>DIRECT_IMAGE_DOWNLOAD_AND_SOURCE_ROW_REVIEW</t>
        </is>
      </c>
      <c r="J45" s="3" t="inlineStr">
        <is>
          <t>2026-09-07T21:44:55+07:00</t>
        </is>
      </c>
      <c r="K45" s="3" t="inlineStr">
        <is>
          <t>Direct QA opened downloaded image 178_04; source SHA 232246736D0E74D62007D0E6971A2E140EDFD432E8573485134C1F85951D9CC3. Submitted observation reviewed against gallery position.</t>
        </is>
      </c>
      <c r="L45" s="3" t="inlineStr">
        <is>
          <t>Detail, feature panel or lifestyle image connected to personalized baseball flag bedding with large name.</t>
        </is>
      </c>
      <c r="M45" s="3" t="inlineStr">
        <is>
          <t>UNKNOWN</t>
        </is>
      </c>
      <c r="N45" s="3" t="inlineStr">
        <is>
          <t>SET</t>
        </is>
      </c>
      <c r="O45" s="3" t="inlineStr">
        <is>
          <t>Product detail or closure image for Personalized Baseball Flag Bedding with Custom Name</t>
        </is>
      </c>
      <c r="P45" s="3" t="inlineStr">
        <is>
          <t>FULL</t>
        </is>
      </c>
      <c r="Q45" s="3" t="inlineStr">
        <is>
          <t>PARTIAL</t>
        </is>
      </c>
      <c r="R45" s="3" t="inlineStr">
        <is>
          <t>FULL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ISSUE-0073</t>
        </is>
      </c>
      <c r="Z45" s="3" t="inlineStr">
        <is>
          <t>D:\Shopify_Workspace\jeminise_seo\seo_runs\jeminise.com\20260906_234129\qa\20260907_213100\images\178_04.jpg; seo_runs\jeminise.com\20260906_234129\evidence\images\178_personalized-baseball-bedding-full-size-flag-custom-name-d-design-03\image_04_47934349508807.jpg; seo_runs\jeminise.com\20260906_234129\evidence\contact_sheets\178_personalized-baseball-bedding-full-size-flag-custom-name-d-design-03.jpg</t>
        </is>
      </c>
    </row>
    <row r="46" ht="66" customHeight="1">
      <c r="A46" s="2" t="inlineStr">
        <is>
          <t>jeminise.com+personalized-baseball-bedding-full-size-flag-custom-name-d-design-04</t>
        </is>
      </c>
      <c r="B46" s="2" t="inlineStr">
        <is>
          <t>img_63cf164a4bdd2592</t>
        </is>
      </c>
      <c r="C46" s="4" t="inlineStr">
        <is>
          <t>https://cdn.shopify.com/s/files/1/0792/5098/1063/files/48c9a495af03f8c5e581f6726f9481edb34e36374ef10042200509fdf7544237.jpg?v=1787242233</t>
        </is>
      </c>
      <c r="D46" s="4" t="inlineStr">
        <is>
          <t>https://cdn.shopify.com/s/files/1/0792/5098/1063/files/48c9a495af03f8c5e581f6726f9481edb34e36374ef10042200509fdf7544237.jpg?v=1787242233</t>
        </is>
      </c>
      <c r="E46" s="2" t="inlineStr">
        <is>
          <t>47934351081671</t>
        </is>
      </c>
      <c r="F46" s="2" t="inlineStr">
        <is>
          <t>47934351081671</t>
        </is>
      </c>
      <c r="G46" s="2" t="inlineStr"/>
      <c r="H46" s="2" t="inlineStr">
        <is>
          <t>GALLERY</t>
        </is>
      </c>
      <c r="I46" s="2" t="inlineStr">
        <is>
          <t>DIRECT_IMAGE_DOWNLOAD_AND_SOURCE_ROW_REVIEW</t>
        </is>
      </c>
      <c r="J46" s="2" t="inlineStr">
        <is>
          <t>2026-09-07T21:44:55+07:00</t>
        </is>
      </c>
      <c r="K46" s="2" t="inlineStr">
        <is>
          <t>Direct QA opened downloaded image 179_01; source SHA D9D6ED1779AF2BC004A1176D3F6FD92B67EDC37AD11BCAA62B1E5BE5EBF90AC6. Submitted observation reviewed against gallery position.</t>
        </is>
      </c>
      <c r="L46" s="2" t="inlineStr">
        <is>
          <t>Main product mockup showing baseball home quote bedding with custom name.</t>
        </is>
      </c>
      <c r="M46" s="2" t="inlineStr">
        <is>
          <t>UNKNOWN</t>
        </is>
      </c>
      <c r="N46" s="2" t="inlineStr">
        <is>
          <t>SET</t>
        </is>
      </c>
      <c r="O46" s="2" t="inlineStr">
        <is>
          <t>Personalized Baseball Home Quote Bedding displayed in a main product mockup</t>
        </is>
      </c>
      <c r="P46" s="2" t="inlineStr">
        <is>
          <t>FULL</t>
        </is>
      </c>
      <c r="Q46" s="2" t="inlineStr">
        <is>
          <t>FULL</t>
        </is>
      </c>
      <c r="R46" s="2" t="inlineStr">
        <is>
          <t>PARTIAL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ISSUE-0078</t>
        </is>
      </c>
      <c r="Z46" s="2" t="inlineStr">
        <is>
          <t>D:\Shopify_Workspace\jeminise_seo\seo_runs\jeminise.com\20260906_234129\qa\20260907_213100\images\179_01.jpg; seo_runs\jeminise.com\20260906_234129\evidence\images\179_personalized-baseball-bedding-full-size-flag-custom-name-d-design-04\image_01_47934351081671.jpg; seo_runs\jeminise.com\20260906_234129\evidence\contact_sheets\179_personalized-baseball-bedding-full-size-flag-custom-name-d-design-04.jpg</t>
        </is>
      </c>
    </row>
    <row r="47" ht="66" customHeight="1">
      <c r="A47" s="3" t="inlineStr">
        <is>
          <t>jeminise.com+personalized-baseball-bedding-full-size-flag-custom-name-d-design-04</t>
        </is>
      </c>
      <c r="B47" s="3" t="inlineStr">
        <is>
          <t>img_4b742bfc32bc2844</t>
        </is>
      </c>
      <c r="C47" s="4" t="inlineStr">
        <is>
          <t>https://cdn.shopify.com/s/files/1/0792/5098/1063/files/ef81c56fe7d5f4f60045bfbd0778e14ad11ce2a6824c23132d2b864ef763fe85_74cdb648-8c51-446a-ad9e-ab11cc339f4c.jpg?v=1787242233</t>
        </is>
      </c>
      <c r="D47" s="4" t="inlineStr">
        <is>
          <t>https://cdn.shopify.com/s/files/1/0792/5098/1063/files/ef81c56fe7d5f4f60045bfbd0778e14ad11ce2a6824c23132d2b864ef763fe85_74cdb648-8c51-446a-ad9e-ab11cc339f4c.jpg?v=1787242233</t>
        </is>
      </c>
      <c r="E47" s="3" t="inlineStr">
        <is>
          <t>47934351114439</t>
        </is>
      </c>
      <c r="F47" s="3" t="inlineStr">
        <is>
          <t>47934351114439</t>
        </is>
      </c>
      <c r="G47" s="3" t="inlineStr"/>
      <c r="H47" s="3" t="inlineStr">
        <is>
          <t>GALLERY</t>
        </is>
      </c>
      <c r="I47" s="3" t="inlineStr">
        <is>
          <t>DIRECT_IMAGE_DOWNLOAD_AND_SOURCE_ROW_REVIEW</t>
        </is>
      </c>
      <c r="J47" s="3" t="inlineStr">
        <is>
          <t>2026-09-07T21:44:55+07:00</t>
        </is>
      </c>
      <c r="K47" s="3" t="inlineStr">
        <is>
          <t>Direct QA opened downloaded image 179_02; source SHA 946D5B32E02CA70029866292D0775686EA770A101CD6D8BC2C108F506AB44BBE. Submitted observation reviewed against gallery position.</t>
        </is>
      </c>
      <c r="L47" s="3" t="inlineStr">
        <is>
          <t>Secondary flat, close-up or bedroom mockup showing baseball home quote bedding with custom name.</t>
        </is>
      </c>
      <c r="M47" s="3" t="inlineStr">
        <is>
          <t>UNKNOWN</t>
        </is>
      </c>
      <c r="N47" s="3" t="inlineStr">
        <is>
          <t>SET</t>
        </is>
      </c>
      <c r="O47" s="3" t="inlineStr">
        <is>
          <t>Feature or close-up image for Personalized Baseball Home Quote Bedding</t>
        </is>
      </c>
      <c r="P47" s="3" t="inlineStr">
        <is>
          <t>FULL</t>
        </is>
      </c>
      <c r="Q47" s="3" t="inlineStr">
        <is>
          <t>FULL</t>
        </is>
      </c>
      <c r="R47" s="3" t="inlineStr">
        <is>
          <t>FULL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c r="Z47" s="3" t="inlineStr">
        <is>
          <t>D:\Shopify_Workspace\jeminise_seo\seo_runs\jeminise.com\20260906_234129\qa\20260907_213100\images\179_02.jpg; seo_runs\jeminise.com\20260906_234129\evidence\images\179_personalized-baseball-bedding-full-size-flag-custom-name-d-design-04\image_02_47934351114439.jpg; seo_runs\jeminise.com\20260906_234129\evidence\contact_sheets\179_personalized-baseball-bedding-full-size-flag-custom-name-d-design-04.jpg</t>
        </is>
      </c>
    </row>
    <row r="48" ht="66" customHeight="1">
      <c r="A48" s="2" t="inlineStr">
        <is>
          <t>jeminise.com+personalized-baseball-bedding-full-size-flag-custom-name-d-design-04</t>
        </is>
      </c>
      <c r="B48" s="2" t="inlineStr">
        <is>
          <t>img_1d75a357fea39485</t>
        </is>
      </c>
      <c r="C48" s="4" t="inlineStr">
        <is>
          <t>https://cdn.shopify.com/s/files/1/0792/5098/1063/files/b495d9b37eafdceff5caf3643256f7b3a83de826d49a14bdc531b13424296018_5bbbf685-1a1a-4ecf-b528-e7d90a979aeb.jpg?v=1787242233</t>
        </is>
      </c>
      <c r="D48" s="4" t="inlineStr">
        <is>
          <t>https://cdn.shopify.com/s/files/1/0792/5098/1063/files/b495d9b37eafdceff5caf3643256f7b3a83de826d49a14bdc531b13424296018_5bbbf685-1a1a-4ecf-b528-e7d90a979aeb.jpg?v=1787242233</t>
        </is>
      </c>
      <c r="E48" s="2" t="inlineStr">
        <is>
          <t>47934351147207</t>
        </is>
      </c>
      <c r="F48" s="2" t="inlineStr">
        <is>
          <t>47934351147207</t>
        </is>
      </c>
      <c r="G48" s="2" t="inlineStr"/>
      <c r="H48" s="2" t="inlineStr">
        <is>
          <t>GALLERY</t>
        </is>
      </c>
      <c r="I48" s="2" t="inlineStr">
        <is>
          <t>DIRECT_IMAGE_DOWNLOAD_AND_SOURCE_ROW_REVIEW</t>
        </is>
      </c>
      <c r="J48" s="2" t="inlineStr">
        <is>
          <t>2026-09-07T21:44:55+07:00</t>
        </is>
      </c>
      <c r="K48" s="2" t="inlineStr">
        <is>
          <t>Direct QA opened downloaded image 179_03; source SHA 82D08ED974694A5AE83601A42A9EAD30E75BA471FA67537A9B6996296A80AD73. Submitted observation reviewed against gallery position.</t>
        </is>
      </c>
      <c r="L48" s="2" t="inlineStr">
        <is>
          <t>Bedding type, feature, lifestyle or material image for baseball home quote bedding with custom name.</t>
        </is>
      </c>
      <c r="M48" s="2" t="inlineStr">
        <is>
          <t>UNKNOWN</t>
        </is>
      </c>
      <c r="N48" s="2" t="inlineStr">
        <is>
          <t>SET</t>
        </is>
      </c>
      <c r="O48" s="2" t="inlineStr">
        <is>
          <t>Lifestyle or care image for Personalized Baseball Home Quote Bedding</t>
        </is>
      </c>
      <c r="P48" s="2" t="inlineStr">
        <is>
          <t>FULL</t>
        </is>
      </c>
      <c r="Q48" s="2" t="inlineStr">
        <is>
          <t>PARTIAL</t>
        </is>
      </c>
      <c r="R48" s="2" t="inlineStr">
        <is>
          <t>FULL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ISSUE-0079</t>
        </is>
      </c>
      <c r="Z48" s="2" t="inlineStr">
        <is>
          <t>D:\Shopify_Workspace\jeminise_seo\seo_runs\jeminise.com\20260906_234129\qa\20260907_213100\images\179_03.jpg; seo_runs\jeminise.com\20260906_234129\evidence\images\179_personalized-baseball-bedding-full-size-flag-custom-name-d-design-04\image_03_47934351147207.jpg; seo_runs\jeminise.com\20260906_234129\evidence\contact_sheets\179_personalized-baseball-bedding-full-size-flag-custom-name-d-design-04.jpg</t>
        </is>
      </c>
    </row>
    <row r="49" ht="66" customHeight="1">
      <c r="A49" s="3" t="inlineStr">
        <is>
          <t>jeminise.com+personalized-baseball-bedding-full-size-flag-custom-name-d-design-04</t>
        </is>
      </c>
      <c r="B49" s="3" t="inlineStr">
        <is>
          <t>img_649c53f547b002b4</t>
        </is>
      </c>
      <c r="C49" s="4" t="inlineStr">
        <is>
          <t>https://cdn.shopify.com/s/files/1/0792/5098/1063/files/d51e3360a3e4b984af63b01c4b53d517484ca3d6cb1beeea158bcf59acab9ed4_f11c41aa-24d3-495d-961d-3a238f8334db.jpg?v=1787242278</t>
        </is>
      </c>
      <c r="D49" s="4" t="inlineStr">
        <is>
          <t>https://cdn.shopify.com/s/files/1/0792/5098/1063/files/d51e3360a3e4b984af63b01c4b53d517484ca3d6cb1beeea158bcf59acab9ed4_f11c41aa-24d3-495d-961d-3a238f8334db.jpg?v=1787242278</t>
        </is>
      </c>
      <c r="E49" s="3" t="inlineStr">
        <is>
          <t>47934351179975</t>
        </is>
      </c>
      <c r="F49" s="3" t="inlineStr">
        <is>
          <t>47934351179975</t>
        </is>
      </c>
      <c r="G49" s="3" t="inlineStr"/>
      <c r="H49" s="3" t="inlineStr">
        <is>
          <t>GALLERY</t>
        </is>
      </c>
      <c r="I49" s="3" t="inlineStr">
        <is>
          <t>DIRECT_IMAGE_DOWNLOAD_AND_SOURCE_ROW_REVIEW</t>
        </is>
      </c>
      <c r="J49" s="3" t="inlineStr">
        <is>
          <t>2026-09-07T21:44:55+07:00</t>
        </is>
      </c>
      <c r="K49" s="3" t="inlineStr">
        <is>
          <t>Direct QA opened downloaded image 179_04; source SHA 232246736D0E74D62007D0E6971A2E140EDFD432E8573485134C1F85951D9CC3. Submitted observation reviewed against gallery position.</t>
        </is>
      </c>
      <c r="L49" s="3" t="inlineStr">
        <is>
          <t>Detail, feature panel or lifestyle image connected to baseball home quote bedding with custom name.</t>
        </is>
      </c>
      <c r="M49" s="3" t="inlineStr">
        <is>
          <t>UNKNOWN</t>
        </is>
      </c>
      <c r="N49" s="3" t="inlineStr">
        <is>
          <t>SET</t>
        </is>
      </c>
      <c r="O49" s="3" t="inlineStr">
        <is>
          <t>Product detail or closure image for Personalized Baseball Home Quote Bedding</t>
        </is>
      </c>
      <c r="P49" s="3" t="inlineStr">
        <is>
          <t>FULL</t>
        </is>
      </c>
      <c r="Q49" s="3" t="inlineStr">
        <is>
          <t>PARTIAL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ISSUE-0080</t>
        </is>
      </c>
      <c r="Z49" s="3" t="inlineStr">
        <is>
          <t>D:\Shopify_Workspace\jeminise_seo\seo_runs\jeminise.com\20260906_234129\qa\20260907_213100\images\179_04.jpg; seo_runs\jeminise.com\20260906_234129\evidence\images\179_personalized-baseball-bedding-full-size-flag-custom-name-d-design-04\image_04_47934351179975.jpg; seo_runs\jeminise.com\20260906_234129\evidence\contact_sheets\179_personalized-baseball-bedding-full-size-flag-custom-name-d-design-04.jpg</t>
        </is>
      </c>
    </row>
    <row r="50" ht="66" customHeight="1">
      <c r="A50" s="2" t="inlineStr">
        <is>
          <t>jeminise.com+personalized-baseball-bedding-full-size-flag-custom-name-d-design-05</t>
        </is>
      </c>
      <c r="B50" s="2" t="inlineStr">
        <is>
          <t>img_c3014b777f5a7743</t>
        </is>
      </c>
      <c r="C50" s="4" t="inlineStr">
        <is>
          <t>https://cdn.shopify.com/s/files/1/0792/5098/1063/files/d378f1a48f335b21aefca30b88f78840020f51ab8fbc27d3943bcd358c24aa0f.jpg?v=1787242242</t>
        </is>
      </c>
      <c r="D50" s="4" t="inlineStr">
        <is>
          <t>https://cdn.shopify.com/s/files/1/0792/5098/1063/files/d378f1a48f335b21aefca30b88f78840020f51ab8fbc27d3943bcd358c24aa0f.jpg?v=1787242242</t>
        </is>
      </c>
      <c r="E50" s="2" t="inlineStr">
        <is>
          <t>47934355243207</t>
        </is>
      </c>
      <c r="F50" s="2" t="inlineStr">
        <is>
          <t>47934355243207</t>
        </is>
      </c>
      <c r="G50" s="2" t="inlineStr"/>
      <c r="H50" s="2" t="inlineStr">
        <is>
          <t>GALLERY</t>
        </is>
      </c>
      <c r="I50" s="2" t="inlineStr">
        <is>
          <t>DIRECT_IMAGE_DOWNLOAD_AND_SOURCE_ROW_REVIEW</t>
        </is>
      </c>
      <c r="J50" s="2" t="inlineStr">
        <is>
          <t>2026-09-07T21:44:55+07:00</t>
        </is>
      </c>
      <c r="K50" s="2" t="inlineStr">
        <is>
          <t>Direct QA opened downloaded image 180_01; source SHA 19E613AB5BC26E8160C524C070114ABE1C5ABA075553FE97C5728FC00B2EB900. Submitted observation reviewed against gallery position.</t>
        </is>
      </c>
      <c r="L50" s="2" t="inlineStr">
        <is>
          <t>Main product mockup showing personalized catcher American flag baseball bedding.</t>
        </is>
      </c>
      <c r="M50" s="2" t="inlineStr">
        <is>
          <t>UNKNOWN</t>
        </is>
      </c>
      <c r="N50" s="2" t="inlineStr">
        <is>
          <t>SET</t>
        </is>
      </c>
      <c r="O50" s="2" t="inlineStr">
        <is>
          <t>Personalized Catcher American Flag Baseball Bedding displayed in a main product mockup</t>
        </is>
      </c>
      <c r="P50" s="2" t="inlineStr">
        <is>
          <t>FULL</t>
        </is>
      </c>
      <c r="Q50" s="2" t="inlineStr">
        <is>
          <t>FULL</t>
        </is>
      </c>
      <c r="R50" s="2" t="inlineStr">
        <is>
          <t>PARTIAL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ISSUE-0086</t>
        </is>
      </c>
      <c r="Z50" s="2" t="inlineStr">
        <is>
          <t>D:\Shopify_Workspace\jeminise_seo\seo_runs\jeminise.com\20260906_234129\qa\20260907_213100\images\180_01.jpg; seo_runs\jeminise.com\20260906_234129\evidence\images\180_personalized-baseball-bedding-full-size-flag-custom-name-d-design-05\image_01_47934355243207.jpg; seo_runs\jeminise.com\20260906_234129\evidence\contact_sheets\180_personalized-baseball-bedding-full-size-flag-custom-name-d-design-05.jpg</t>
        </is>
      </c>
    </row>
    <row r="51" ht="66" customHeight="1">
      <c r="A51" s="3" t="inlineStr">
        <is>
          <t>jeminise.com+personalized-baseball-bedding-full-size-flag-custom-name-d-design-05</t>
        </is>
      </c>
      <c r="B51" s="3" t="inlineStr">
        <is>
          <t>img_a69980e92215cdd9</t>
        </is>
      </c>
      <c r="C51" s="4" t="inlineStr">
        <is>
          <t>https://cdn.shopify.com/s/files/1/0792/5098/1063/files/ef81c56fe7d5f4f60045bfbd0778e14ad11ce2a6824c23132d2b864ef763fe85_53ad15e0-efaa-4e95-912c-fe1de02e8270.jpg?v=1787242243</t>
        </is>
      </c>
      <c r="D51" s="4" t="inlineStr">
        <is>
          <t>https://cdn.shopify.com/s/files/1/0792/5098/1063/files/ef81c56fe7d5f4f60045bfbd0778e14ad11ce2a6824c23132d2b864ef763fe85_53ad15e0-efaa-4e95-912c-fe1de02e8270.jpg?v=1787242243</t>
        </is>
      </c>
      <c r="E51" s="3" t="inlineStr">
        <is>
          <t>47934355275975</t>
        </is>
      </c>
      <c r="F51" s="3" t="inlineStr">
        <is>
          <t>47934355275975</t>
        </is>
      </c>
      <c r="G51" s="3" t="inlineStr"/>
      <c r="H51" s="3" t="inlineStr">
        <is>
          <t>GALLERY</t>
        </is>
      </c>
      <c r="I51" s="3" t="inlineStr">
        <is>
          <t>DIRECT_IMAGE_DOWNLOAD_AND_SOURCE_ROW_REVIEW</t>
        </is>
      </c>
      <c r="J51" s="3" t="inlineStr">
        <is>
          <t>2026-09-07T21:44:55+07:00</t>
        </is>
      </c>
      <c r="K51" s="3" t="inlineStr">
        <is>
          <t>Direct QA opened downloaded image 180_02; source SHA 946D5B32E02CA70029866292D0775686EA770A101CD6D8BC2C108F506AB44BBE. Submitted observation reviewed against gallery position.</t>
        </is>
      </c>
      <c r="L51" s="3" t="inlineStr">
        <is>
          <t>Secondary flat, close-up or bedroom mockup showing personalized catcher American flag baseball bedding.</t>
        </is>
      </c>
      <c r="M51" s="3" t="inlineStr">
        <is>
          <t>UNKNOWN</t>
        </is>
      </c>
      <c r="N51" s="3" t="inlineStr">
        <is>
          <t>SET</t>
        </is>
      </c>
      <c r="O51" s="3" t="inlineStr">
        <is>
          <t>Feature or close-up image for Personalized Catcher American Flag Baseball Bedding</t>
        </is>
      </c>
      <c r="P51" s="3" t="inlineStr">
        <is>
          <t>FULL</t>
        </is>
      </c>
      <c r="Q51" s="3" t="inlineStr">
        <is>
          <t>FULL</t>
        </is>
      </c>
      <c r="R51" s="3" t="inlineStr">
        <is>
          <t>FULL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c r="Z51" s="3" t="inlineStr">
        <is>
          <t>D:\Shopify_Workspace\jeminise_seo\seo_runs\jeminise.com\20260906_234129\qa\20260907_213100\images\180_02.jpg; seo_runs\jeminise.com\20260906_234129\evidence\images\180_personalized-baseball-bedding-full-size-flag-custom-name-d-design-05\image_02_47934355275975.jpg; seo_runs\jeminise.com\20260906_234129\evidence\contact_sheets\180_personalized-baseball-bedding-full-size-flag-custom-name-d-design-05.jpg</t>
        </is>
      </c>
    </row>
    <row r="52" ht="66" customHeight="1">
      <c r="A52" s="2" t="inlineStr">
        <is>
          <t>jeminise.com+personalized-baseball-bedding-full-size-flag-custom-name-d-design-05</t>
        </is>
      </c>
      <c r="B52" s="2" t="inlineStr">
        <is>
          <t>img_5dd4e3c4846504c1</t>
        </is>
      </c>
      <c r="C52" s="4" t="inlineStr">
        <is>
          <t>https://cdn.shopify.com/s/files/1/0792/5098/1063/files/b495d9b37eafdceff5caf3643256f7b3a83de826d49a14bdc531b13424296018_f9f0eeec-4dae-411e-a33a-449c47bc2ea9.jpg?v=1787242242</t>
        </is>
      </c>
      <c r="D52" s="4" t="inlineStr">
        <is>
          <t>https://cdn.shopify.com/s/files/1/0792/5098/1063/files/b495d9b37eafdceff5caf3643256f7b3a83de826d49a14bdc531b13424296018_f9f0eeec-4dae-411e-a33a-449c47bc2ea9.jpg?v=1787242242</t>
        </is>
      </c>
      <c r="E52" s="2" t="inlineStr">
        <is>
          <t>47934355308743</t>
        </is>
      </c>
      <c r="F52" s="2" t="inlineStr">
        <is>
          <t>47934355308743</t>
        </is>
      </c>
      <c r="G52" s="2" t="inlineStr"/>
      <c r="H52" s="2" t="inlineStr">
        <is>
          <t>GALLERY</t>
        </is>
      </c>
      <c r="I52" s="2" t="inlineStr">
        <is>
          <t>DIRECT_IMAGE_DOWNLOAD_AND_SOURCE_ROW_REVIEW</t>
        </is>
      </c>
      <c r="J52" s="2" t="inlineStr">
        <is>
          <t>2026-09-07T21:44:55+07:00</t>
        </is>
      </c>
      <c r="K52" s="2" t="inlineStr">
        <is>
          <t>Direct QA opened downloaded image 180_03; source SHA 82D08ED974694A5AE83601A42A9EAD30E75BA471FA67537A9B6996296A80AD73. Submitted observation reviewed against gallery position.</t>
        </is>
      </c>
      <c r="L52" s="2" t="inlineStr">
        <is>
          <t>Bedding type, feature, lifestyle or material image for personalized catcher American flag baseball bedding.</t>
        </is>
      </c>
      <c r="M52" s="2" t="inlineStr">
        <is>
          <t>UNKNOWN</t>
        </is>
      </c>
      <c r="N52" s="2" t="inlineStr">
        <is>
          <t>SET</t>
        </is>
      </c>
      <c r="O52" s="2" t="inlineStr">
        <is>
          <t>Lifestyle or care image for Personalized Catcher American Flag Baseball Bedding</t>
        </is>
      </c>
      <c r="P52" s="2" t="inlineStr">
        <is>
          <t>FULL</t>
        </is>
      </c>
      <c r="Q52" s="2" t="inlineStr">
        <is>
          <t>PARTIAL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ISSUE-0087</t>
        </is>
      </c>
      <c r="Z52" s="2" t="inlineStr">
        <is>
          <t>D:\Shopify_Workspace\jeminise_seo\seo_runs\jeminise.com\20260906_234129\qa\20260907_213100\images\180_03.jpg; seo_runs\jeminise.com\20260906_234129\evidence\images\180_personalized-baseball-bedding-full-size-flag-custom-name-d-design-05\image_03_47934355308743.jpg; seo_runs\jeminise.com\20260906_234129\evidence\contact_sheets\180_personalized-baseball-bedding-full-size-flag-custom-name-d-design-05.jpg</t>
        </is>
      </c>
    </row>
    <row r="53" ht="66" customHeight="1">
      <c r="A53" s="3" t="inlineStr">
        <is>
          <t>jeminise.com+personalized-baseball-bedding-full-size-flag-custom-name-d-design-05</t>
        </is>
      </c>
      <c r="B53" s="3" t="inlineStr">
        <is>
          <t>img_a7c8c1d0f607688f</t>
        </is>
      </c>
      <c r="C53" s="4" t="inlineStr">
        <is>
          <t>https://cdn.shopify.com/s/files/1/0792/5098/1063/files/d51e3360a3e4b984af63b01c4b53d517484ca3d6cb1beeea158bcf59acab9ed4_50f3a975-3368-46bf-b2b6-f3ee3fcca066.jpg?v=1787242243</t>
        </is>
      </c>
      <c r="D53" s="4" t="inlineStr">
        <is>
          <t>https://cdn.shopify.com/s/files/1/0792/5098/1063/files/d51e3360a3e4b984af63b01c4b53d517484ca3d6cb1beeea158bcf59acab9ed4_50f3a975-3368-46bf-b2b6-f3ee3fcca066.jpg?v=1787242243</t>
        </is>
      </c>
      <c r="E53" s="3" t="inlineStr">
        <is>
          <t>47934355341511</t>
        </is>
      </c>
      <c r="F53" s="3" t="inlineStr">
        <is>
          <t>47934355341511</t>
        </is>
      </c>
      <c r="G53" s="3" t="inlineStr"/>
      <c r="H53" s="3" t="inlineStr">
        <is>
          <t>GALLERY</t>
        </is>
      </c>
      <c r="I53" s="3" t="inlineStr">
        <is>
          <t>DIRECT_IMAGE_DOWNLOAD_AND_SOURCE_ROW_REVIEW</t>
        </is>
      </c>
      <c r="J53" s="3" t="inlineStr">
        <is>
          <t>2026-09-07T21:44:55+07:00</t>
        </is>
      </c>
      <c r="K53" s="3" t="inlineStr">
        <is>
          <t>Direct QA opened downloaded image 180_04; source SHA 232246736D0E74D62007D0E6971A2E140EDFD432E8573485134C1F85951D9CC3. Submitted observation reviewed against gallery position.</t>
        </is>
      </c>
      <c r="L53" s="3" t="inlineStr">
        <is>
          <t>Detail, feature panel or lifestyle image connected to personalized catcher American flag baseball bedding.</t>
        </is>
      </c>
      <c r="M53" s="3" t="inlineStr">
        <is>
          <t>UNKNOWN</t>
        </is>
      </c>
      <c r="N53" s="3" t="inlineStr">
        <is>
          <t>SET</t>
        </is>
      </c>
      <c r="O53" s="3" t="inlineStr">
        <is>
          <t>Product detail or closure image for Personalized Catcher American Flag Baseball Bedding</t>
        </is>
      </c>
      <c r="P53" s="3" t="inlineStr">
        <is>
          <t>FULL</t>
        </is>
      </c>
      <c r="Q53" s="3" t="inlineStr">
        <is>
          <t>PARTIAL</t>
        </is>
      </c>
      <c r="R53" s="3" t="inlineStr">
        <is>
          <t>FULL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ISSUE-0088</t>
        </is>
      </c>
      <c r="Z53" s="3" t="inlineStr">
        <is>
          <t>D:\Shopify_Workspace\jeminise_seo\seo_runs\jeminise.com\20260906_234129\qa\20260907_213100\images\180_04.jpg; seo_runs\jeminise.com\20260906_234129\evidence\images\180_personalized-baseball-bedding-full-size-flag-custom-name-d-design-05\image_04_47934355341511.jpg; seo_runs\jeminise.com\20260906_234129\evidence\contact_sheets\180_personalized-baseball-bedding-full-size-flag-custom-name-d-design-05.jpg</t>
        </is>
      </c>
    </row>
  </sheetData>
  <autoFilter ref="A1:Z53"/>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89"/>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ISSUE-0001</t>
        </is>
      </c>
      <c r="B2" s="2" t="inlineStr">
        <is>
          <t>jeminise.com+pamnest-twin-halloween-comforter-set-with-sheets-5-pieces-design-08</t>
        </is>
      </c>
      <c r="C2" s="2" t="inlineStr"/>
      <c r="D2" s="2" t="inlineStr">
        <is>
          <t>CRITICAL</t>
        </is>
      </c>
      <c r="E2" s="2" t="inlineStr">
        <is>
          <t>personalization/customizer</t>
        </is>
      </c>
      <c r="F2" s="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t>
        </is>
      </c>
      <c r="G2" s="2" t="inlineStr">
        <is>
          <t>Draft claims customization/personalization but static live audit did not find a customizer root.</t>
        </is>
      </c>
      <c r="H2" s="2" t="inlineStr">
        <is>
          <t>Claim is materially unsafe until the live purchase flow exposes matching input controls.</t>
        </is>
      </c>
      <c r="I2" s="2" t="inlineStr">
        <is>
          <t>Remove/soften unsupported personalization claim, or provide admin/live proof that matching controls work.</t>
        </is>
      </c>
      <c r="J2" s="2" t="inlineStr">
        <is>
          <t>Draft claims customization/personalization but static live audit did not find a customizer root.</t>
        </is>
      </c>
      <c r="K2" s="2" t="inlineStr">
        <is>
          <t>Re-open live product and verify the exact name/number/photo input is present and mapped to fulfillment.</t>
        </is>
      </c>
    </row>
    <row r="3" ht="84" customHeight="1">
      <c r="A3" s="3" t="inlineStr">
        <is>
          <t>ISSUE-0002</t>
        </is>
      </c>
      <c r="B3" s="3" t="inlineStr">
        <is>
          <t>jeminise.com+pamnest-twin-halloween-comforter-set-with-sheets-5-pieces-design-08</t>
        </is>
      </c>
      <c r="C3" s="3" t="inlineStr"/>
      <c r="D3" s="3" t="inlineStr">
        <is>
          <t>MAJOR</t>
        </is>
      </c>
      <c r="E3" s="3" t="inlineStr">
        <is>
          <t>description_proposed_html</t>
        </is>
      </c>
      <c r="F3" s="3"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t>
        </is>
      </c>
      <c r="G3" s="3" t="inlineStr">
        <is>
          <t>Draft contains SEO Use / QA approval wording.</t>
        </is>
      </c>
      <c r="H3" s="3" t="inlineStr">
        <is>
          <t>Internal workflow language is not publish-ready storefront copy.</t>
        </is>
      </c>
      <c r="I3" s="3" t="inlineStr">
        <is>
          <t>Remove internal QA/import block and replace with customer-facing verified copy.</t>
        </is>
      </c>
      <c r="J3" s="3" t="inlineStr">
        <is>
          <t>Draft contains SEO Use / QA approval wording.</t>
        </is>
      </c>
      <c r="K3" s="3" t="inlineStr">
        <is>
          <t>Description HTML no longer contains SEO Use, QA, approval, import or draft language.</t>
        </is>
      </c>
    </row>
    <row r="4" ht="84" customHeight="1">
      <c r="A4" s="2" t="inlineStr">
        <is>
          <t>ISSUE-0003</t>
        </is>
      </c>
      <c r="B4" s="2" t="inlineStr">
        <is>
          <t>jeminise.com+pamnest-twin-halloween-comforter-set-with-sheets-5-pieces-design-08</t>
        </is>
      </c>
      <c r="C4" s="2" t="inlineStr"/>
      <c r="D4" s="2" t="inlineStr">
        <is>
          <t>MAJOR</t>
        </is>
      </c>
      <c r="E4" s="2" t="inlineStr">
        <is>
          <t>h1_proposed</t>
        </is>
      </c>
      <c r="F4" s="2" t="inlineStr"/>
      <c r="G4" s="2" t="inlineStr">
        <is>
          <t>The submitted workbook row has no proposed H1.</t>
        </is>
      </c>
      <c r="H4" s="2" t="inlineStr">
        <is>
          <t>A publishable SEO title/H1 pair is incomplete when the H1 field is blank.</t>
        </is>
      </c>
      <c r="I4" s="2" t="inlineStr">
        <is>
          <t>Write one English H1 that matches the verified product type and visible design; do not copy unsupported claims.</t>
        </is>
      </c>
      <c r="J4" s="2" t="inlineStr">
        <is>
          <t>The submitted workbook row has no proposed H1.</t>
        </is>
      </c>
      <c r="K4" s="2" t="inlineStr">
        <is>
          <t>Workbook contains a non-empty H1 and it is consistent with title, primary keyword and live product evidence.</t>
        </is>
      </c>
    </row>
    <row r="5" ht="84" customHeight="1">
      <c r="A5" s="3" t="inlineStr">
        <is>
          <t>ISSUE-0004</t>
        </is>
      </c>
      <c r="B5" s="3" t="inlineStr">
        <is>
          <t>jeminise.com+pamnest-twin-halloween-comforter-set-with-sheets-5-pieces-design-08</t>
        </is>
      </c>
      <c r="C5" s="3" t="inlineStr"/>
      <c r="D5" s="3" t="inlineStr">
        <is>
          <t>MINOR</t>
        </is>
      </c>
      <c r="E5" s="3" t="inlineStr">
        <is>
          <t>meta_description_seo</t>
        </is>
      </c>
      <c r="F5" s="3" t="inlineStr">
        <is>
          <t>Shop a comforter set featuring pink, black and gray gothic patchwork bedding with skulls, ravens, skeletons, floral panels and striped/checkered blocks. Review available sizes and personalization options before checkout.</t>
        </is>
      </c>
      <c r="G5" s="3" t="inlineStr">
        <is>
          <t>Meta description length is 220 characters.</t>
        </is>
      </c>
      <c r="H5" s="3" t="inlineStr">
        <is>
          <t>Likely to truncate in search results and repeats review/personality wording in several rows.</t>
        </is>
      </c>
      <c r="I5" s="3" t="inlineStr">
        <is>
          <t>Rewrite to roughly 145-155 characters while preserving verified design and product type.</t>
        </is>
      </c>
      <c r="J5" s="3" t="inlineStr">
        <is>
          <t>Meta description length is 220 characters.</t>
        </is>
      </c>
      <c r="K5" s="3" t="inlineStr">
        <is>
          <t>Length check &lt;=160 characters and no unsupported claim remains.</t>
        </is>
      </c>
    </row>
    <row r="6" ht="84" customHeight="1">
      <c r="A6" s="2" t="inlineStr">
        <is>
          <t>ISSUE-0005</t>
        </is>
      </c>
      <c r="B6" s="2" t="inlineStr">
        <is>
          <t>jeminise.com+pamnest-twin-halloween-comforter-set-with-sheets-5-pieces-design-08</t>
        </is>
      </c>
      <c r="C6" s="2" t="inlineStr"/>
      <c r="D6" s="2" t="inlineStr">
        <is>
          <t>LIMITATION</t>
        </is>
      </c>
      <c r="E6" s="2" t="inlineStr">
        <is>
          <t>keyword_evidence_level</t>
        </is>
      </c>
      <c r="F6" s="2" t="inlineStr">
        <is>
          <t>SERP_ONLY</t>
        </is>
      </c>
      <c r="G6" s="2" t="inlineStr">
        <is>
          <t>Only public SERP comparables are available.</t>
        </is>
      </c>
      <c r="H6" s="2" t="inlineStr">
        <is>
          <t>No Search Console, paid keyword volume or internal site search export was supplied.</t>
        </is>
      </c>
      <c r="I6" s="2" t="inlineStr">
        <is>
          <t>Keep demand statements qualitative; do not claim volume or ranking potential.</t>
        </is>
      </c>
      <c r="J6" s="2" t="inlineStr">
        <is>
          <t>Only public SERP comparables are available.</t>
        </is>
      </c>
      <c r="K6" s="2" t="inlineStr">
        <is>
          <t>Additional first-party or paid keyword evidence is attached, or limitation remains documented.</t>
        </is>
      </c>
    </row>
    <row r="7" ht="84" customHeight="1">
      <c r="A7" s="3" t="inlineStr">
        <is>
          <t>ISSUE-0006</t>
        </is>
      </c>
      <c r="B7" s="3" t="inlineStr">
        <is>
          <t>jeminise.com+pamnest-twin-halloween-comforter-set-with-sheets-5-pieces-design-08</t>
        </is>
      </c>
      <c r="C7" s="3" t="inlineStr">
        <is>
          <t>img_450a96db44e6c74e</t>
        </is>
      </c>
      <c r="D7" s="3" t="inlineStr">
        <is>
          <t>MINOR</t>
        </is>
      </c>
      <c r="E7" s="3" t="inlineStr">
        <is>
          <t>alt text</t>
        </is>
      </c>
      <c r="F7" s="3" t="inlineStr">
        <is>
          <t>Pink Black Gothic Skull Patchwork Comforter Set displayed in a main product mockup</t>
        </is>
      </c>
      <c r="G7" s="3" t="inlineStr">
        <is>
          <t>Fresh image file: D:\Shopify_Workspace\jeminise_seo\seo_runs\jeminise.com\20260906_234129\qa\20260907_213100\images\171_01.jpg; source URL: https://cdn.shopify.com/s/files/1/0792/5098/1063/files/1414cb561f6df4ab8d6ead2b6e9a0e8ee121f1b5aaf58a9de1efdb785e9232ca.jpg?v=1787936323</t>
        </is>
      </c>
      <c r="H7" s="3" t="inlineStr">
        <is>
          <t>Alt text is too generic or describes placement more than visible content.</t>
        </is>
      </c>
      <c r="I7" s="3" t="inlineStr">
        <is>
          <t>Rewrite observation/alt from the directly opened image, naming the visible motif and use context.</t>
        </is>
      </c>
      <c r="J7" s="3" t="inlineStr">
        <is>
          <t>Fresh image file: D:\Shopify_Workspace\jeminise_seo\seo_runs\jeminise.com\20260906_234129\qa\20260907_213100\images\171_01.jpg; source URL: https://cdn.shopify.com/s/files/1/0792/5098/1063/files/1414cb561f6df4ab8d6ead2b6e9a0e8ee121f1b5aaf58a9de1efdb785e9232ca.jpg?v=1787936323</t>
        </is>
      </c>
      <c r="K7" s="3" t="inlineStr">
        <is>
          <t>The image row accurately describes the actual media at this gallery position.</t>
        </is>
      </c>
    </row>
    <row r="8" ht="84" customHeight="1">
      <c r="A8" s="2" t="inlineStr">
        <is>
          <t>ISSUE-0007</t>
        </is>
      </c>
      <c r="B8" s="2" t="inlineStr">
        <is>
          <t>jeminise.com+pamnest-twin-halloween-comforter-set-with-sheets-5-pieces-design-08</t>
        </is>
      </c>
      <c r="C8" s="2" t="inlineStr">
        <is>
          <t>img_b50be047fb1aab03</t>
        </is>
      </c>
      <c r="D8" s="2" t="inlineStr">
        <is>
          <t>MINOR</t>
        </is>
      </c>
      <c r="E8" s="2" t="inlineStr">
        <is>
          <t>image observation</t>
        </is>
      </c>
      <c r="F8" s="2" t="inlineStr">
        <is>
          <t>Bedding type, feature, lifestyle or material image for pink black gothic skull patchwork comforter set.</t>
        </is>
      </c>
      <c r="G8" s="2" t="inlineStr">
        <is>
          <t>Fresh image file: D:\Shopify_Workspace\jeminise_seo\seo_runs\jeminise.com\20260906_234129\qa\20260907_213100\images\171_03.jpg; source URL: https://cdn.shopify.com/s/files/1/0792/5098/1063/files/2728a23abdc49441c2c155cd7929b8a1cc9f41c97236fd8c2f144ead03fc4c79.jpg?v=1787936323</t>
        </is>
      </c>
      <c r="H8" s="2" t="inlineStr">
        <is>
          <t>Observation is generic or position-based; rewrite from the actual image content.</t>
        </is>
      </c>
      <c r="I8" s="2" t="inlineStr">
        <is>
          <t>Rewrite observation/alt from the directly opened image, naming the visible motif and use context.</t>
        </is>
      </c>
      <c r="J8" s="2" t="inlineStr">
        <is>
          <t>Fresh image file: D:\Shopify_Workspace\jeminise_seo\seo_runs\jeminise.com\20260906_234129\qa\20260907_213100\images\171_03.jpg; source URL: https://cdn.shopify.com/s/files/1/0792/5098/1063/files/2728a23abdc49441c2c155cd7929b8a1cc9f41c97236fd8c2f144ead03fc4c79.jpg?v=1787936323</t>
        </is>
      </c>
      <c r="K8" s="2" t="inlineStr">
        <is>
          <t>The image row accurately describes the actual media at this gallery position.</t>
        </is>
      </c>
    </row>
    <row r="9" ht="84" customHeight="1">
      <c r="A9" s="3" t="inlineStr">
        <is>
          <t>ISSUE-0008</t>
        </is>
      </c>
      <c r="B9" s="3" t="inlineStr">
        <is>
          <t>jeminise.com+pamnest-twin-halloween-comforter-set-with-sheets-5-pieces-design-08</t>
        </is>
      </c>
      <c r="C9" s="3" t="inlineStr">
        <is>
          <t>img_47747e0c385ef303</t>
        </is>
      </c>
      <c r="D9" s="3" t="inlineStr">
        <is>
          <t>MINOR</t>
        </is>
      </c>
      <c r="E9" s="3" t="inlineStr">
        <is>
          <t>image observation</t>
        </is>
      </c>
      <c r="F9" s="3" t="inlineStr">
        <is>
          <t>Detail, feature panel or lifestyle image connected to pink black gothic skull patchwork comforter set.</t>
        </is>
      </c>
      <c r="G9" s="3" t="inlineStr">
        <is>
          <t>Fresh image file: D:\Shopify_Workspace\jeminise_seo\seo_runs\jeminise.com\20260906_234129\qa\20260907_213100\images\171_04.jpg; source URL: https://cdn.shopify.com/s/files/1/0792/5098/1063/files/8a9bf6c406851ba19e675b0222fd0e4553c9cf6cd0602764bb3cbe6ef731c157.jpg?v=1787936323</t>
        </is>
      </c>
      <c r="H9" s="3" t="inlineStr">
        <is>
          <t>Observation is generic or position-based; rewrite from the actual image content.</t>
        </is>
      </c>
      <c r="I9" s="3" t="inlineStr">
        <is>
          <t>Rewrite observation/alt from the directly opened image, naming the visible motif and use context.</t>
        </is>
      </c>
      <c r="J9" s="3" t="inlineStr">
        <is>
          <t>Fresh image file: D:\Shopify_Workspace\jeminise_seo\seo_runs\jeminise.com\20260906_234129\qa\20260907_213100\images\171_04.jpg; source URL: https://cdn.shopify.com/s/files/1/0792/5098/1063/files/8a9bf6c406851ba19e675b0222fd0e4553c9cf6cd0602764bb3cbe6ef731c157.jpg?v=1787936323</t>
        </is>
      </c>
      <c r="K9" s="3" t="inlineStr">
        <is>
          <t>The image row accurately describes the actual media at this gallery position.</t>
        </is>
      </c>
    </row>
    <row r="10" ht="84" customHeight="1">
      <c r="A10" s="2" t="inlineStr">
        <is>
          <t>ISSUE-0009</t>
        </is>
      </c>
      <c r="B10" s="2" t="inlineStr">
        <is>
          <t>jeminise.com+pamnest-twin-halloween-comforter-set-with-sheets-5-pieces-design-08</t>
        </is>
      </c>
      <c r="C10" s="2" t="inlineStr">
        <is>
          <t>img_5fc0b20a2a4400ff</t>
        </is>
      </c>
      <c r="D10" s="2" t="inlineStr">
        <is>
          <t>MINOR</t>
        </is>
      </c>
      <c r="E10" s="2" t="inlineStr">
        <is>
          <t>image observation</t>
        </is>
      </c>
      <c r="F10" s="2" t="inlineStr">
        <is>
          <t>Easy-care, size guide or product feature image for pink black gothic skull patchwork comforter set.</t>
        </is>
      </c>
      <c r="G10" s="2" t="inlineStr">
        <is>
          <t>Fresh image file: D:\Shopify_Workspace\jeminise_seo\seo_runs\jeminise.com\20260906_234129\qa\20260907_213100\images\171_06.jpg; source URL: https://cdn.shopify.com/s/files/1/0792/5098/1063/files/ea04152d8b142a6d590a5ddfdc02601aa8a9d8d785f56bc4eca30f642edbb7eb.jpg?v=1787936323</t>
        </is>
      </c>
      <c r="H10" s="2" t="inlineStr">
        <is>
          <t>Observation is generic or position-based; rewrite from the actual image content.</t>
        </is>
      </c>
      <c r="I10" s="2" t="inlineStr">
        <is>
          <t>Rewrite observation/alt from the directly opened image, naming the visible motif and use context.</t>
        </is>
      </c>
      <c r="J10" s="2" t="inlineStr">
        <is>
          <t>Fresh image file: D:\Shopify_Workspace\jeminise_seo\seo_runs\jeminise.com\20260906_234129\qa\20260907_213100\images\171_06.jpg; source URL: https://cdn.shopify.com/s/files/1/0792/5098/1063/files/ea04152d8b142a6d590a5ddfdc02601aa8a9d8d785f56bc4eca30f642edbb7eb.jpg?v=1787936323</t>
        </is>
      </c>
      <c r="K10" s="2" t="inlineStr">
        <is>
          <t>The image row accurately describes the actual media at this gallery position.</t>
        </is>
      </c>
    </row>
    <row r="11" ht="84" customHeight="1">
      <c r="A11" s="3" t="inlineStr">
        <is>
          <t>ISSUE-0010</t>
        </is>
      </c>
      <c r="B11" s="3" t="inlineStr">
        <is>
          <t>jeminise.com+pamnest-twin-halloween-comforter-set-with-sheets-5-pieces-design-08</t>
        </is>
      </c>
      <c r="C11" s="3" t="inlineStr">
        <is>
          <t>img_5fc0b20a2a4400ff</t>
        </is>
      </c>
      <c r="D11" s="3" t="inlineStr">
        <is>
          <t>MINOR</t>
        </is>
      </c>
      <c r="E11" s="3" t="inlineStr">
        <is>
          <t>alt text</t>
        </is>
      </c>
      <c r="F11" s="3" t="inlineStr">
        <is>
          <t>Set contents, fabric or size chart image for Pink Black Gothic Skull Patchwork Comforter Set</t>
        </is>
      </c>
      <c r="G11" s="3" t="inlineStr">
        <is>
          <t>Fresh image file: D:\Shopify_Workspace\jeminise_seo\seo_runs\jeminise.com\20260906_234129\qa\20260907_213100\images\171_06.jpg; source URL: https://cdn.shopify.com/s/files/1/0792/5098/1063/files/ea04152d8b142a6d590a5ddfdc02601aa8a9d8d785f56bc4eca30f642edbb7eb.jpg?v=1787936323</t>
        </is>
      </c>
      <c r="H11" s="3" t="inlineStr">
        <is>
          <t>Alt text is too generic or describes placement more than visible content.</t>
        </is>
      </c>
      <c r="I11" s="3" t="inlineStr">
        <is>
          <t>Rewrite observation/alt from the directly opened image, naming the visible motif and use context.</t>
        </is>
      </c>
      <c r="J11" s="3" t="inlineStr">
        <is>
          <t>Fresh image file: D:\Shopify_Workspace\jeminise_seo\seo_runs\jeminise.com\20260906_234129\qa\20260907_213100\images\171_06.jpg; source URL: https://cdn.shopify.com/s/files/1/0792/5098/1063/files/ea04152d8b142a6d590a5ddfdc02601aa8a9d8d785f56bc4eca30f642edbb7eb.jpg?v=1787936323</t>
        </is>
      </c>
      <c r="K11" s="3" t="inlineStr">
        <is>
          <t>The image row accurately describes the actual media at this gallery position.</t>
        </is>
      </c>
    </row>
    <row r="12" ht="84" customHeight="1">
      <c r="A12" s="2" t="inlineStr">
        <is>
          <t>ISSUE-0011</t>
        </is>
      </c>
      <c r="B12" s="2" t="inlineStr">
        <is>
          <t>jeminise.com+pamnest-twin-halloween-comforter-set-with-sheets-5-pieces-design-09</t>
        </is>
      </c>
      <c r="C12" s="2" t="inlineStr"/>
      <c r="D12" s="2" t="inlineStr">
        <is>
          <t>CRITICAL</t>
        </is>
      </c>
      <c r="E12" s="2" t="inlineStr">
        <is>
          <t>personalization/customizer</t>
        </is>
      </c>
      <c r="F12" s="2"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t>
        </is>
      </c>
      <c r="G12" s="2" t="inlineStr">
        <is>
          <t>Draft claims customization/personalization but static live audit did not find a customizer root.</t>
        </is>
      </c>
      <c r="H12" s="2" t="inlineStr">
        <is>
          <t>Claim is materially unsafe until the live purchase flow exposes matching input controls.</t>
        </is>
      </c>
      <c r="I12" s="2" t="inlineStr">
        <is>
          <t>Remove/soften unsupported personalization claim, or provide admin/live proof that matching controls work.</t>
        </is>
      </c>
      <c r="J12" s="2" t="inlineStr">
        <is>
          <t>Draft claims customization/personalization but static live audit did not find a customizer root.</t>
        </is>
      </c>
      <c r="K12" s="2" t="inlineStr">
        <is>
          <t>Re-open live product and verify the exact name/number/photo input is present and mapped to fulfillment.</t>
        </is>
      </c>
    </row>
    <row r="13" ht="84" customHeight="1">
      <c r="A13" s="3" t="inlineStr">
        <is>
          <t>ISSUE-0012</t>
        </is>
      </c>
      <c r="B13" s="3" t="inlineStr">
        <is>
          <t>jeminise.com+pamnest-twin-halloween-comforter-set-with-sheets-5-pieces-design-09</t>
        </is>
      </c>
      <c r="C13" s="3" t="inlineStr"/>
      <c r="D13" s="3" t="inlineStr">
        <is>
          <t>MAJOR</t>
        </is>
      </c>
      <c r="E13" s="3" t="inlineStr">
        <is>
          <t>description_proposed_html</t>
        </is>
      </c>
      <c r="F13" s="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t>
        </is>
      </c>
      <c r="G13" s="3" t="inlineStr">
        <is>
          <t>Draft contains SEO Use / QA approval wording.</t>
        </is>
      </c>
      <c r="H13" s="3" t="inlineStr">
        <is>
          <t>Internal workflow language is not publish-ready storefront copy.</t>
        </is>
      </c>
      <c r="I13" s="3" t="inlineStr">
        <is>
          <t>Remove internal QA/import block and replace with customer-facing verified copy.</t>
        </is>
      </c>
      <c r="J13" s="3" t="inlineStr">
        <is>
          <t>Draft contains SEO Use / QA approval wording.</t>
        </is>
      </c>
      <c r="K13" s="3" t="inlineStr">
        <is>
          <t>Description HTML no longer contains SEO Use, QA, approval, import or draft language.</t>
        </is>
      </c>
    </row>
    <row r="14" ht="84" customHeight="1">
      <c r="A14" s="2" t="inlineStr">
        <is>
          <t>ISSUE-0013</t>
        </is>
      </c>
      <c r="B14" s="2" t="inlineStr">
        <is>
          <t>jeminise.com+pamnest-twin-halloween-comforter-set-with-sheets-5-pieces-design-09</t>
        </is>
      </c>
      <c r="C14" s="2" t="inlineStr"/>
      <c r="D14" s="2" t="inlineStr">
        <is>
          <t>MAJOR</t>
        </is>
      </c>
      <c r="E14" s="2" t="inlineStr">
        <is>
          <t>h1_proposed</t>
        </is>
      </c>
      <c r="F14" s="2" t="inlineStr"/>
      <c r="G14" s="2" t="inlineStr">
        <is>
          <t>The submitted workbook row has no proposed H1.</t>
        </is>
      </c>
      <c r="H14" s="2" t="inlineStr">
        <is>
          <t>A publishable SEO title/H1 pair is incomplete when the H1 field is blank.</t>
        </is>
      </c>
      <c r="I14" s="2" t="inlineStr">
        <is>
          <t>Write one English H1 that matches the verified product type and visible design; do not copy unsupported claims.</t>
        </is>
      </c>
      <c r="J14" s="2" t="inlineStr">
        <is>
          <t>The submitted workbook row has no proposed H1.</t>
        </is>
      </c>
      <c r="K14" s="2" t="inlineStr">
        <is>
          <t>Workbook contains a non-empty H1 and it is consistent with title, primary keyword and live product evidence.</t>
        </is>
      </c>
    </row>
    <row r="15" ht="84" customHeight="1">
      <c r="A15" s="3" t="inlineStr">
        <is>
          <t>ISSUE-0014</t>
        </is>
      </c>
      <c r="B15" s="3" t="inlineStr">
        <is>
          <t>jeminise.com+pamnest-twin-halloween-comforter-set-with-sheets-5-pieces-design-09</t>
        </is>
      </c>
      <c r="C15" s="3" t="inlineStr"/>
      <c r="D15" s="3" t="inlineStr">
        <is>
          <t>MINOR</t>
        </is>
      </c>
      <c r="E15" s="3" t="inlineStr">
        <is>
          <t>meta_description_seo</t>
        </is>
      </c>
      <c r="F15" s="3" t="inlineStr">
        <is>
          <t>Shop a comforter set featuring black and gray Halloween bedding with a haunted house, orange moon, trick-or-treat text, skeletons, pumpkins, bats and spiderwebs. Review available sizes and personalization options before checkout.</t>
        </is>
      </c>
      <c r="G15" s="3" t="inlineStr">
        <is>
          <t>Meta description length is 229 characters.</t>
        </is>
      </c>
      <c r="H15" s="3" t="inlineStr">
        <is>
          <t>Likely to truncate in search results and repeats review/personality wording in several rows.</t>
        </is>
      </c>
      <c r="I15" s="3" t="inlineStr">
        <is>
          <t>Rewrite to roughly 145-155 characters while preserving verified design and product type.</t>
        </is>
      </c>
      <c r="J15" s="3" t="inlineStr">
        <is>
          <t>Meta description length is 229 characters.</t>
        </is>
      </c>
      <c r="K15" s="3" t="inlineStr">
        <is>
          <t>Length check &lt;=160 characters and no unsupported claim remains.</t>
        </is>
      </c>
    </row>
    <row r="16" ht="84" customHeight="1">
      <c r="A16" s="2" t="inlineStr">
        <is>
          <t>ISSUE-0015</t>
        </is>
      </c>
      <c r="B16" s="2" t="inlineStr">
        <is>
          <t>jeminise.com+pamnest-twin-halloween-comforter-set-with-sheets-5-pieces-design-09</t>
        </is>
      </c>
      <c r="C16" s="2" t="inlineStr"/>
      <c r="D16" s="2" t="inlineStr">
        <is>
          <t>LIMITATION</t>
        </is>
      </c>
      <c r="E16" s="2" t="inlineStr">
        <is>
          <t>keyword_evidence_level</t>
        </is>
      </c>
      <c r="F16" s="2" t="inlineStr">
        <is>
          <t>SERP_ONLY</t>
        </is>
      </c>
      <c r="G16" s="2" t="inlineStr">
        <is>
          <t>Only public SERP comparables are available.</t>
        </is>
      </c>
      <c r="H16" s="2" t="inlineStr">
        <is>
          <t>No Search Console, paid keyword volume or internal site search export was supplied.</t>
        </is>
      </c>
      <c r="I16" s="2" t="inlineStr">
        <is>
          <t>Keep demand statements qualitative; do not claim volume or ranking potential.</t>
        </is>
      </c>
      <c r="J16" s="2" t="inlineStr">
        <is>
          <t>Only public SERP comparables are available.</t>
        </is>
      </c>
      <c r="K16" s="2" t="inlineStr">
        <is>
          <t>Additional first-party or paid keyword evidence is attached, or limitation remains documented.</t>
        </is>
      </c>
    </row>
    <row r="17" ht="84" customHeight="1">
      <c r="A17" s="3" t="inlineStr">
        <is>
          <t>ISSUE-0016</t>
        </is>
      </c>
      <c r="B17" s="3" t="inlineStr">
        <is>
          <t>jeminise.com+pamnest-twin-halloween-comforter-set-with-sheets-5-pieces-design-09</t>
        </is>
      </c>
      <c r="C17" s="3" t="inlineStr">
        <is>
          <t>img_9aad5b5c3097cdff</t>
        </is>
      </c>
      <c r="D17" s="3" t="inlineStr">
        <is>
          <t>MINOR</t>
        </is>
      </c>
      <c r="E17" s="3" t="inlineStr">
        <is>
          <t>alt text</t>
        </is>
      </c>
      <c r="F17" s="3" t="inlineStr">
        <is>
          <t>Black Haunted House Trick or Treat Comforter Set displayed in a main product mockup</t>
        </is>
      </c>
      <c r="G17" s="3" t="inlineStr">
        <is>
          <t>Fresh image file: D:\Shopify_Workspace\jeminise_seo\seo_runs\jeminise.com\20260906_234129\qa\20260907_213100\images\172_01.jpg; source URL: https://cdn.shopify.com/s/files/1/0792/5098/1063/files/5f6b3ffa6d1b25d15b04641037bd7eb2b56065ea9e8dbb07633375ab9f848645.jpg?v=1787936329</t>
        </is>
      </c>
      <c r="H17" s="3" t="inlineStr">
        <is>
          <t>Alt text is too generic or describes placement more than visible content.</t>
        </is>
      </c>
      <c r="I17" s="3" t="inlineStr">
        <is>
          <t>Rewrite observation/alt from the directly opened image, naming the visible motif and use context.</t>
        </is>
      </c>
      <c r="J17" s="3" t="inlineStr">
        <is>
          <t>Fresh image file: D:\Shopify_Workspace\jeminise_seo\seo_runs\jeminise.com\20260906_234129\qa\20260907_213100\images\172_01.jpg; source URL: https://cdn.shopify.com/s/files/1/0792/5098/1063/files/5f6b3ffa6d1b25d15b04641037bd7eb2b56065ea9e8dbb07633375ab9f848645.jpg?v=1787936329</t>
        </is>
      </c>
      <c r="K17" s="3" t="inlineStr">
        <is>
          <t>The image row accurately describes the actual media at this gallery position.</t>
        </is>
      </c>
    </row>
    <row r="18" ht="84" customHeight="1">
      <c r="A18" s="2" t="inlineStr">
        <is>
          <t>ISSUE-0017</t>
        </is>
      </c>
      <c r="B18" s="2" t="inlineStr">
        <is>
          <t>jeminise.com+pamnest-twin-halloween-comforter-set-with-sheets-5-pieces-design-09</t>
        </is>
      </c>
      <c r="C18" s="2" t="inlineStr">
        <is>
          <t>img_2bace2a7bdf71881</t>
        </is>
      </c>
      <c r="D18" s="2" t="inlineStr">
        <is>
          <t>MINOR</t>
        </is>
      </c>
      <c r="E18" s="2" t="inlineStr">
        <is>
          <t>image observation</t>
        </is>
      </c>
      <c r="F18" s="2" t="inlineStr">
        <is>
          <t>Bedding type, feature, lifestyle or material image for black haunted house trick or treat comforter set.</t>
        </is>
      </c>
      <c r="G18" s="2" t="inlineStr">
        <is>
          <t>Fresh image file: D:\Shopify_Workspace\jeminise_seo\seo_runs\jeminise.com\20260906_234129\qa\20260907_213100\images\172_03.jpg; source URL: https://cdn.shopify.com/s/files/1/0792/5098/1063/files/292b1822d4957871ea066bd5256725b3c42b3da499773973f5481529a7dff977.jpg?v=1787936329</t>
        </is>
      </c>
      <c r="H18" s="2" t="inlineStr">
        <is>
          <t>Observation is generic or position-based; rewrite from the actual image content.</t>
        </is>
      </c>
      <c r="I18" s="2" t="inlineStr">
        <is>
          <t>Rewrite observation/alt from the directly opened image, naming the visible motif and use context.</t>
        </is>
      </c>
      <c r="J18" s="2" t="inlineStr">
        <is>
          <t>Fresh image file: D:\Shopify_Workspace\jeminise_seo\seo_runs\jeminise.com\20260906_234129\qa\20260907_213100\images\172_03.jpg; source URL: https://cdn.shopify.com/s/files/1/0792/5098/1063/files/292b1822d4957871ea066bd5256725b3c42b3da499773973f5481529a7dff977.jpg?v=1787936329</t>
        </is>
      </c>
      <c r="K18" s="2" t="inlineStr">
        <is>
          <t>The image row accurately describes the actual media at this gallery position.</t>
        </is>
      </c>
    </row>
    <row r="19" ht="84" customHeight="1">
      <c r="A19" s="3" t="inlineStr">
        <is>
          <t>ISSUE-0018</t>
        </is>
      </c>
      <c r="B19" s="3" t="inlineStr">
        <is>
          <t>jeminise.com+pamnest-twin-halloween-comforter-set-with-sheets-5-pieces-design-09</t>
        </is>
      </c>
      <c r="C19" s="3" t="inlineStr">
        <is>
          <t>img_02b2a28b70c586b5</t>
        </is>
      </c>
      <c r="D19" s="3" t="inlineStr">
        <is>
          <t>MINOR</t>
        </is>
      </c>
      <c r="E19" s="3" t="inlineStr">
        <is>
          <t>image observation</t>
        </is>
      </c>
      <c r="F19" s="3" t="inlineStr">
        <is>
          <t>Detail, feature panel or lifestyle image connected to black haunted house trick or treat comforter set.</t>
        </is>
      </c>
      <c r="G19" s="3" t="inlineStr">
        <is>
          <t>Fresh image file: D:\Shopify_Workspace\jeminise_seo\seo_runs\jeminise.com\20260906_234129\qa\20260907_213100\images\172_04.jpg; source URL: https://cdn.shopify.com/s/files/1/0792/5098/1063/files/1aa720a0e20bf14801e041af538733bf6e42104b44e5ee6952dcd10b1be384f9.jpg?v=1787936345</t>
        </is>
      </c>
      <c r="H19" s="3" t="inlineStr">
        <is>
          <t>Observation is generic or position-based; rewrite from the actual image content.</t>
        </is>
      </c>
      <c r="I19" s="3" t="inlineStr">
        <is>
          <t>Rewrite observation/alt from the directly opened image, naming the visible motif and use context.</t>
        </is>
      </c>
      <c r="J19" s="3" t="inlineStr">
        <is>
          <t>Fresh image file: D:\Shopify_Workspace\jeminise_seo\seo_runs\jeminise.com\20260906_234129\qa\20260907_213100\images\172_04.jpg; source URL: https://cdn.shopify.com/s/files/1/0792/5098/1063/files/1aa720a0e20bf14801e041af538733bf6e42104b44e5ee6952dcd10b1be384f9.jpg?v=1787936345</t>
        </is>
      </c>
      <c r="K19" s="3" t="inlineStr">
        <is>
          <t>The image row accurately describes the actual media at this gallery position.</t>
        </is>
      </c>
    </row>
    <row r="20" ht="84" customHeight="1">
      <c r="A20" s="2" t="inlineStr">
        <is>
          <t>ISSUE-0019</t>
        </is>
      </c>
      <c r="B20" s="2" t="inlineStr">
        <is>
          <t>jeminise.com+pamnest-twin-halloween-comforter-set-with-sheets-5-pieces-design-09</t>
        </is>
      </c>
      <c r="C20" s="2" t="inlineStr">
        <is>
          <t>img_659c172950cfdf22</t>
        </is>
      </c>
      <c r="D20" s="2" t="inlineStr">
        <is>
          <t>MINOR</t>
        </is>
      </c>
      <c r="E20" s="2" t="inlineStr">
        <is>
          <t>image observation</t>
        </is>
      </c>
      <c r="F20" s="2" t="inlineStr">
        <is>
          <t>Easy-care, size guide or product feature image for black haunted house trick or treat comforter set.</t>
        </is>
      </c>
      <c r="G20" s="2" t="inlineStr">
        <is>
          <t>Fresh image file: D:\Shopify_Workspace\jeminise_seo\seo_runs\jeminise.com\20260906_234129\qa\20260907_213100\images\172_06.jpg; source URL: https://cdn.shopify.com/s/files/1/0792/5098/1063/files/6abf30b3d2c6cd0aff034437ff25ac87b964f7fc79cb73b460c7b0f17a36956d.jpg?v=1787936329</t>
        </is>
      </c>
      <c r="H20" s="2" t="inlineStr">
        <is>
          <t>Observation is generic or position-based; rewrite from the actual image content.</t>
        </is>
      </c>
      <c r="I20" s="2" t="inlineStr">
        <is>
          <t>Rewrite observation/alt from the directly opened image, naming the visible motif and use context.</t>
        </is>
      </c>
      <c r="J20" s="2" t="inlineStr">
        <is>
          <t>Fresh image file: D:\Shopify_Workspace\jeminise_seo\seo_runs\jeminise.com\20260906_234129\qa\20260907_213100\images\172_06.jpg; source URL: https://cdn.shopify.com/s/files/1/0792/5098/1063/files/6abf30b3d2c6cd0aff034437ff25ac87b964f7fc79cb73b460c7b0f17a36956d.jpg?v=1787936329</t>
        </is>
      </c>
      <c r="K20" s="2" t="inlineStr">
        <is>
          <t>The image row accurately describes the actual media at this gallery position.</t>
        </is>
      </c>
    </row>
    <row r="21" ht="84" customHeight="1">
      <c r="A21" s="3" t="inlineStr">
        <is>
          <t>ISSUE-0020</t>
        </is>
      </c>
      <c r="B21" s="3" t="inlineStr">
        <is>
          <t>jeminise.com+pamnest-twin-halloween-comforter-set-with-sheets-5-pieces-design-09</t>
        </is>
      </c>
      <c r="C21" s="3" t="inlineStr">
        <is>
          <t>img_659c172950cfdf22</t>
        </is>
      </c>
      <c r="D21" s="3" t="inlineStr">
        <is>
          <t>MINOR</t>
        </is>
      </c>
      <c r="E21" s="3" t="inlineStr">
        <is>
          <t>alt text</t>
        </is>
      </c>
      <c r="F21" s="3" t="inlineStr">
        <is>
          <t>Set contents, fabric or size chart image for Black Haunted House Trick or Treat Comforter Set</t>
        </is>
      </c>
      <c r="G21" s="3" t="inlineStr">
        <is>
          <t>Fresh image file: D:\Shopify_Workspace\jeminise_seo\seo_runs\jeminise.com\20260906_234129\qa\20260907_213100\images\172_06.jpg; source URL: https://cdn.shopify.com/s/files/1/0792/5098/1063/files/6abf30b3d2c6cd0aff034437ff25ac87b964f7fc79cb73b460c7b0f17a36956d.jpg?v=1787936329</t>
        </is>
      </c>
      <c r="H21" s="3" t="inlineStr">
        <is>
          <t>Alt text is too generic or describes placement more than visible content.</t>
        </is>
      </c>
      <c r="I21" s="3" t="inlineStr">
        <is>
          <t>Rewrite observation/alt from the directly opened image, naming the visible motif and use context.</t>
        </is>
      </c>
      <c r="J21" s="3" t="inlineStr">
        <is>
          <t>Fresh image file: D:\Shopify_Workspace\jeminise_seo\seo_runs\jeminise.com\20260906_234129\qa\20260907_213100\images\172_06.jpg; source URL: https://cdn.shopify.com/s/files/1/0792/5098/1063/files/6abf30b3d2c6cd0aff034437ff25ac87b964f7fc79cb73b460c7b0f17a36956d.jpg?v=1787936329</t>
        </is>
      </c>
      <c r="K21" s="3" t="inlineStr">
        <is>
          <t>The image row accurately describes the actual media at this gallery position.</t>
        </is>
      </c>
    </row>
    <row r="22" ht="84" customHeight="1">
      <c r="A22" s="2" t="inlineStr">
        <is>
          <t>ISSUE-0021</t>
        </is>
      </c>
      <c r="B22" s="2" t="inlineStr">
        <is>
          <t>jeminise.com+pamnest-twin-halloween-comforter-set-with-sheets-5-pieces-evil</t>
        </is>
      </c>
      <c r="C22" s="2" t="inlineStr"/>
      <c r="D22" s="2" t="inlineStr">
        <is>
          <t>CRITICAL</t>
        </is>
      </c>
      <c r="E22" s="2" t="inlineStr">
        <is>
          <t>personalization/customizer</t>
        </is>
      </c>
      <c r="F22" s="2"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t>
        </is>
      </c>
      <c r="G22" s="2" t="inlineStr">
        <is>
          <t>Draft claims customization/personalization but static live audit did not find a customizer root.</t>
        </is>
      </c>
      <c r="H22" s="2" t="inlineStr">
        <is>
          <t>Claim is materially unsafe until the live purchase flow exposes matching input controls.</t>
        </is>
      </c>
      <c r="I22" s="2" t="inlineStr">
        <is>
          <t>Remove/soften unsupported personalization claim, or provide admin/live proof that matching controls work.</t>
        </is>
      </c>
      <c r="J22" s="2" t="inlineStr">
        <is>
          <t>Draft claims customization/personalization but static live audit did not find a customizer root.</t>
        </is>
      </c>
      <c r="K22" s="2" t="inlineStr">
        <is>
          <t>Re-open live product and verify the exact name/number/photo input is present and mapped to fulfillment.</t>
        </is>
      </c>
    </row>
    <row r="23" ht="84" customHeight="1">
      <c r="A23" s="3" t="inlineStr">
        <is>
          <t>ISSUE-0022</t>
        </is>
      </c>
      <c r="B23" s="3" t="inlineStr">
        <is>
          <t>jeminise.com+pamnest-twin-halloween-comforter-set-with-sheets-5-pieces-evil</t>
        </is>
      </c>
      <c r="C23" s="3" t="inlineStr"/>
      <c r="D23" s="3" t="inlineStr">
        <is>
          <t>MAJOR</t>
        </is>
      </c>
      <c r="E23" s="3" t="inlineStr">
        <is>
          <t>description_proposed_html</t>
        </is>
      </c>
      <c r="F23" s="3"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t>
        </is>
      </c>
      <c r="G23" s="3" t="inlineStr">
        <is>
          <t>Draft contains SEO Use / QA approval wording.</t>
        </is>
      </c>
      <c r="H23" s="3" t="inlineStr">
        <is>
          <t>Internal workflow language is not publish-ready storefront copy.</t>
        </is>
      </c>
      <c r="I23" s="3" t="inlineStr">
        <is>
          <t>Remove internal QA/import block and replace with customer-facing verified copy.</t>
        </is>
      </c>
      <c r="J23" s="3" t="inlineStr">
        <is>
          <t>Draft contains SEO Use / QA approval wording.</t>
        </is>
      </c>
      <c r="K23" s="3" t="inlineStr">
        <is>
          <t>Description HTML no longer contains SEO Use, QA, approval, import or draft language.</t>
        </is>
      </c>
    </row>
    <row r="24" ht="84" customHeight="1">
      <c r="A24" s="2" t="inlineStr">
        <is>
          <t>ISSUE-0023</t>
        </is>
      </c>
      <c r="B24" s="2" t="inlineStr">
        <is>
          <t>jeminise.com+pamnest-twin-halloween-comforter-set-with-sheets-5-pieces-evil</t>
        </is>
      </c>
      <c r="C24" s="2" t="inlineStr"/>
      <c r="D24" s="2" t="inlineStr">
        <is>
          <t>MAJOR</t>
        </is>
      </c>
      <c r="E24" s="2" t="inlineStr">
        <is>
          <t>h1_proposed</t>
        </is>
      </c>
      <c r="F24" s="2" t="inlineStr"/>
      <c r="G24" s="2" t="inlineStr">
        <is>
          <t>The submitted workbook row has no proposed H1.</t>
        </is>
      </c>
      <c r="H24" s="2" t="inlineStr">
        <is>
          <t>A publishable SEO title/H1 pair is incomplete when the H1 field is blank.</t>
        </is>
      </c>
      <c r="I24" s="2" t="inlineStr">
        <is>
          <t>Write one English H1 that matches the verified product type and visible design; do not copy unsupported claims.</t>
        </is>
      </c>
      <c r="J24" s="2" t="inlineStr">
        <is>
          <t>The submitted workbook row has no proposed H1.</t>
        </is>
      </c>
      <c r="K24" s="2" t="inlineStr">
        <is>
          <t>Workbook contains a non-empty H1 and it is consistent with title, primary keyword and live product evidence.</t>
        </is>
      </c>
    </row>
    <row r="25" ht="84" customHeight="1">
      <c r="A25" s="3" t="inlineStr">
        <is>
          <t>ISSUE-0024</t>
        </is>
      </c>
      <c r="B25" s="3" t="inlineStr">
        <is>
          <t>jeminise.com+pamnest-twin-halloween-comforter-set-with-sheets-5-pieces-evil</t>
        </is>
      </c>
      <c r="C25" s="3" t="inlineStr"/>
      <c r="D25" s="3" t="inlineStr">
        <is>
          <t>MINOR</t>
        </is>
      </c>
      <c r="E25" s="3" t="inlineStr">
        <is>
          <t>meta_description_seo</t>
        </is>
      </c>
      <c r="F25" s="3" t="inlineStr">
        <is>
          <t>Shop a comforter set featuring cream Halloween bedding with jack-o-lantern pumpkins, white ghosts, bats, spiderwebs, stars and black ornamental accents. Review available sizes and personalization options before checkout.</t>
        </is>
      </c>
      <c r="G25" s="3" t="inlineStr">
        <is>
          <t>Meta description length is 220 characters.</t>
        </is>
      </c>
      <c r="H25" s="3" t="inlineStr">
        <is>
          <t>Likely to truncate in search results and repeats review/personality wording in several rows.</t>
        </is>
      </c>
      <c r="I25" s="3" t="inlineStr">
        <is>
          <t>Rewrite to roughly 145-155 characters while preserving verified design and product type.</t>
        </is>
      </c>
      <c r="J25" s="3" t="inlineStr">
        <is>
          <t>Meta description length is 220 characters.</t>
        </is>
      </c>
      <c r="K25" s="3" t="inlineStr">
        <is>
          <t>Length check &lt;=160 characters and no unsupported claim remains.</t>
        </is>
      </c>
    </row>
    <row r="26" ht="84" customHeight="1">
      <c r="A26" s="2" t="inlineStr">
        <is>
          <t>ISSUE-0025</t>
        </is>
      </c>
      <c r="B26" s="2" t="inlineStr">
        <is>
          <t>jeminise.com+pamnest-twin-halloween-comforter-set-with-sheets-5-pieces-evil</t>
        </is>
      </c>
      <c r="C26" s="2" t="inlineStr"/>
      <c r="D26" s="2" t="inlineStr">
        <is>
          <t>LIMITATION</t>
        </is>
      </c>
      <c r="E26" s="2" t="inlineStr">
        <is>
          <t>keyword_evidence_level</t>
        </is>
      </c>
      <c r="F26" s="2" t="inlineStr">
        <is>
          <t>SERP_ONLY</t>
        </is>
      </c>
      <c r="G26" s="2" t="inlineStr">
        <is>
          <t>Only public SERP comparables are available.</t>
        </is>
      </c>
      <c r="H26" s="2" t="inlineStr">
        <is>
          <t>No Search Console, paid keyword volume or internal site search export was supplied.</t>
        </is>
      </c>
      <c r="I26" s="2" t="inlineStr">
        <is>
          <t>Keep demand statements qualitative; do not claim volume or ranking potential.</t>
        </is>
      </c>
      <c r="J26" s="2" t="inlineStr">
        <is>
          <t>Only public SERP comparables are available.</t>
        </is>
      </c>
      <c r="K26" s="2" t="inlineStr">
        <is>
          <t>Additional first-party or paid keyword evidence is attached, or limitation remains documented.</t>
        </is>
      </c>
    </row>
    <row r="27" ht="84" customHeight="1">
      <c r="A27" s="3" t="inlineStr">
        <is>
          <t>ISSUE-0026</t>
        </is>
      </c>
      <c r="B27" s="3" t="inlineStr">
        <is>
          <t>jeminise.com+pamnest-twin-halloween-comforter-set-with-sheets-5-pieces-evil</t>
        </is>
      </c>
      <c r="C27" s="3" t="inlineStr">
        <is>
          <t>img_ef046bf485095cdd</t>
        </is>
      </c>
      <c r="D27" s="3" t="inlineStr">
        <is>
          <t>MINOR</t>
        </is>
      </c>
      <c r="E27" s="3" t="inlineStr">
        <is>
          <t>alt text</t>
        </is>
      </c>
      <c r="F27" s="3" t="inlineStr">
        <is>
          <t>Cream Pumpkin Ghost Halloween Comforter Set displayed in a main product mockup</t>
        </is>
      </c>
      <c r="G27" s="3" t="inlineStr">
        <is>
          <t>Fresh image file: D:\Shopify_Workspace\jeminise_seo\seo_runs\jeminise.com\20260906_234129\qa\20260907_213100\images\173_01.jpg; source URL: https://cdn.shopify.com/s/files/1/0792/5098/1063/files/1f37711843552e811d34b03499b81c9d5785fd1cc3e1583509a63c36390e6e7d.jpg?v=1787936145</t>
        </is>
      </c>
      <c r="H27" s="3" t="inlineStr">
        <is>
          <t>Alt text is too generic or describes placement more than visible content.</t>
        </is>
      </c>
      <c r="I27" s="3" t="inlineStr">
        <is>
          <t>Rewrite observation/alt from the directly opened image, naming the visible motif and use context.</t>
        </is>
      </c>
      <c r="J27" s="3" t="inlineStr">
        <is>
          <t>Fresh image file: D:\Shopify_Workspace\jeminise_seo\seo_runs\jeminise.com\20260906_234129\qa\20260907_213100\images\173_01.jpg; source URL: https://cdn.shopify.com/s/files/1/0792/5098/1063/files/1f37711843552e811d34b03499b81c9d5785fd1cc3e1583509a63c36390e6e7d.jpg?v=1787936145</t>
        </is>
      </c>
      <c r="K27" s="3" t="inlineStr">
        <is>
          <t>The image row accurately describes the actual media at this gallery position.</t>
        </is>
      </c>
    </row>
    <row r="28" ht="84" customHeight="1">
      <c r="A28" s="2" t="inlineStr">
        <is>
          <t>ISSUE-0027</t>
        </is>
      </c>
      <c r="B28" s="2" t="inlineStr">
        <is>
          <t>jeminise.com+pamnest-twin-halloween-comforter-set-with-sheets-5-pieces-evil</t>
        </is>
      </c>
      <c r="C28" s="2" t="inlineStr">
        <is>
          <t>img_35208c1ace406225</t>
        </is>
      </c>
      <c r="D28" s="2" t="inlineStr">
        <is>
          <t>MINOR</t>
        </is>
      </c>
      <c r="E28" s="2" t="inlineStr">
        <is>
          <t>image observation</t>
        </is>
      </c>
      <c r="F28" s="2" t="inlineStr">
        <is>
          <t>Bedding type, feature, lifestyle or material image for cream pumpkin ghost Halloween comforter set.</t>
        </is>
      </c>
      <c r="G28" s="2" t="inlineStr">
        <is>
          <t>Fresh image file: D:\Shopify_Workspace\jeminise_seo\seo_runs\jeminise.com\20260906_234129\qa\20260907_213100\images\173_03.jpg; source URL: https://cdn.shopify.com/s/files/1/0792/5098/1063/files/1979a29f833fb8025e53c517613c6d03b36c25e8662d27c2fb6bc34a912889c3.jpg?v=1787936144</t>
        </is>
      </c>
      <c r="H28" s="2" t="inlineStr">
        <is>
          <t>Observation is generic or position-based; rewrite from the actual image content.</t>
        </is>
      </c>
      <c r="I28" s="2" t="inlineStr">
        <is>
          <t>Rewrite observation/alt from the directly opened image, naming the visible motif and use context.</t>
        </is>
      </c>
      <c r="J28" s="2" t="inlineStr">
        <is>
          <t>Fresh image file: D:\Shopify_Workspace\jeminise_seo\seo_runs\jeminise.com\20260906_234129\qa\20260907_213100\images\173_03.jpg; source URL: https://cdn.shopify.com/s/files/1/0792/5098/1063/files/1979a29f833fb8025e53c517613c6d03b36c25e8662d27c2fb6bc34a912889c3.jpg?v=1787936144</t>
        </is>
      </c>
      <c r="K28" s="2" t="inlineStr">
        <is>
          <t>The image row accurately describes the actual media at this gallery position.</t>
        </is>
      </c>
    </row>
    <row r="29" ht="84" customHeight="1">
      <c r="A29" s="3" t="inlineStr">
        <is>
          <t>ISSUE-0028</t>
        </is>
      </c>
      <c r="B29" s="3" t="inlineStr">
        <is>
          <t>jeminise.com+pamnest-twin-halloween-comforter-set-with-sheets-5-pieces-evil</t>
        </is>
      </c>
      <c r="C29" s="3" t="inlineStr">
        <is>
          <t>img_7b07518c8c20b27d</t>
        </is>
      </c>
      <c r="D29" s="3" t="inlineStr">
        <is>
          <t>MINOR</t>
        </is>
      </c>
      <c r="E29" s="3" t="inlineStr">
        <is>
          <t>image observation</t>
        </is>
      </c>
      <c r="F29" s="3" t="inlineStr">
        <is>
          <t>Detail, feature panel or lifestyle image connected to cream pumpkin ghost Halloween comforter set.</t>
        </is>
      </c>
      <c r="G29" s="3" t="inlineStr">
        <is>
          <t>Fresh image file: D:\Shopify_Workspace\jeminise_seo\seo_runs\jeminise.com\20260906_234129\qa\20260907_213100\images\173_04.jpg; source URL: https://cdn.shopify.com/s/files/1/0792/5098/1063/files/bacf0277965f8020606b9e83034a662044f1253d4027305dac42b9ee615e71ad.jpg?v=1787936144</t>
        </is>
      </c>
      <c r="H29" s="3" t="inlineStr">
        <is>
          <t>Observation is generic or position-based; rewrite from the actual image content.</t>
        </is>
      </c>
      <c r="I29" s="3" t="inlineStr">
        <is>
          <t>Rewrite observation/alt from the directly opened image, naming the visible motif and use context.</t>
        </is>
      </c>
      <c r="J29" s="3" t="inlineStr">
        <is>
          <t>Fresh image file: D:\Shopify_Workspace\jeminise_seo\seo_runs\jeminise.com\20260906_234129\qa\20260907_213100\images\173_04.jpg; source URL: https://cdn.shopify.com/s/files/1/0792/5098/1063/files/bacf0277965f8020606b9e83034a662044f1253d4027305dac42b9ee615e71ad.jpg?v=1787936144</t>
        </is>
      </c>
      <c r="K29" s="3" t="inlineStr">
        <is>
          <t>The image row accurately describes the actual media at this gallery position.</t>
        </is>
      </c>
    </row>
    <row r="30" ht="84" customHeight="1">
      <c r="A30" s="2" t="inlineStr">
        <is>
          <t>ISSUE-0029</t>
        </is>
      </c>
      <c r="B30" s="2" t="inlineStr">
        <is>
          <t>jeminise.com+pamnest-twin-halloween-comforter-set-with-sheets-5-pieces-evil</t>
        </is>
      </c>
      <c r="C30" s="2" t="inlineStr">
        <is>
          <t>img_d10055c42fc60dfc</t>
        </is>
      </c>
      <c r="D30" s="2" t="inlineStr">
        <is>
          <t>MINOR</t>
        </is>
      </c>
      <c r="E30" s="2" t="inlineStr">
        <is>
          <t>image observation</t>
        </is>
      </c>
      <c r="F30" s="2" t="inlineStr">
        <is>
          <t>Easy-care, size guide or product feature image for cream pumpkin ghost Halloween comforter set.</t>
        </is>
      </c>
      <c r="G30" s="2" t="inlineStr">
        <is>
          <t>Fresh image file: D:\Shopify_Workspace\jeminise_seo\seo_runs\jeminise.com\20260906_234129\qa\20260907_213100\images\173_06.jpg; source URL: https://cdn.shopify.com/s/files/1/0792/5098/1063/files/51c5512488c313adc9a08e18c0f0de957e7d3f41ed5d2ce794cb6765b7051f7f.jpg?v=1787936144</t>
        </is>
      </c>
      <c r="H30" s="2" t="inlineStr">
        <is>
          <t>Observation is generic or position-based; rewrite from the actual image content.</t>
        </is>
      </c>
      <c r="I30" s="2" t="inlineStr">
        <is>
          <t>Rewrite observation/alt from the directly opened image, naming the visible motif and use context.</t>
        </is>
      </c>
      <c r="J30" s="2" t="inlineStr">
        <is>
          <t>Fresh image file: D:\Shopify_Workspace\jeminise_seo\seo_runs\jeminise.com\20260906_234129\qa\20260907_213100\images\173_06.jpg; source URL: https://cdn.shopify.com/s/files/1/0792/5098/1063/files/51c5512488c313adc9a08e18c0f0de957e7d3f41ed5d2ce794cb6765b7051f7f.jpg?v=1787936144</t>
        </is>
      </c>
      <c r="K30" s="2" t="inlineStr">
        <is>
          <t>The image row accurately describes the actual media at this gallery position.</t>
        </is>
      </c>
    </row>
    <row r="31" ht="84" customHeight="1">
      <c r="A31" s="3" t="inlineStr">
        <is>
          <t>ISSUE-0030</t>
        </is>
      </c>
      <c r="B31" s="3" t="inlineStr">
        <is>
          <t>jeminise.com+pamnest-twin-halloween-comforter-set-with-sheets-5-pieces-evil</t>
        </is>
      </c>
      <c r="C31" s="3" t="inlineStr">
        <is>
          <t>img_d10055c42fc60dfc</t>
        </is>
      </c>
      <c r="D31" s="3" t="inlineStr">
        <is>
          <t>MINOR</t>
        </is>
      </c>
      <c r="E31" s="3" t="inlineStr">
        <is>
          <t>alt text</t>
        </is>
      </c>
      <c r="F31" s="3" t="inlineStr">
        <is>
          <t>Set contents, fabric or size chart image for Cream Pumpkin Ghost Halloween Comforter Set</t>
        </is>
      </c>
      <c r="G31" s="3" t="inlineStr">
        <is>
          <t>Fresh image file: D:\Shopify_Workspace\jeminise_seo\seo_runs\jeminise.com\20260906_234129\qa\20260907_213100\images\173_06.jpg; source URL: https://cdn.shopify.com/s/files/1/0792/5098/1063/files/51c5512488c313adc9a08e18c0f0de957e7d3f41ed5d2ce794cb6765b7051f7f.jpg?v=1787936144</t>
        </is>
      </c>
      <c r="H31" s="3" t="inlineStr">
        <is>
          <t>Alt text is too generic or describes placement more than visible content.</t>
        </is>
      </c>
      <c r="I31" s="3" t="inlineStr">
        <is>
          <t>Rewrite observation/alt from the directly opened image, naming the visible motif and use context.</t>
        </is>
      </c>
      <c r="J31" s="3" t="inlineStr">
        <is>
          <t>Fresh image file: D:\Shopify_Workspace\jeminise_seo\seo_runs\jeminise.com\20260906_234129\qa\20260907_213100\images\173_06.jpg; source URL: https://cdn.shopify.com/s/files/1/0792/5098/1063/files/51c5512488c313adc9a08e18c0f0de957e7d3f41ed5d2ce794cb6765b7051f7f.jpg?v=1787936144</t>
        </is>
      </c>
      <c r="K31" s="3" t="inlineStr">
        <is>
          <t>The image row accurately describes the actual media at this gallery position.</t>
        </is>
      </c>
    </row>
    <row r="32" ht="84" customHeight="1">
      <c r="A32" s="2" t="inlineStr">
        <is>
          <t>ISSUE-0031</t>
        </is>
      </c>
      <c r="B32" s="2" t="inlineStr">
        <is>
          <t>jeminise.com+personalized-and-romance-music-player-interface-quilt-with-photo-b8a3dc4155-b8a3dc4155</t>
        </is>
      </c>
      <c r="C32" s="2" t="inlineStr"/>
      <c r="D32" s="2" t="inlineStr">
        <is>
          <t>MAJOR</t>
        </is>
      </c>
      <c r="E32" s="2" t="inlineStr">
        <is>
          <t>description_proposed_html</t>
        </is>
      </c>
      <c r="F32" s="2"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t>
        </is>
      </c>
      <c r="G32" s="2" t="inlineStr">
        <is>
          <t>Draft contains SEO Use / QA approval wording.</t>
        </is>
      </c>
      <c r="H32" s="2" t="inlineStr">
        <is>
          <t>Internal workflow language is not publish-ready storefront copy.</t>
        </is>
      </c>
      <c r="I32" s="2" t="inlineStr">
        <is>
          <t>Remove internal QA/import block and replace with customer-facing verified copy.</t>
        </is>
      </c>
      <c r="J32" s="2" t="inlineStr">
        <is>
          <t>Draft contains SEO Use / QA approval wording.</t>
        </is>
      </c>
      <c r="K32" s="2" t="inlineStr">
        <is>
          <t>Description HTML no longer contains SEO Use, QA, approval, import or draft language.</t>
        </is>
      </c>
    </row>
    <row r="33" ht="84" customHeight="1">
      <c r="A33" s="3" t="inlineStr">
        <is>
          <t>ISSUE-0032</t>
        </is>
      </c>
      <c r="B33" s="3" t="inlineStr">
        <is>
          <t>jeminise.com+personalized-and-romance-music-player-interface-quilt-with-photo-b8a3dc4155-b8a3dc4155</t>
        </is>
      </c>
      <c r="C33" s="3" t="inlineStr"/>
      <c r="D33" s="3" t="inlineStr">
        <is>
          <t>MAJOR</t>
        </is>
      </c>
      <c r="E33" s="3" t="inlineStr">
        <is>
          <t>h1_proposed</t>
        </is>
      </c>
      <c r="F33" s="3" t="inlineStr"/>
      <c r="G33" s="3" t="inlineStr">
        <is>
          <t>The submitted workbook row has no proposed H1.</t>
        </is>
      </c>
      <c r="H33" s="3" t="inlineStr">
        <is>
          <t>A publishable SEO title/H1 pair is incomplete when the H1 field is blank.</t>
        </is>
      </c>
      <c r="I33" s="3" t="inlineStr">
        <is>
          <t>Write one English H1 that matches the verified product type and visible design; do not copy unsupported claims.</t>
        </is>
      </c>
      <c r="J33" s="3" t="inlineStr">
        <is>
          <t>The submitted workbook row has no proposed H1.</t>
        </is>
      </c>
      <c r="K33" s="3" t="inlineStr">
        <is>
          <t>Workbook contains a non-empty H1 and it is consistent with title, primary keyword and live product evidence.</t>
        </is>
      </c>
    </row>
    <row r="34" ht="84" customHeight="1">
      <c r="A34" s="2" t="inlineStr">
        <is>
          <t>ISSUE-0033</t>
        </is>
      </c>
      <c r="B34" s="2" t="inlineStr">
        <is>
          <t>jeminise.com+personalized-and-romance-music-player-interface-quilt-with-photo-b8a3dc4155-b8a3dc4155</t>
        </is>
      </c>
      <c r="C34" s="2" t="inlineStr"/>
      <c r="D34" s="2" t="inlineStr">
        <is>
          <t>MINOR</t>
        </is>
      </c>
      <c r="E34" s="2" t="inlineStr">
        <is>
          <t>meta_description_seo</t>
        </is>
      </c>
      <c r="F34" s="2" t="inlineStr">
        <is>
          <t>Shop a quilt set featuring custom photo quilt with a music player interface, song name, artist name, play controls and waveform graphics. Review available sizes and personalization options before checkout.</t>
        </is>
      </c>
      <c r="G34" s="2" t="inlineStr">
        <is>
          <t>Meta description length is 205 characters.</t>
        </is>
      </c>
      <c r="H34" s="2" t="inlineStr">
        <is>
          <t>Likely to truncate in search results and repeats review/personality wording in several rows.</t>
        </is>
      </c>
      <c r="I34" s="2" t="inlineStr">
        <is>
          <t>Rewrite to roughly 145-155 characters while preserving verified design and product type.</t>
        </is>
      </c>
      <c r="J34" s="2" t="inlineStr">
        <is>
          <t>Meta description length is 205 characters.</t>
        </is>
      </c>
      <c r="K34" s="2" t="inlineStr">
        <is>
          <t>Length check &lt;=160 characters and no unsupported claim remains.</t>
        </is>
      </c>
    </row>
    <row r="35" ht="84" customHeight="1">
      <c r="A35" s="3" t="inlineStr">
        <is>
          <t>ISSUE-0034</t>
        </is>
      </c>
      <c r="B35" s="3" t="inlineStr">
        <is>
          <t>jeminise.com+personalized-and-romance-music-player-interface-quilt-with-photo-b8a3dc4155-b8a3dc4155</t>
        </is>
      </c>
      <c r="C35" s="3" t="inlineStr"/>
      <c r="D35" s="3" t="inlineStr">
        <is>
          <t>LIMITATION</t>
        </is>
      </c>
      <c r="E35" s="3" t="inlineStr">
        <is>
          <t>keyword_evidence_level</t>
        </is>
      </c>
      <c r="F35" s="3" t="inlineStr">
        <is>
          <t>SERP_ONLY</t>
        </is>
      </c>
      <c r="G35" s="3" t="inlineStr">
        <is>
          <t>Only public SERP comparables are available.</t>
        </is>
      </c>
      <c r="H35" s="3" t="inlineStr">
        <is>
          <t>No Search Console, paid keyword volume or internal site search export was supplied.</t>
        </is>
      </c>
      <c r="I35" s="3" t="inlineStr">
        <is>
          <t>Keep demand statements qualitative; do not claim volume or ranking potential.</t>
        </is>
      </c>
      <c r="J35" s="3" t="inlineStr">
        <is>
          <t>Only public SERP comparables are available.</t>
        </is>
      </c>
      <c r="K35" s="3" t="inlineStr">
        <is>
          <t>Additional first-party or paid keyword evidence is attached, or limitation remains documented.</t>
        </is>
      </c>
    </row>
    <row r="36" ht="84" customHeight="1">
      <c r="A36" s="2" t="inlineStr">
        <is>
          <t>ISSUE-0035</t>
        </is>
      </c>
      <c r="B36" s="2" t="inlineStr">
        <is>
          <t>jeminise.com+personalized-and-romance-music-player-interface-quilt-with-photo-b8a3dc4155-b8a3dc4155</t>
        </is>
      </c>
      <c r="C36" s="2" t="inlineStr">
        <is>
          <t>img_276999e589860388</t>
        </is>
      </c>
      <c r="D36" s="2" t="inlineStr">
        <is>
          <t>MINOR</t>
        </is>
      </c>
      <c r="E36" s="2" t="inlineStr">
        <is>
          <t>alt text</t>
        </is>
      </c>
      <c r="F36" s="2" t="inlineStr">
        <is>
          <t>Personalized Photo Music Player Quilt displayed in a main product mockup</t>
        </is>
      </c>
      <c r="G36" s="2" t="inlineStr">
        <is>
          <t>Fresh image file: D:\Shopify_Workspace\jeminise_seo\seo_runs\jeminise.com\20260906_234129\qa\20260907_213100\images\174_01.jpg; source URL: https://cdn.shopify.com/s/files/1/0792/5098/1063/files/9df0bd134caafb80cef543e0fa9ad7f956cd590354e7ab38b19d069b5fedd77a.jpg?v=1785103605</t>
        </is>
      </c>
      <c r="H36" s="2" t="inlineStr">
        <is>
          <t>Alt text is too generic or describes placement more than visible content.</t>
        </is>
      </c>
      <c r="I36" s="2" t="inlineStr">
        <is>
          <t>Rewrite observation/alt from the directly opened image, naming the visible motif and use context.</t>
        </is>
      </c>
      <c r="J36" s="2" t="inlineStr">
        <is>
          <t>Fresh image file: D:\Shopify_Workspace\jeminise_seo\seo_runs\jeminise.com\20260906_234129\qa\20260907_213100\images\174_01.jpg; source URL: https://cdn.shopify.com/s/files/1/0792/5098/1063/files/9df0bd134caafb80cef543e0fa9ad7f956cd590354e7ab38b19d069b5fedd77a.jpg?v=1785103605</t>
        </is>
      </c>
      <c r="K36" s="2" t="inlineStr">
        <is>
          <t>The image row accurately describes the actual media at this gallery position.</t>
        </is>
      </c>
    </row>
    <row r="37" ht="84" customHeight="1">
      <c r="A37" s="3" t="inlineStr">
        <is>
          <t>ISSUE-0036</t>
        </is>
      </c>
      <c r="B37" s="3" t="inlineStr">
        <is>
          <t>jeminise.com+personalized-and-romance-music-player-interface-quilt-with-photo-b8a3dc4155-b8a3dc4155</t>
        </is>
      </c>
      <c r="C37" s="3" t="inlineStr">
        <is>
          <t>img_3b4a8796d4c806d9</t>
        </is>
      </c>
      <c r="D37" s="3" t="inlineStr">
        <is>
          <t>MINOR</t>
        </is>
      </c>
      <c r="E37" s="3" t="inlineStr">
        <is>
          <t>image observation</t>
        </is>
      </c>
      <c r="F37" s="3" t="inlineStr">
        <is>
          <t>Bedding type, feature, lifestyle or material image for personalized photo music player quilt.</t>
        </is>
      </c>
      <c r="G37" s="3" t="inlineStr">
        <is>
          <t>Fresh image file: D:\Shopify_Workspace\jeminise_seo\seo_runs\jeminise.com\20260906_234129\qa\20260907_213100\images\174_03.jpg; source URL: https://cdn.shopify.com/s/files/1/0792/5098/1063/files/ada188324d65131d6d5d25a2a12d7b12cae7dc6a6a29f750589e8acc2aadf240.jpg?v=1785103605</t>
        </is>
      </c>
      <c r="H37" s="3" t="inlineStr">
        <is>
          <t>Observation is generic or position-based; rewrite from the actual image content.</t>
        </is>
      </c>
      <c r="I37" s="3" t="inlineStr">
        <is>
          <t>Rewrite observation/alt from the directly opened image, naming the visible motif and use context.</t>
        </is>
      </c>
      <c r="J37" s="3" t="inlineStr">
        <is>
          <t>Fresh image file: D:\Shopify_Workspace\jeminise_seo\seo_runs\jeminise.com\20260906_234129\qa\20260907_213100\images\174_03.jpg; source URL: https://cdn.shopify.com/s/files/1/0792/5098/1063/files/ada188324d65131d6d5d25a2a12d7b12cae7dc6a6a29f750589e8acc2aadf240.jpg?v=1785103605</t>
        </is>
      </c>
      <c r="K37" s="3" t="inlineStr">
        <is>
          <t>The image row accurately describes the actual media at this gallery position.</t>
        </is>
      </c>
    </row>
    <row r="38" ht="84" customHeight="1">
      <c r="A38" s="2" t="inlineStr">
        <is>
          <t>ISSUE-0037</t>
        </is>
      </c>
      <c r="B38" s="2" t="inlineStr">
        <is>
          <t>jeminise.com+personalized-and-romance-music-player-interface-quilt-with-photo-b8a3dc4155-b8a3dc4155</t>
        </is>
      </c>
      <c r="C38" s="2" t="inlineStr">
        <is>
          <t>img_ed3a2326f13c7492</t>
        </is>
      </c>
      <c r="D38" s="2" t="inlineStr">
        <is>
          <t>MINOR</t>
        </is>
      </c>
      <c r="E38" s="2" t="inlineStr">
        <is>
          <t>image observation</t>
        </is>
      </c>
      <c r="F38" s="2" t="inlineStr">
        <is>
          <t>Detail, feature panel or lifestyle image connected to personalized photo music player quilt.</t>
        </is>
      </c>
      <c r="G38" s="2" t="inlineStr">
        <is>
          <t>Fresh image file: D:\Shopify_Workspace\jeminise_seo\seo_runs\jeminise.com\20260906_234129\qa\20260907_213100\images\174_04.jpg; source URL: https://cdn.shopify.com/s/files/1/0792/5098/1063/files/0ef4a2cf2af0944419c4d2e67a29d6f9d4c5405e2e59137b056c95c1f1eccfd1.jpg?v=1785103605</t>
        </is>
      </c>
      <c r="H38" s="2" t="inlineStr">
        <is>
          <t>Observation is generic or position-based; rewrite from the actual image content.</t>
        </is>
      </c>
      <c r="I38" s="2" t="inlineStr">
        <is>
          <t>Rewrite observation/alt from the directly opened image, naming the visible motif and use context.</t>
        </is>
      </c>
      <c r="J38" s="2" t="inlineStr">
        <is>
          <t>Fresh image file: D:\Shopify_Workspace\jeminise_seo\seo_runs\jeminise.com\20260906_234129\qa\20260907_213100\images\174_04.jpg; source URL: https://cdn.shopify.com/s/files/1/0792/5098/1063/files/0ef4a2cf2af0944419c4d2e67a29d6f9d4c5405e2e59137b056c95c1f1eccfd1.jpg?v=1785103605</t>
        </is>
      </c>
      <c r="K38" s="2" t="inlineStr">
        <is>
          <t>The image row accurately describes the actual media at this gallery position.</t>
        </is>
      </c>
    </row>
    <row r="39" ht="84" customHeight="1">
      <c r="A39" s="3" t="inlineStr">
        <is>
          <t>ISSUE-0038</t>
        </is>
      </c>
      <c r="B39" s="3" t="inlineStr">
        <is>
          <t>jeminise.com+personalized-and-romance-music-player-interface-quilt-with-photo-b8a3dc4155-b8a3dc4155</t>
        </is>
      </c>
      <c r="C39" s="3" t="inlineStr">
        <is>
          <t>img_6d222095b5b6acb3</t>
        </is>
      </c>
      <c r="D39" s="3" t="inlineStr">
        <is>
          <t>MINOR</t>
        </is>
      </c>
      <c r="E39" s="3" t="inlineStr">
        <is>
          <t>image observation</t>
        </is>
      </c>
      <c r="F39" s="3" t="inlineStr">
        <is>
          <t>Easy-care, size guide or product feature image for personalized photo music player quilt.</t>
        </is>
      </c>
      <c r="G39" s="3" t="inlineStr">
        <is>
          <t>Fresh image file: D:\Shopify_Workspace\jeminise_seo\seo_runs\jeminise.com\20260906_234129\qa\20260907_213100\images\174_06.jpg; source URL: https://cdn.shopify.com/s/files/1/0792/5098/1063/files/89f35e8d5de515e1b75dcf0c65c85ef13b058ae4f9983fe7da44c702d7374b45.jpg?v=1785103605</t>
        </is>
      </c>
      <c r="H39" s="3" t="inlineStr">
        <is>
          <t>Observation is generic or position-based; rewrite from the actual image content.</t>
        </is>
      </c>
      <c r="I39" s="3" t="inlineStr">
        <is>
          <t>Rewrite observation/alt from the directly opened image, naming the visible motif and use context.</t>
        </is>
      </c>
      <c r="J39" s="3" t="inlineStr">
        <is>
          <t>Fresh image file: D:\Shopify_Workspace\jeminise_seo\seo_runs\jeminise.com\20260906_234129\qa\20260907_213100\images\174_06.jpg; source URL: https://cdn.shopify.com/s/files/1/0792/5098/1063/files/89f35e8d5de515e1b75dcf0c65c85ef13b058ae4f9983fe7da44c702d7374b45.jpg?v=1785103605</t>
        </is>
      </c>
      <c r="K39" s="3" t="inlineStr">
        <is>
          <t>The image row accurately describes the actual media at this gallery position.</t>
        </is>
      </c>
    </row>
    <row r="40" ht="84" customHeight="1">
      <c r="A40" s="2" t="inlineStr">
        <is>
          <t>ISSUE-0039</t>
        </is>
      </c>
      <c r="B40" s="2" t="inlineStr">
        <is>
          <t>jeminise.com+personalized-and-romance-music-player-interface-quilt-with-photo-b8a3dc4155-b8a3dc4155</t>
        </is>
      </c>
      <c r="C40" s="2" t="inlineStr">
        <is>
          <t>img_6d222095b5b6acb3</t>
        </is>
      </c>
      <c r="D40" s="2" t="inlineStr">
        <is>
          <t>MINOR</t>
        </is>
      </c>
      <c r="E40" s="2" t="inlineStr">
        <is>
          <t>alt text</t>
        </is>
      </c>
      <c r="F40" s="2" t="inlineStr">
        <is>
          <t>Set contents, fabric or size chart image for Personalized Photo Music Player Quilt</t>
        </is>
      </c>
      <c r="G40" s="2" t="inlineStr">
        <is>
          <t>Fresh image file: D:\Shopify_Workspace\jeminise_seo\seo_runs\jeminise.com\20260906_234129\qa\20260907_213100\images\174_06.jpg; source URL: https://cdn.shopify.com/s/files/1/0792/5098/1063/files/89f35e8d5de515e1b75dcf0c65c85ef13b058ae4f9983fe7da44c702d7374b45.jpg?v=1785103605</t>
        </is>
      </c>
      <c r="H40" s="2" t="inlineStr">
        <is>
          <t>Alt text is too generic or describes placement more than visible content.</t>
        </is>
      </c>
      <c r="I40" s="2" t="inlineStr">
        <is>
          <t>Rewrite observation/alt from the directly opened image, naming the visible motif and use context.</t>
        </is>
      </c>
      <c r="J40" s="2" t="inlineStr">
        <is>
          <t>Fresh image file: D:\Shopify_Workspace\jeminise_seo\seo_runs\jeminise.com\20260906_234129\qa\20260907_213100\images\174_06.jpg; source URL: https://cdn.shopify.com/s/files/1/0792/5098/1063/files/89f35e8d5de515e1b75dcf0c65c85ef13b058ae4f9983fe7da44c702d7374b45.jpg?v=1785103605</t>
        </is>
      </c>
      <c r="K40" s="2" t="inlineStr">
        <is>
          <t>The image row accurately describes the actual media at this gallery position.</t>
        </is>
      </c>
    </row>
    <row r="41" ht="84" customHeight="1">
      <c r="A41" s="3" t="inlineStr">
        <is>
          <t>ISSUE-0040</t>
        </is>
      </c>
      <c r="B41" s="3" t="inlineStr">
        <is>
          <t>jeminise.com+personalized-and-romance-music-player-interface-quilt-with-photo-b8a3dc4155-b8a3dc4155</t>
        </is>
      </c>
      <c r="C41" s="3" t="inlineStr">
        <is>
          <t>img_323e80043ab8b29c</t>
        </is>
      </c>
      <c r="D41" s="3" t="inlineStr">
        <is>
          <t>MINOR</t>
        </is>
      </c>
      <c r="E41" s="3" t="inlineStr">
        <is>
          <t>image observation</t>
        </is>
      </c>
      <c r="F41" s="3" t="inlineStr">
        <is>
          <t>Additional lifestyle, feature or product detail image showing personalized photo music player quilt.</t>
        </is>
      </c>
      <c r="G41" s="3" t="inlineStr">
        <is>
          <t>Fresh image file: D:\Shopify_Workspace\jeminise_seo\seo_runs\jeminise.com\20260906_234129\qa\20260907_213100\images\174_07.jpg; source URL: https://cdn.shopify.com/s/files/1/0792/5098/1063/files/ab6a0a01e28e814d8f3cbc64e88430ceb1b8a226c57a04429ff8ee2f9f8470ea.jpg?v=1785103606</t>
        </is>
      </c>
      <c r="H41" s="3" t="inlineStr">
        <is>
          <t>Observation is generic or position-based; rewrite from the actual image content.</t>
        </is>
      </c>
      <c r="I41" s="3" t="inlineStr">
        <is>
          <t>Rewrite observation/alt from the directly opened image, naming the visible motif and use context.</t>
        </is>
      </c>
      <c r="J41" s="3" t="inlineStr">
        <is>
          <t>Fresh image file: D:\Shopify_Workspace\jeminise_seo\seo_runs\jeminise.com\20260906_234129\qa\20260907_213100\images\174_07.jpg; source URL: https://cdn.shopify.com/s/files/1/0792/5098/1063/files/ab6a0a01e28e814d8f3cbc64e88430ceb1b8a226c57a04429ff8ee2f9f8470ea.jpg?v=1785103606</t>
        </is>
      </c>
      <c r="K41" s="3" t="inlineStr">
        <is>
          <t>The image row accurately describes the actual media at this gallery position.</t>
        </is>
      </c>
    </row>
    <row r="42" ht="84" customHeight="1">
      <c r="A42" s="2" t="inlineStr">
        <is>
          <t>ISSUE-0041</t>
        </is>
      </c>
      <c r="B42" s="2" t="inlineStr">
        <is>
          <t>jeminise.com+personalized-autumn-tree-of-life-birds-flowers-quilt-sets-radiant</t>
        </is>
      </c>
      <c r="C42" s="2" t="inlineStr"/>
      <c r="D42" s="2" t="inlineStr">
        <is>
          <t>MAJOR</t>
        </is>
      </c>
      <c r="E42" s="2" t="inlineStr">
        <is>
          <t>description_proposed_html</t>
        </is>
      </c>
      <c r="F42" s="2"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t>
        </is>
      </c>
      <c r="G42" s="2" t="inlineStr">
        <is>
          <t>Draft contains SEO Use / QA approval wording.</t>
        </is>
      </c>
      <c r="H42" s="2" t="inlineStr">
        <is>
          <t>Internal workflow language is not publish-ready storefront copy.</t>
        </is>
      </c>
      <c r="I42" s="2" t="inlineStr">
        <is>
          <t>Remove internal QA/import block and replace with customer-facing verified copy.</t>
        </is>
      </c>
      <c r="J42" s="2" t="inlineStr">
        <is>
          <t>Draft contains SEO Use / QA approval wording.</t>
        </is>
      </c>
      <c r="K42" s="2" t="inlineStr">
        <is>
          <t>Description HTML no longer contains SEO Use, QA, approval, import or draft language.</t>
        </is>
      </c>
    </row>
    <row r="43" ht="84" customHeight="1">
      <c r="A43" s="3" t="inlineStr">
        <is>
          <t>ISSUE-0042</t>
        </is>
      </c>
      <c r="B43" s="3" t="inlineStr">
        <is>
          <t>jeminise.com+personalized-autumn-tree-of-life-birds-flowers-quilt-sets-radiant</t>
        </is>
      </c>
      <c r="C43" s="3" t="inlineStr"/>
      <c r="D43" s="3" t="inlineStr">
        <is>
          <t>MAJOR</t>
        </is>
      </c>
      <c r="E43" s="3" t="inlineStr">
        <is>
          <t>h1_proposed</t>
        </is>
      </c>
      <c r="F43" s="3" t="inlineStr"/>
      <c r="G43" s="3" t="inlineStr">
        <is>
          <t>The submitted workbook row has no proposed H1.</t>
        </is>
      </c>
      <c r="H43" s="3" t="inlineStr">
        <is>
          <t>A publishable SEO title/H1 pair is incomplete when the H1 field is blank.</t>
        </is>
      </c>
      <c r="I43" s="3" t="inlineStr">
        <is>
          <t>Write one English H1 that matches the verified product type and visible design; do not copy unsupported claims.</t>
        </is>
      </c>
      <c r="J43" s="3" t="inlineStr">
        <is>
          <t>The submitted workbook row has no proposed H1.</t>
        </is>
      </c>
      <c r="K43" s="3" t="inlineStr">
        <is>
          <t>Workbook contains a non-empty H1 and it is consistent with title, primary keyword and live product evidence.</t>
        </is>
      </c>
    </row>
    <row r="44" ht="84" customHeight="1">
      <c r="A44" s="2" t="inlineStr">
        <is>
          <t>ISSUE-0043</t>
        </is>
      </c>
      <c r="B44" s="2" t="inlineStr">
        <is>
          <t>jeminise.com+personalized-autumn-tree-of-life-birds-flowers-quilt-sets-radiant</t>
        </is>
      </c>
      <c r="C44" s="2" t="inlineStr"/>
      <c r="D44" s="2" t="inlineStr">
        <is>
          <t>MAJOR</t>
        </is>
      </c>
      <c r="E44" s="2" t="inlineStr">
        <is>
          <t>description_proposed_html</t>
        </is>
      </c>
      <c r="F44" s="2"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t>
        </is>
      </c>
      <c r="G44" s="2" t="inlineStr">
        <is>
          <t>The proposed description uses a repeated audience list (for example, animal rooms/faith gifts/nature-inspired decor) that is not specific to this product.</t>
        </is>
      </c>
      <c r="H44" s="2" t="inlineStr">
        <is>
          <t>Generic audience wording can be irrelevant or contradictory to the visible motif and is not evidence-led storefront copy.</t>
        </is>
      </c>
      <c r="I44" s="2" t="inlineStr">
        <is>
          <t>Replace it with concise English customer-facing copy tied only to the verified motif, product type, size/pillowcase choices and supported customizer control.</t>
        </is>
      </c>
      <c r="J44" s="2" t="inlineStr">
        <is>
          <t>The proposed description uses a repeated audience list (for example, animal rooms/faith gifts/nature-inspired decor) that is not specific to this product.</t>
        </is>
      </c>
      <c r="K44" s="2" t="inlineStr">
        <is>
          <t>Description contains no irrelevant template audience list and every remaining claim is supported by live/snapshot evidence.</t>
        </is>
      </c>
    </row>
    <row r="45" ht="84" customHeight="1">
      <c r="A45" s="3" t="inlineStr">
        <is>
          <t>ISSUE-0044</t>
        </is>
      </c>
      <c r="B45" s="3" t="inlineStr">
        <is>
          <t>jeminise.com+personalized-autumn-tree-of-life-birds-flowers-quilt-sets-radiant</t>
        </is>
      </c>
      <c r="C45" s="3" t="inlineStr"/>
      <c r="D45" s="3" t="inlineStr">
        <is>
          <t>MINOR</t>
        </is>
      </c>
      <c r="E45" s="3" t="inlineStr">
        <is>
          <t>meta_description_seo</t>
        </is>
      </c>
      <c r="F45" s="3" t="inlineStr">
        <is>
          <t>Shop a quilt set featuring radiant autumn Tree of Life artwork with orange foliage, blue birds, exposed roots, colorful flowers and matching shams. Review available sizes and personalization options before checkout.</t>
        </is>
      </c>
      <c r="G45" s="3" t="inlineStr">
        <is>
          <t>Meta description length is 215 characters.</t>
        </is>
      </c>
      <c r="H45" s="3" t="inlineStr">
        <is>
          <t>Likely to truncate in search results and repeats review/personality wording in several rows.</t>
        </is>
      </c>
      <c r="I45" s="3" t="inlineStr">
        <is>
          <t>Rewrite to roughly 145-155 characters while preserving verified design and product type.</t>
        </is>
      </c>
      <c r="J45" s="3" t="inlineStr">
        <is>
          <t>Meta description length is 215 characters.</t>
        </is>
      </c>
      <c r="K45" s="3" t="inlineStr">
        <is>
          <t>Length check &lt;=160 characters and no unsupported claim remains.</t>
        </is>
      </c>
    </row>
    <row r="46" ht="84" customHeight="1">
      <c r="A46" s="2" t="inlineStr">
        <is>
          <t>ISSUE-0045</t>
        </is>
      </c>
      <c r="B46" s="2" t="inlineStr">
        <is>
          <t>jeminise.com+personalized-autumn-tree-of-life-birds-flowers-quilt-sets-radiant</t>
        </is>
      </c>
      <c r="C46" s="2" t="inlineStr"/>
      <c r="D46" s="2" t="inlineStr">
        <is>
          <t>LIMITATION</t>
        </is>
      </c>
      <c r="E46" s="2" t="inlineStr">
        <is>
          <t>keyword_evidence_level</t>
        </is>
      </c>
      <c r="F46" s="2" t="inlineStr">
        <is>
          <t>SERP_ONLY</t>
        </is>
      </c>
      <c r="G46" s="2" t="inlineStr">
        <is>
          <t>Only public SERP comparables are available.</t>
        </is>
      </c>
      <c r="H46" s="2" t="inlineStr">
        <is>
          <t>No Search Console, paid keyword volume or internal site search export was supplied.</t>
        </is>
      </c>
      <c r="I46" s="2" t="inlineStr">
        <is>
          <t>Keep demand statements qualitative; do not claim volume or ranking potential.</t>
        </is>
      </c>
      <c r="J46" s="2" t="inlineStr">
        <is>
          <t>Only public SERP comparables are available.</t>
        </is>
      </c>
      <c r="K46" s="2" t="inlineStr">
        <is>
          <t>Additional first-party or paid keyword evidence is attached, or limitation remains documented.</t>
        </is>
      </c>
    </row>
    <row r="47" ht="84" customHeight="1">
      <c r="A47" s="3" t="inlineStr">
        <is>
          <t>ISSUE-0046</t>
        </is>
      </c>
      <c r="B47" s="3" t="inlineStr">
        <is>
          <t>jeminise.com+personalized-autumn-tree-of-life-birds-flowers-quilt-sets-radiant</t>
        </is>
      </c>
      <c r="C47" s="3" t="inlineStr">
        <is>
          <t>img_f4027e4dfe8ce19b</t>
        </is>
      </c>
      <c r="D47" s="3" t="inlineStr">
        <is>
          <t>MINOR</t>
        </is>
      </c>
      <c r="E47" s="3" t="inlineStr">
        <is>
          <t>alt text</t>
        </is>
      </c>
      <c r="F47" s="3" t="inlineStr">
        <is>
          <t>Autumn Tree of Life Birds and Flowers Quilt displayed in a main product mockup</t>
        </is>
      </c>
      <c r="G47" s="3" t="inlineStr">
        <is>
          <t>Fresh image file: D:\Shopify_Workspace\jeminise_seo\seo_runs\jeminise.com\20260906_234129\qa\20260907_213100\images\175_01.jpg; source URL: https://cdn.shopify.com/s/files/1/0792/5098/1063/files/76e83bca36e7d6cbe9d52534b537497ba2da302985d2500484b04ef5c13e86f1.jpg?v=1786569190</t>
        </is>
      </c>
      <c r="H47" s="3" t="inlineStr">
        <is>
          <t>Alt text is too generic or describes placement more than visible content.</t>
        </is>
      </c>
      <c r="I47" s="3" t="inlineStr">
        <is>
          <t>Rewrite observation/alt from the directly opened image, naming the visible motif and use context.</t>
        </is>
      </c>
      <c r="J47" s="3" t="inlineStr">
        <is>
          <t>Fresh image file: D:\Shopify_Workspace\jeminise_seo\seo_runs\jeminise.com\20260906_234129\qa\20260907_213100\images\175_01.jpg; source URL: https://cdn.shopify.com/s/files/1/0792/5098/1063/files/76e83bca36e7d6cbe9d52534b537497ba2da302985d2500484b04ef5c13e86f1.jpg?v=1786569190</t>
        </is>
      </c>
      <c r="K47" s="3" t="inlineStr">
        <is>
          <t>The image row accurately describes the actual media at this gallery position.</t>
        </is>
      </c>
    </row>
    <row r="48" ht="84" customHeight="1">
      <c r="A48" s="2" t="inlineStr">
        <is>
          <t>ISSUE-0047</t>
        </is>
      </c>
      <c r="B48" s="2" t="inlineStr">
        <is>
          <t>jeminise.com+personalized-autumn-tree-of-life-birds-flowers-quilt-sets-radiant</t>
        </is>
      </c>
      <c r="C48" s="2" t="inlineStr">
        <is>
          <t>img_5dc0930c0a34735a</t>
        </is>
      </c>
      <c r="D48" s="2" t="inlineStr">
        <is>
          <t>MINOR</t>
        </is>
      </c>
      <c r="E48" s="2" t="inlineStr">
        <is>
          <t>image observation</t>
        </is>
      </c>
      <c r="F48" s="2" t="inlineStr">
        <is>
          <t>Bedding type, feature, lifestyle or material image for autumn tree of life birds flowers quilt.</t>
        </is>
      </c>
      <c r="G48" s="2" t="inlineStr">
        <is>
          <t>Fresh image file: D:\Shopify_Workspace\jeminise_seo\seo_runs\jeminise.com\20260906_234129\qa\20260907_213100\images\175_03.jpg; source URL: https://cdn.shopify.com/s/files/1/0792/5098/1063/files/14fdab197c2fb28af22fc3dad45c9f6e647085505ad1d22079f42b99ff4512c9.jpg?v=1786569190</t>
        </is>
      </c>
      <c r="H48" s="2" t="inlineStr">
        <is>
          <t>Observation is generic or position-based; rewrite from the actual image content.</t>
        </is>
      </c>
      <c r="I48" s="2" t="inlineStr">
        <is>
          <t>Rewrite observation/alt from the directly opened image, naming the visible motif and use context.</t>
        </is>
      </c>
      <c r="J48" s="2" t="inlineStr">
        <is>
          <t>Fresh image file: D:\Shopify_Workspace\jeminise_seo\seo_runs\jeminise.com\20260906_234129\qa\20260907_213100\images\175_03.jpg; source URL: https://cdn.shopify.com/s/files/1/0792/5098/1063/files/14fdab197c2fb28af22fc3dad45c9f6e647085505ad1d22079f42b99ff4512c9.jpg?v=1786569190</t>
        </is>
      </c>
      <c r="K48" s="2" t="inlineStr">
        <is>
          <t>The image row accurately describes the actual media at this gallery position.</t>
        </is>
      </c>
    </row>
    <row r="49" ht="84" customHeight="1">
      <c r="A49" s="3" t="inlineStr">
        <is>
          <t>ISSUE-0048</t>
        </is>
      </c>
      <c r="B49" s="3" t="inlineStr">
        <is>
          <t>jeminise.com+personalized-autumn-tree-of-life-birds-flowers-quilt-sets-radiant</t>
        </is>
      </c>
      <c r="C49" s="3" t="inlineStr">
        <is>
          <t>img_666dc62742244c34</t>
        </is>
      </c>
      <c r="D49" s="3" t="inlineStr">
        <is>
          <t>MINOR</t>
        </is>
      </c>
      <c r="E49" s="3" t="inlineStr">
        <is>
          <t>image observation</t>
        </is>
      </c>
      <c r="F49" s="3" t="inlineStr">
        <is>
          <t>Detail, feature panel or lifestyle image connected to autumn tree of life birds flowers quilt.</t>
        </is>
      </c>
      <c r="G49" s="3" t="inlineStr">
        <is>
          <t>Fresh image file: D:\Shopify_Workspace\jeminise_seo\seo_runs\jeminise.com\20260906_234129\qa\20260907_213100\images\175_04.jpg; source URL: https://cdn.shopify.com/s/files/1/0792/5098/1063/files/75a8841341082afa024eccaf666cc50689cb0804b1b5c6121a143f1ad7fd0f5c.jpg?v=1786569190</t>
        </is>
      </c>
      <c r="H49" s="3" t="inlineStr">
        <is>
          <t>Observation is generic or position-based; rewrite from the actual image content.</t>
        </is>
      </c>
      <c r="I49" s="3" t="inlineStr">
        <is>
          <t>Rewrite observation/alt from the directly opened image, naming the visible motif and use context.</t>
        </is>
      </c>
      <c r="J49" s="3" t="inlineStr">
        <is>
          <t>Fresh image file: D:\Shopify_Workspace\jeminise_seo\seo_runs\jeminise.com\20260906_234129\qa\20260907_213100\images\175_04.jpg; source URL: https://cdn.shopify.com/s/files/1/0792/5098/1063/files/75a8841341082afa024eccaf666cc50689cb0804b1b5c6121a143f1ad7fd0f5c.jpg?v=1786569190</t>
        </is>
      </c>
      <c r="K49" s="3" t="inlineStr">
        <is>
          <t>The image row accurately describes the actual media at this gallery position.</t>
        </is>
      </c>
    </row>
    <row r="50" ht="84" customHeight="1">
      <c r="A50" s="2" t="inlineStr">
        <is>
          <t>ISSUE-0049</t>
        </is>
      </c>
      <c r="B50" s="2" t="inlineStr">
        <is>
          <t>jeminise.com+personalized-autumn-tree-of-life-birds-flowers-quilt-sets-radiant</t>
        </is>
      </c>
      <c r="C50" s="2" t="inlineStr">
        <is>
          <t>img_160776f07e0e57b2</t>
        </is>
      </c>
      <c r="D50" s="2" t="inlineStr">
        <is>
          <t>MINOR</t>
        </is>
      </c>
      <c r="E50" s="2" t="inlineStr">
        <is>
          <t>image observation</t>
        </is>
      </c>
      <c r="F50" s="2" t="inlineStr">
        <is>
          <t>Easy-care, size guide or product feature image for autumn tree of life birds flowers quilt.</t>
        </is>
      </c>
      <c r="G50" s="2" t="inlineStr">
        <is>
          <t>Fresh image file: D:\Shopify_Workspace\jeminise_seo\seo_runs\jeminise.com\20260906_234129\qa\20260907_213100\images\175_06.jpg; source URL: https://cdn.shopify.com/s/files/1/0792/5098/1063/files/4e3bd5db7f8f32bc843c373deb779457b0bc909907e444f3fd479b1487f44f0c.jpg?v=1786569190</t>
        </is>
      </c>
      <c r="H50" s="2" t="inlineStr">
        <is>
          <t>Observation is generic or position-based; rewrite from the actual image content.</t>
        </is>
      </c>
      <c r="I50" s="2" t="inlineStr">
        <is>
          <t>Rewrite observation/alt from the directly opened image, naming the visible motif and use context.</t>
        </is>
      </c>
      <c r="J50" s="2" t="inlineStr">
        <is>
          <t>Fresh image file: D:\Shopify_Workspace\jeminise_seo\seo_runs\jeminise.com\20260906_234129\qa\20260907_213100\images\175_06.jpg; source URL: https://cdn.shopify.com/s/files/1/0792/5098/1063/files/4e3bd5db7f8f32bc843c373deb779457b0bc909907e444f3fd479b1487f44f0c.jpg?v=1786569190</t>
        </is>
      </c>
      <c r="K50" s="2" t="inlineStr">
        <is>
          <t>The image row accurately describes the actual media at this gallery position.</t>
        </is>
      </c>
    </row>
    <row r="51" ht="84" customHeight="1">
      <c r="A51" s="3" t="inlineStr">
        <is>
          <t>ISSUE-0050</t>
        </is>
      </c>
      <c r="B51" s="3" t="inlineStr">
        <is>
          <t>jeminise.com+personalized-autumn-tree-of-life-birds-flowers-quilt-sets-radiant</t>
        </is>
      </c>
      <c r="C51" s="3" t="inlineStr">
        <is>
          <t>img_160776f07e0e57b2</t>
        </is>
      </c>
      <c r="D51" s="3" t="inlineStr">
        <is>
          <t>MINOR</t>
        </is>
      </c>
      <c r="E51" s="3" t="inlineStr">
        <is>
          <t>alt text</t>
        </is>
      </c>
      <c r="F51" s="3" t="inlineStr">
        <is>
          <t>Set contents, fabric or size chart image for Autumn Tree of Life Birds and Flowers Quilt</t>
        </is>
      </c>
      <c r="G51" s="3" t="inlineStr">
        <is>
          <t>Fresh image file: D:\Shopify_Workspace\jeminise_seo\seo_runs\jeminise.com\20260906_234129\qa\20260907_213100\images\175_06.jpg; source URL: https://cdn.shopify.com/s/files/1/0792/5098/1063/files/4e3bd5db7f8f32bc843c373deb779457b0bc909907e444f3fd479b1487f44f0c.jpg?v=1786569190</t>
        </is>
      </c>
      <c r="H51" s="3" t="inlineStr">
        <is>
          <t>Alt text is too generic or describes placement more than visible content.</t>
        </is>
      </c>
      <c r="I51" s="3" t="inlineStr">
        <is>
          <t>Rewrite observation/alt from the directly opened image, naming the visible motif and use context.</t>
        </is>
      </c>
      <c r="J51" s="3" t="inlineStr">
        <is>
          <t>Fresh image file: D:\Shopify_Workspace\jeminise_seo\seo_runs\jeminise.com\20260906_234129\qa\20260907_213100\images\175_06.jpg; source URL: https://cdn.shopify.com/s/files/1/0792/5098/1063/files/4e3bd5db7f8f32bc843c373deb779457b0bc909907e444f3fd479b1487f44f0c.jpg?v=1786569190</t>
        </is>
      </c>
      <c r="K51" s="3" t="inlineStr">
        <is>
          <t>The image row accurately describes the actual media at this gallery position.</t>
        </is>
      </c>
    </row>
    <row r="52" ht="84" customHeight="1">
      <c r="A52" s="2" t="inlineStr">
        <is>
          <t>ISSUE-0051</t>
        </is>
      </c>
      <c r="B52" s="2" t="inlineStr">
        <is>
          <t>jeminise.com+personalized-autumn-tree-of-life-birds-flowers-quilt-sets-radiant</t>
        </is>
      </c>
      <c r="C52" s="2" t="inlineStr">
        <is>
          <t>img_738a291d0306aba3</t>
        </is>
      </c>
      <c r="D52" s="2" t="inlineStr">
        <is>
          <t>MINOR</t>
        </is>
      </c>
      <c r="E52" s="2" t="inlineStr">
        <is>
          <t>image observation</t>
        </is>
      </c>
      <c r="F52" s="2" t="inlineStr">
        <is>
          <t>Additional lifestyle, feature or product detail image showing autumn tree of life birds flowers quilt.</t>
        </is>
      </c>
      <c r="G52" s="2" t="inlineStr">
        <is>
          <t>Fresh image file: D:\Shopify_Workspace\jeminise_seo\seo_runs\jeminise.com\20260906_234129\qa\20260907_213100\images\175_07.jpg; source URL: https://cdn.shopify.com/s/files/1/0792/5098/1063/files/1ac440907b13bbfe69aa9df8b823b1b2403e9b7593955f0dc4a32ec79c5ad5dd.jpg?v=1786569191</t>
        </is>
      </c>
      <c r="H52" s="2" t="inlineStr">
        <is>
          <t>Observation is generic or position-based; rewrite from the actual image content.</t>
        </is>
      </c>
      <c r="I52" s="2" t="inlineStr">
        <is>
          <t>Rewrite observation/alt from the directly opened image, naming the visible motif and use context.</t>
        </is>
      </c>
      <c r="J52" s="2" t="inlineStr">
        <is>
          <t>Fresh image file: D:\Shopify_Workspace\jeminise_seo\seo_runs\jeminise.com\20260906_234129\qa\20260907_213100\images\175_07.jpg; source URL: https://cdn.shopify.com/s/files/1/0792/5098/1063/files/1ac440907b13bbfe69aa9df8b823b1b2403e9b7593955f0dc4a32ec79c5ad5dd.jpg?v=1786569191</t>
        </is>
      </c>
      <c r="K52" s="2" t="inlineStr">
        <is>
          <t>The image row accurately describes the actual media at this gallery position.</t>
        </is>
      </c>
    </row>
    <row r="53" ht="84" customHeight="1">
      <c r="A53" s="3" t="inlineStr">
        <is>
          <t>ISSUE-0052</t>
        </is>
      </c>
      <c r="B53" s="3" t="inlineStr">
        <is>
          <t>jeminise.com+personalized-baseball-bedding-full-size-flag-custom-name-d-design-01</t>
        </is>
      </c>
      <c r="C53" s="3" t="inlineStr"/>
      <c r="D53" s="3" t="inlineStr">
        <is>
          <t>MAJOR</t>
        </is>
      </c>
      <c r="E53" s="3" t="inlineStr">
        <is>
          <t>description_proposed_html</t>
        </is>
      </c>
      <c r="F53" s="3"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t>
        </is>
      </c>
      <c r="G53" s="3" t="inlineStr">
        <is>
          <t>Draft contains SEO Use / QA approval wording.</t>
        </is>
      </c>
      <c r="H53" s="3" t="inlineStr">
        <is>
          <t>Internal workflow language is not publish-ready storefront copy.</t>
        </is>
      </c>
      <c r="I53" s="3" t="inlineStr">
        <is>
          <t>Remove internal QA/import block and replace with customer-facing verified copy.</t>
        </is>
      </c>
      <c r="J53" s="3" t="inlineStr">
        <is>
          <t>Draft contains SEO Use / QA approval wording.</t>
        </is>
      </c>
      <c r="K53" s="3" t="inlineStr">
        <is>
          <t>Description HTML no longer contains SEO Use, QA, approval, import or draft language.</t>
        </is>
      </c>
    </row>
    <row r="54" ht="84" customHeight="1">
      <c r="A54" s="2" t="inlineStr">
        <is>
          <t>ISSUE-0053</t>
        </is>
      </c>
      <c r="B54" s="2" t="inlineStr">
        <is>
          <t>jeminise.com+personalized-baseball-bedding-full-size-flag-custom-name-d-design-01</t>
        </is>
      </c>
      <c r="C54" s="2" t="inlineStr"/>
      <c r="D54" s="2" t="inlineStr">
        <is>
          <t>MAJOR</t>
        </is>
      </c>
      <c r="E54" s="2" t="inlineStr">
        <is>
          <t>h1_proposed</t>
        </is>
      </c>
      <c r="F54" s="2" t="inlineStr"/>
      <c r="G54" s="2" t="inlineStr">
        <is>
          <t>The submitted workbook row has no proposed H1.</t>
        </is>
      </c>
      <c r="H54" s="2" t="inlineStr">
        <is>
          <t>A publishable SEO title/H1 pair is incomplete when the H1 field is blank.</t>
        </is>
      </c>
      <c r="I54" s="2" t="inlineStr">
        <is>
          <t>Write one English H1 that matches the verified product type and visible design; do not copy unsupported claims.</t>
        </is>
      </c>
      <c r="J54" s="2" t="inlineStr">
        <is>
          <t>The submitted workbook row has no proposed H1.</t>
        </is>
      </c>
      <c r="K54" s="2" t="inlineStr">
        <is>
          <t>Workbook contains a non-empty H1 and it is consistent with title, primary keyword and live product evidence.</t>
        </is>
      </c>
    </row>
    <row r="55" ht="84" customHeight="1">
      <c r="A55" s="3" t="inlineStr">
        <is>
          <t>ISSUE-0054</t>
        </is>
      </c>
      <c r="B55" s="3" t="inlineStr">
        <is>
          <t>jeminise.com+personalized-baseball-bedding-full-size-flag-custom-name-d-design-01</t>
        </is>
      </c>
      <c r="C55" s="3" t="inlineStr"/>
      <c r="D55" s="3" t="inlineStr">
        <is>
          <t>MINOR</t>
        </is>
      </c>
      <c r="E55" s="3" t="inlineStr">
        <is>
          <t>meta_description_seo</t>
        </is>
      </c>
      <c r="F55" s="3" t="inlineStr">
        <is>
          <t>Shop a comforter set featuring American flag baseball bedding with large baseballs, red white and blue stripes, stars and vertical custom name text. Review available sizes and personalization options before checkout.</t>
        </is>
      </c>
      <c r="G55" s="3" t="inlineStr">
        <is>
          <t>Meta description length is 216 characters.</t>
        </is>
      </c>
      <c r="H55" s="3" t="inlineStr">
        <is>
          <t>Likely to truncate in search results and repeats review/personality wording in several rows.</t>
        </is>
      </c>
      <c r="I55" s="3" t="inlineStr">
        <is>
          <t>Rewrite to roughly 145-155 characters while preserving verified design and product type.</t>
        </is>
      </c>
      <c r="J55" s="3" t="inlineStr">
        <is>
          <t>Meta description length is 216 characters.</t>
        </is>
      </c>
      <c r="K55" s="3" t="inlineStr">
        <is>
          <t>Length check &lt;=160 characters and no unsupported claim remains.</t>
        </is>
      </c>
    </row>
    <row r="56" ht="84" customHeight="1">
      <c r="A56" s="2" t="inlineStr">
        <is>
          <t>ISSUE-0055</t>
        </is>
      </c>
      <c r="B56" s="2" t="inlineStr">
        <is>
          <t>jeminise.com+personalized-baseball-bedding-full-size-flag-custom-name-d-design-01</t>
        </is>
      </c>
      <c r="C56" s="2" t="inlineStr"/>
      <c r="D56" s="2" t="inlineStr">
        <is>
          <t>LIMITATION</t>
        </is>
      </c>
      <c r="E56" s="2" t="inlineStr">
        <is>
          <t>keyword_evidence_level</t>
        </is>
      </c>
      <c r="F56" s="2" t="inlineStr">
        <is>
          <t>SERP_ONLY</t>
        </is>
      </c>
      <c r="G56" s="2" t="inlineStr">
        <is>
          <t>Only public SERP comparables are available.</t>
        </is>
      </c>
      <c r="H56" s="2" t="inlineStr">
        <is>
          <t>No Search Console, paid keyword volume or internal site search export was supplied.</t>
        </is>
      </c>
      <c r="I56" s="2" t="inlineStr">
        <is>
          <t>Keep demand statements qualitative; do not claim volume or ranking potential.</t>
        </is>
      </c>
      <c r="J56" s="2" t="inlineStr">
        <is>
          <t>Only public SERP comparables are available.</t>
        </is>
      </c>
      <c r="K56" s="2" t="inlineStr">
        <is>
          <t>Additional first-party or paid keyword evidence is attached, or limitation remains documented.</t>
        </is>
      </c>
    </row>
    <row r="57" ht="84" customHeight="1">
      <c r="A57" s="3" t="inlineStr">
        <is>
          <t>ISSUE-0056</t>
        </is>
      </c>
      <c r="B57" s="3" t="inlineStr">
        <is>
          <t>jeminise.com+personalized-baseball-bedding-full-size-flag-custom-name-d-design-01</t>
        </is>
      </c>
      <c r="C57" s="3" t="inlineStr">
        <is>
          <t>img_047651ad480d6508</t>
        </is>
      </c>
      <c r="D57" s="3" t="inlineStr">
        <is>
          <t>MINOR</t>
        </is>
      </c>
      <c r="E57" s="3" t="inlineStr">
        <is>
          <t>alt text</t>
        </is>
      </c>
      <c r="F57" s="3" t="inlineStr">
        <is>
          <t>Personalized Baseball American Flag Bedding displayed in a main product mockup</t>
        </is>
      </c>
      <c r="G57" s="3" t="inlineStr">
        <is>
          <t>Fresh image file: D:\Shopify_Workspace\jeminise_seo\seo_runs\jeminise.com\20260906_234129\qa\20260907_213100\images\176_01.jpg; source URL: https://cdn.shopify.com/s/files/1/0792/5098/1063/files/7b5c51aa3d8e7b0ede2b944964c9def4c11bee595091e278a8a03e64c42de41e.jpg?v=1787242220</t>
        </is>
      </c>
      <c r="H57" s="3" t="inlineStr">
        <is>
          <t>Alt text is too generic or describes placement more than visible content.</t>
        </is>
      </c>
      <c r="I57" s="3" t="inlineStr">
        <is>
          <t>Rewrite observation/alt from the directly opened image, naming the visible motif and use context.</t>
        </is>
      </c>
      <c r="J57" s="3" t="inlineStr">
        <is>
          <t>Fresh image file: D:\Shopify_Workspace\jeminise_seo\seo_runs\jeminise.com\20260906_234129\qa\20260907_213100\images\176_01.jpg; source URL: https://cdn.shopify.com/s/files/1/0792/5098/1063/files/7b5c51aa3d8e7b0ede2b944964c9def4c11bee595091e278a8a03e64c42de41e.jpg?v=1787242220</t>
        </is>
      </c>
      <c r="K57" s="3" t="inlineStr">
        <is>
          <t>The image row accurately describes the actual media at this gallery position.</t>
        </is>
      </c>
    </row>
    <row r="58" ht="84" customHeight="1">
      <c r="A58" s="2" t="inlineStr">
        <is>
          <t>ISSUE-0057</t>
        </is>
      </c>
      <c r="B58" s="2" t="inlineStr">
        <is>
          <t>jeminise.com+personalized-baseball-bedding-full-size-flag-custom-name-d-design-01</t>
        </is>
      </c>
      <c r="C58" s="2" t="inlineStr">
        <is>
          <t>img_bcd6b7a223c511a0</t>
        </is>
      </c>
      <c r="D58" s="2" t="inlineStr">
        <is>
          <t>MINOR</t>
        </is>
      </c>
      <c r="E58" s="2" t="inlineStr">
        <is>
          <t>image observation</t>
        </is>
      </c>
      <c r="F58" s="2" t="inlineStr">
        <is>
          <t>Bedding type, feature, lifestyle or material image for personalized baseball American flag bedding with vertical name.</t>
        </is>
      </c>
      <c r="G58" s="2" t="inlineStr">
        <is>
          <t>Fresh image file: D:\Shopify_Workspace\jeminise_seo\seo_runs\jeminise.com\20260906_234129\qa\20260907_213100\images\176_03.jpg; source URL: https://cdn.shopify.com/s/files/1/0792/5098/1063/files/b495d9b37eafdceff5caf3643256f7b3a83de826d49a14bdc531b13424296018_88164598-e9f4-4928-b053-76791a3a0dcf.jpg?v=1787242220</t>
        </is>
      </c>
      <c r="H58" s="2" t="inlineStr">
        <is>
          <t>Observation is generic or position-based; rewrite from the actual image content.</t>
        </is>
      </c>
      <c r="I58" s="2" t="inlineStr">
        <is>
          <t>Rewrite observation/alt from the directly opened image, naming the visible motif and use context.</t>
        </is>
      </c>
      <c r="J58" s="2" t="inlineStr">
        <is>
          <t>Fresh image file: D:\Shopify_Workspace\jeminise_seo\seo_runs\jeminise.com\20260906_234129\qa\20260907_213100\images\176_03.jpg; source URL: https://cdn.shopify.com/s/files/1/0792/5098/1063/files/b495d9b37eafdceff5caf3643256f7b3a83de826d49a14bdc531b13424296018_88164598-e9f4-4928-b053-76791a3a0dcf.jpg?v=1787242220</t>
        </is>
      </c>
      <c r="K58" s="2" t="inlineStr">
        <is>
          <t>The image row accurately describes the actual media at this gallery position.</t>
        </is>
      </c>
    </row>
    <row r="59" ht="84" customHeight="1">
      <c r="A59" s="3" t="inlineStr">
        <is>
          <t>ISSUE-0058</t>
        </is>
      </c>
      <c r="B59" s="3" t="inlineStr">
        <is>
          <t>jeminise.com+personalized-baseball-bedding-full-size-flag-custom-name-d-design-01</t>
        </is>
      </c>
      <c r="C59" s="3" t="inlineStr">
        <is>
          <t>img_7286b889f5907e8b</t>
        </is>
      </c>
      <c r="D59" s="3" t="inlineStr">
        <is>
          <t>MINOR</t>
        </is>
      </c>
      <c r="E59" s="3" t="inlineStr">
        <is>
          <t>image observation</t>
        </is>
      </c>
      <c r="F59" s="3" t="inlineStr">
        <is>
          <t>Detail, feature panel or lifestyle image connected to personalized baseball American flag bedding with vertical name.</t>
        </is>
      </c>
      <c r="G59" s="3" t="inlineStr">
        <is>
          <t>Fresh image file: D:\Shopify_Workspace\jeminise_seo\seo_runs\jeminise.com\20260906_234129\qa\20260907_213100\images\176_04.jpg; source URL: https://cdn.shopify.com/s/files/1/0792/5098/1063/files/d51e3360a3e4b984af63b01c4b53d517484ca3d6cb1beeea158bcf59acab9ed4_987bc884-03f1-4194-a3cf-9a2acfe15561.jpg?v=1787242220</t>
        </is>
      </c>
      <c r="H59" s="3" t="inlineStr">
        <is>
          <t>Observation is generic or position-based; rewrite from the actual image content.</t>
        </is>
      </c>
      <c r="I59" s="3" t="inlineStr">
        <is>
          <t>Rewrite observation/alt from the directly opened image, naming the visible motif and use context.</t>
        </is>
      </c>
      <c r="J59" s="3" t="inlineStr">
        <is>
          <t>Fresh image file: D:\Shopify_Workspace\jeminise_seo\seo_runs\jeminise.com\20260906_234129\qa\20260907_213100\images\176_04.jpg; source URL: https://cdn.shopify.com/s/files/1/0792/5098/1063/files/d51e3360a3e4b984af63b01c4b53d517484ca3d6cb1beeea158bcf59acab9ed4_987bc884-03f1-4194-a3cf-9a2acfe15561.jpg?v=1787242220</t>
        </is>
      </c>
      <c r="K59" s="3" t="inlineStr">
        <is>
          <t>The image row accurately describes the actual media at this gallery position.</t>
        </is>
      </c>
    </row>
    <row r="60" ht="84" customHeight="1">
      <c r="A60" s="2" t="inlineStr">
        <is>
          <t>ISSUE-0059</t>
        </is>
      </c>
      <c r="B60" s="2" t="inlineStr">
        <is>
          <t>jeminise.com+personalized-baseball-bedding-full-size-flag-custom-name-d-design-02</t>
        </is>
      </c>
      <c r="C60" s="2" t="inlineStr"/>
      <c r="D60" s="2" t="inlineStr">
        <is>
          <t>MAJOR</t>
        </is>
      </c>
      <c r="E60" s="2" t="inlineStr">
        <is>
          <t>description_proposed_html</t>
        </is>
      </c>
      <c r="F60" s="2"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t>
        </is>
      </c>
      <c r="G60" s="2" t="inlineStr">
        <is>
          <t>Draft contains SEO Use / QA approval wording.</t>
        </is>
      </c>
      <c r="H60" s="2" t="inlineStr">
        <is>
          <t>Internal workflow language is not publish-ready storefront copy.</t>
        </is>
      </c>
      <c r="I60" s="2" t="inlineStr">
        <is>
          <t>Remove internal QA/import block and replace with customer-facing verified copy.</t>
        </is>
      </c>
      <c r="J60" s="2" t="inlineStr">
        <is>
          <t>Draft contains SEO Use / QA approval wording.</t>
        </is>
      </c>
      <c r="K60" s="2" t="inlineStr">
        <is>
          <t>Description HTML no longer contains SEO Use, QA, approval, import or draft language.</t>
        </is>
      </c>
    </row>
    <row r="61" ht="84" customHeight="1">
      <c r="A61" s="3" t="inlineStr">
        <is>
          <t>ISSUE-0060</t>
        </is>
      </c>
      <c r="B61" s="3" t="inlineStr">
        <is>
          <t>jeminise.com+personalized-baseball-bedding-full-size-flag-custom-name-d-design-02</t>
        </is>
      </c>
      <c r="C61" s="3" t="inlineStr"/>
      <c r="D61" s="3" t="inlineStr">
        <is>
          <t>MAJOR</t>
        </is>
      </c>
      <c r="E61" s="3" t="inlineStr">
        <is>
          <t>h1_proposed</t>
        </is>
      </c>
      <c r="F61" s="3" t="inlineStr"/>
      <c r="G61" s="3" t="inlineStr">
        <is>
          <t>The submitted workbook row has no proposed H1.</t>
        </is>
      </c>
      <c r="H61" s="3" t="inlineStr">
        <is>
          <t>A publishable SEO title/H1 pair is incomplete when the H1 field is blank.</t>
        </is>
      </c>
      <c r="I61" s="3" t="inlineStr">
        <is>
          <t>Write one English H1 that matches the verified product type and visible design; do not copy unsupported claims.</t>
        </is>
      </c>
      <c r="J61" s="3" t="inlineStr">
        <is>
          <t>The submitted workbook row has no proposed H1.</t>
        </is>
      </c>
      <c r="K61" s="3" t="inlineStr">
        <is>
          <t>Workbook contains a non-empty H1 and it is consistent with title, primary keyword and live product evidence.</t>
        </is>
      </c>
    </row>
    <row r="62" ht="84" customHeight="1">
      <c r="A62" s="2" t="inlineStr">
        <is>
          <t>ISSUE-0061</t>
        </is>
      </c>
      <c r="B62" s="2" t="inlineStr">
        <is>
          <t>jeminise.com+personalized-baseball-bedding-full-size-flag-custom-name-d-design-02</t>
        </is>
      </c>
      <c r="C62" s="2" t="inlineStr"/>
      <c r="D62" s="2" t="inlineStr">
        <is>
          <t>MINOR</t>
        </is>
      </c>
      <c r="E62" s="2" t="inlineStr">
        <is>
          <t>meta_description_seo</t>
        </is>
      </c>
      <c r="F62" s="2" t="inlineStr">
        <is>
          <t>Shop a comforter set featuring black baseball bedding with glove, bat, ball artwork and script custom name placement. Review available sizes and personalization options before checkout.</t>
        </is>
      </c>
      <c r="G62" s="2" t="inlineStr">
        <is>
          <t>Meta description length is 185 characters.</t>
        </is>
      </c>
      <c r="H62" s="2" t="inlineStr">
        <is>
          <t>Likely to truncate in search results and repeats review/personality wording in several rows.</t>
        </is>
      </c>
      <c r="I62" s="2" t="inlineStr">
        <is>
          <t>Rewrite to roughly 145-155 characters while preserving verified design and product type.</t>
        </is>
      </c>
      <c r="J62" s="2" t="inlineStr">
        <is>
          <t>Meta description length is 185 characters.</t>
        </is>
      </c>
      <c r="K62" s="2" t="inlineStr">
        <is>
          <t>Length check &lt;=160 characters and no unsupported claim remains.</t>
        </is>
      </c>
    </row>
    <row r="63" ht="84" customHeight="1">
      <c r="A63" s="3" t="inlineStr">
        <is>
          <t>ISSUE-0062</t>
        </is>
      </c>
      <c r="B63" s="3" t="inlineStr">
        <is>
          <t>jeminise.com+personalized-baseball-bedding-full-size-flag-custom-name-d-design-02</t>
        </is>
      </c>
      <c r="C63" s="3" t="inlineStr"/>
      <c r="D63" s="3" t="inlineStr">
        <is>
          <t>LIMITATION</t>
        </is>
      </c>
      <c r="E63" s="3" t="inlineStr">
        <is>
          <t>keyword_evidence_level</t>
        </is>
      </c>
      <c r="F63" s="3" t="inlineStr">
        <is>
          <t>SERP_ONLY</t>
        </is>
      </c>
      <c r="G63" s="3" t="inlineStr">
        <is>
          <t>Only public SERP comparables are available.</t>
        </is>
      </c>
      <c r="H63" s="3" t="inlineStr">
        <is>
          <t>No Search Console, paid keyword volume or internal site search export was supplied.</t>
        </is>
      </c>
      <c r="I63" s="3" t="inlineStr">
        <is>
          <t>Keep demand statements qualitative; do not claim volume or ranking potential.</t>
        </is>
      </c>
      <c r="J63" s="3" t="inlineStr">
        <is>
          <t>Only public SERP comparables are available.</t>
        </is>
      </c>
      <c r="K63" s="3" t="inlineStr">
        <is>
          <t>Additional first-party or paid keyword evidence is attached, or limitation remains documented.</t>
        </is>
      </c>
    </row>
    <row r="64" ht="84" customHeight="1">
      <c r="A64" s="2" t="inlineStr">
        <is>
          <t>ISSUE-0063</t>
        </is>
      </c>
      <c r="B64" s="2" t="inlineStr">
        <is>
          <t>jeminise.com+personalized-baseball-bedding-full-size-flag-custom-name-d-design-02</t>
        </is>
      </c>
      <c r="C64" s="2" t="inlineStr">
        <is>
          <t>img_2382cbb554221fe7</t>
        </is>
      </c>
      <c r="D64" s="2" t="inlineStr">
        <is>
          <t>MINOR</t>
        </is>
      </c>
      <c r="E64" s="2" t="inlineStr">
        <is>
          <t>alt text</t>
        </is>
      </c>
      <c r="F64" s="2" t="inlineStr">
        <is>
          <t>Personalized Black Baseball Glove Bedding displayed in a main product mockup</t>
        </is>
      </c>
      <c r="G64" s="2" t="inlineStr">
        <is>
          <t>Fresh image file: D:\Shopify_Workspace\jeminise_seo\seo_runs\jeminise.com\20260906_234129\qa\20260907_213100\images\177_01.jpg; source URL: https://cdn.shopify.com/s/files/1/0792/5098/1063/files/6f4d49a4f378e1d847ce6c5fba523fd3e99a8eb747a9dd8bc23b8fd0282b9151.jpg?v=1787242229</t>
        </is>
      </c>
      <c r="H64" s="2" t="inlineStr">
        <is>
          <t>Alt text is too generic or describes placement more than visible content.</t>
        </is>
      </c>
      <c r="I64" s="2" t="inlineStr">
        <is>
          <t>Rewrite observation/alt from the directly opened image, naming the visible motif and use context.</t>
        </is>
      </c>
      <c r="J64" s="2" t="inlineStr">
        <is>
          <t>Fresh image file: D:\Shopify_Workspace\jeminise_seo\seo_runs\jeminise.com\20260906_234129\qa\20260907_213100\images\177_01.jpg; source URL: https://cdn.shopify.com/s/files/1/0792/5098/1063/files/6f4d49a4f378e1d847ce6c5fba523fd3e99a8eb747a9dd8bc23b8fd0282b9151.jpg?v=1787242229</t>
        </is>
      </c>
      <c r="K64" s="2" t="inlineStr">
        <is>
          <t>The image row accurately describes the actual media at this gallery position.</t>
        </is>
      </c>
    </row>
    <row r="65" ht="84" customHeight="1">
      <c r="A65" s="3" t="inlineStr">
        <is>
          <t>ISSUE-0064</t>
        </is>
      </c>
      <c r="B65" s="3" t="inlineStr">
        <is>
          <t>jeminise.com+personalized-baseball-bedding-full-size-flag-custom-name-d-design-02</t>
        </is>
      </c>
      <c r="C65" s="3" t="inlineStr">
        <is>
          <t>img_64501c296000c987</t>
        </is>
      </c>
      <c r="D65" s="3" t="inlineStr">
        <is>
          <t>MINOR</t>
        </is>
      </c>
      <c r="E65" s="3" t="inlineStr">
        <is>
          <t>image observation</t>
        </is>
      </c>
      <c r="F65" s="3" t="inlineStr">
        <is>
          <t>Bedding type, feature, lifestyle or material image for personalized black baseball glove bedding.</t>
        </is>
      </c>
      <c r="G65" s="3" t="inlineStr">
        <is>
          <t>Fresh image file: D:\Shopify_Workspace\jeminise_seo\seo_runs\jeminise.com\20260906_234129\qa\20260907_213100\images\177_03.jpg; source URL: https://cdn.shopify.com/s/files/1/0792/5098/1063/files/b495d9b37eafdceff5caf3643256f7b3a83de826d49a14bdc531b13424296018_dfb03393-cd58-4da6-9667-2c2debadf87d.jpg?v=1787242229</t>
        </is>
      </c>
      <c r="H65" s="3" t="inlineStr">
        <is>
          <t>Observation is generic or position-based; rewrite from the actual image content.</t>
        </is>
      </c>
      <c r="I65" s="3" t="inlineStr">
        <is>
          <t>Rewrite observation/alt from the directly opened image, naming the visible motif and use context.</t>
        </is>
      </c>
      <c r="J65" s="3" t="inlineStr">
        <is>
          <t>Fresh image file: D:\Shopify_Workspace\jeminise_seo\seo_runs\jeminise.com\20260906_234129\qa\20260907_213100\images\177_03.jpg; source URL: https://cdn.shopify.com/s/files/1/0792/5098/1063/files/b495d9b37eafdceff5caf3643256f7b3a83de826d49a14bdc531b13424296018_dfb03393-cd58-4da6-9667-2c2debadf87d.jpg?v=1787242229</t>
        </is>
      </c>
      <c r="K65" s="3" t="inlineStr">
        <is>
          <t>The image row accurately describes the actual media at this gallery position.</t>
        </is>
      </c>
    </row>
    <row r="66" ht="84" customHeight="1">
      <c r="A66" s="2" t="inlineStr">
        <is>
          <t>ISSUE-0065</t>
        </is>
      </c>
      <c r="B66" s="2" t="inlineStr">
        <is>
          <t>jeminise.com+personalized-baseball-bedding-full-size-flag-custom-name-d-design-02</t>
        </is>
      </c>
      <c r="C66" s="2" t="inlineStr">
        <is>
          <t>img_a54c555401e34d6d</t>
        </is>
      </c>
      <c r="D66" s="2" t="inlineStr">
        <is>
          <t>MINOR</t>
        </is>
      </c>
      <c r="E66" s="2" t="inlineStr">
        <is>
          <t>image observation</t>
        </is>
      </c>
      <c r="F66" s="2" t="inlineStr">
        <is>
          <t>Detail, feature panel or lifestyle image connected to personalized black baseball glove bedding.</t>
        </is>
      </c>
      <c r="G66" s="2" t="inlineStr">
        <is>
          <t>Fresh image file: D:\Shopify_Workspace\jeminise_seo\seo_runs\jeminise.com\20260906_234129\qa\20260907_213100\images\177_04.jpg; source URL: https://cdn.shopify.com/s/files/1/0792/5098/1063/files/d51e3360a3e4b984af63b01c4b53d517484ca3d6cb1beeea158bcf59acab9ed4_e691d30e-f1b0-45d9-9db3-4cfb5842444a.jpg?v=1787242229</t>
        </is>
      </c>
      <c r="H66" s="2" t="inlineStr">
        <is>
          <t>Observation is generic or position-based; rewrite from the actual image content.</t>
        </is>
      </c>
      <c r="I66" s="2" t="inlineStr">
        <is>
          <t>Rewrite observation/alt from the directly opened image, naming the visible motif and use context.</t>
        </is>
      </c>
      <c r="J66" s="2" t="inlineStr">
        <is>
          <t>Fresh image file: D:\Shopify_Workspace\jeminise_seo\seo_runs\jeminise.com\20260906_234129\qa\20260907_213100\images\177_04.jpg; source URL: https://cdn.shopify.com/s/files/1/0792/5098/1063/files/d51e3360a3e4b984af63b01c4b53d517484ca3d6cb1beeea158bcf59acab9ed4_e691d30e-f1b0-45d9-9db3-4cfb5842444a.jpg?v=1787242229</t>
        </is>
      </c>
      <c r="K66" s="2" t="inlineStr">
        <is>
          <t>The image row accurately describes the actual media at this gallery position.</t>
        </is>
      </c>
    </row>
    <row r="67" ht="84" customHeight="1">
      <c r="A67" s="3" t="inlineStr">
        <is>
          <t>ISSUE-0066</t>
        </is>
      </c>
      <c r="B67" s="3" t="inlineStr">
        <is>
          <t>jeminise.com+personalized-baseball-bedding-full-size-flag-custom-name-d-design-03</t>
        </is>
      </c>
      <c r="C67" s="3" t="inlineStr"/>
      <c r="D67" s="3" t="inlineStr">
        <is>
          <t>CRITICAL</t>
        </is>
      </c>
      <c r="E67" s="3" t="inlineStr">
        <is>
          <t>personalization/customizer</t>
        </is>
      </c>
      <c r="F67" s="3"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t>
        </is>
      </c>
      <c r="G67" s="3" t="inlineStr">
        <is>
          <t>Draft claims customization/personalization but static live audit did not find a customizer root.</t>
        </is>
      </c>
      <c r="H67" s="3" t="inlineStr">
        <is>
          <t>Claim is materially unsafe until the live purchase flow exposes matching input controls.</t>
        </is>
      </c>
      <c r="I67" s="3" t="inlineStr">
        <is>
          <t>Remove/soften unsupported personalization claim, or provide admin/live proof that matching controls work.</t>
        </is>
      </c>
      <c r="J67" s="3" t="inlineStr">
        <is>
          <t>Draft claims customization/personalization but static live audit did not find a customizer root.</t>
        </is>
      </c>
      <c r="K67" s="3" t="inlineStr">
        <is>
          <t>Re-open live product and verify the exact name/number/photo input is present and mapped to fulfillment.</t>
        </is>
      </c>
    </row>
    <row r="68" ht="84" customHeight="1">
      <c r="A68" s="2" t="inlineStr">
        <is>
          <t>ISSUE-0067</t>
        </is>
      </c>
      <c r="B68" s="2" t="inlineStr">
        <is>
          <t>jeminise.com+personalized-baseball-bedding-full-size-flag-custom-name-d-design-03</t>
        </is>
      </c>
      <c r="C68" s="2" t="inlineStr"/>
      <c r="D68" s="2" t="inlineStr">
        <is>
          <t>MAJOR</t>
        </is>
      </c>
      <c r="E68" s="2" t="inlineStr">
        <is>
          <t>description_proposed_html</t>
        </is>
      </c>
      <c r="F68" s="2"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t>
        </is>
      </c>
      <c r="G68" s="2" t="inlineStr">
        <is>
          <t>Draft contains SEO Use / QA approval wording.</t>
        </is>
      </c>
      <c r="H68" s="2" t="inlineStr">
        <is>
          <t>Internal workflow language is not publish-ready storefront copy.</t>
        </is>
      </c>
      <c r="I68" s="2" t="inlineStr">
        <is>
          <t>Remove internal QA/import block and replace with customer-facing verified copy.</t>
        </is>
      </c>
      <c r="J68" s="2" t="inlineStr">
        <is>
          <t>Draft contains SEO Use / QA approval wording.</t>
        </is>
      </c>
      <c r="K68" s="2" t="inlineStr">
        <is>
          <t>Description HTML no longer contains SEO Use, QA, approval, import or draft language.</t>
        </is>
      </c>
    </row>
    <row r="69" ht="84" customHeight="1">
      <c r="A69" s="3" t="inlineStr">
        <is>
          <t>ISSUE-0068</t>
        </is>
      </c>
      <c r="B69" s="3" t="inlineStr">
        <is>
          <t>jeminise.com+personalized-baseball-bedding-full-size-flag-custom-name-d-design-03</t>
        </is>
      </c>
      <c r="C69" s="3" t="inlineStr"/>
      <c r="D69" s="3" t="inlineStr">
        <is>
          <t>MAJOR</t>
        </is>
      </c>
      <c r="E69" s="3" t="inlineStr">
        <is>
          <t>h1_proposed</t>
        </is>
      </c>
      <c r="F69" s="3" t="inlineStr"/>
      <c r="G69" s="3" t="inlineStr">
        <is>
          <t>The submitted workbook row has no proposed H1.</t>
        </is>
      </c>
      <c r="H69" s="3" t="inlineStr">
        <is>
          <t>A publishable SEO title/H1 pair is incomplete when the H1 field is blank.</t>
        </is>
      </c>
      <c r="I69" s="3" t="inlineStr">
        <is>
          <t>Write one English H1 that matches the verified product type and visible design; do not copy unsupported claims.</t>
        </is>
      </c>
      <c r="J69" s="3" t="inlineStr">
        <is>
          <t>The submitted workbook row has no proposed H1.</t>
        </is>
      </c>
      <c r="K69" s="3" t="inlineStr">
        <is>
          <t>Workbook contains a non-empty H1 and it is consistent with title, primary keyword and live product evidence.</t>
        </is>
      </c>
    </row>
    <row r="70" ht="84" customHeight="1">
      <c r="A70" s="2" t="inlineStr">
        <is>
          <t>ISSUE-0069</t>
        </is>
      </c>
      <c r="B70" s="2" t="inlineStr">
        <is>
          <t>jeminise.com+personalized-baseball-bedding-full-size-flag-custom-name-d-design-03</t>
        </is>
      </c>
      <c r="C70" s="2" t="inlineStr"/>
      <c r="D70" s="2" t="inlineStr">
        <is>
          <t>MINOR</t>
        </is>
      </c>
      <c r="E70" s="2" t="inlineStr">
        <is>
          <t>meta_description_seo</t>
        </is>
      </c>
      <c r="F70" s="2" t="inlineStr">
        <is>
          <t>Shop a comforter set featuring distressed American flag baseball bedding with glove, ball artwork and large block custom name text. Review available sizes and personalization options before checkout.</t>
        </is>
      </c>
      <c r="G70" s="2" t="inlineStr">
        <is>
          <t>Meta description length is 199 characters.</t>
        </is>
      </c>
      <c r="H70" s="2" t="inlineStr">
        <is>
          <t>Likely to truncate in search results and repeats review/personality wording in several rows.</t>
        </is>
      </c>
      <c r="I70" s="2" t="inlineStr">
        <is>
          <t>Rewrite to roughly 145-155 characters while preserving verified design and product type.</t>
        </is>
      </c>
      <c r="J70" s="2" t="inlineStr">
        <is>
          <t>Meta description length is 199 characters.</t>
        </is>
      </c>
      <c r="K70" s="2" t="inlineStr">
        <is>
          <t>Length check &lt;=160 characters and no unsupported claim remains.</t>
        </is>
      </c>
    </row>
    <row r="71" ht="84" customHeight="1">
      <c r="A71" s="3" t="inlineStr">
        <is>
          <t>ISSUE-0070</t>
        </is>
      </c>
      <c r="B71" s="3" t="inlineStr">
        <is>
          <t>jeminise.com+personalized-baseball-bedding-full-size-flag-custom-name-d-design-03</t>
        </is>
      </c>
      <c r="C71" s="3" t="inlineStr"/>
      <c r="D71" s="3" t="inlineStr">
        <is>
          <t>LIMITATION</t>
        </is>
      </c>
      <c r="E71" s="3" t="inlineStr">
        <is>
          <t>keyword_evidence_level</t>
        </is>
      </c>
      <c r="F71" s="3" t="inlineStr">
        <is>
          <t>SERP_ONLY</t>
        </is>
      </c>
      <c r="G71" s="3" t="inlineStr">
        <is>
          <t>Only public SERP comparables are available.</t>
        </is>
      </c>
      <c r="H71" s="3" t="inlineStr">
        <is>
          <t>No Search Console, paid keyword volume or internal site search export was supplied.</t>
        </is>
      </c>
      <c r="I71" s="3" t="inlineStr">
        <is>
          <t>Keep demand statements qualitative; do not claim volume or ranking potential.</t>
        </is>
      </c>
      <c r="J71" s="3" t="inlineStr">
        <is>
          <t>Only public SERP comparables are available.</t>
        </is>
      </c>
      <c r="K71" s="3" t="inlineStr">
        <is>
          <t>Additional first-party or paid keyword evidence is attached, or limitation remains documented.</t>
        </is>
      </c>
    </row>
    <row r="72" ht="84" customHeight="1">
      <c r="A72" s="2" t="inlineStr">
        <is>
          <t>ISSUE-0071</t>
        </is>
      </c>
      <c r="B72" s="2" t="inlineStr">
        <is>
          <t>jeminise.com+personalized-baseball-bedding-full-size-flag-custom-name-d-design-03</t>
        </is>
      </c>
      <c r="C72" s="2" t="inlineStr">
        <is>
          <t>img_775beed5701ef217</t>
        </is>
      </c>
      <c r="D72" s="2" t="inlineStr">
        <is>
          <t>MINOR</t>
        </is>
      </c>
      <c r="E72" s="2" t="inlineStr">
        <is>
          <t>alt text</t>
        </is>
      </c>
      <c r="F72" s="2" t="inlineStr">
        <is>
          <t>Personalized Baseball Flag Bedding with Custom Name displayed in a main product mockup</t>
        </is>
      </c>
      <c r="G72" s="2" t="inlineStr">
        <is>
          <t>Fresh image file: D:\Shopify_Workspace\jeminise_seo\seo_runs\jeminise.com\20260906_234129\qa\20260907_213100\images\178_01.jpg; source URL: https://cdn.shopify.com/s/files/1/0792/5098/1063/files/ed0de96ab2ac6dbaf3ca19c66570314baff970eed7b3354a16d3982fb106adf2.jpg?v=1787242226</t>
        </is>
      </c>
      <c r="H72" s="2" t="inlineStr">
        <is>
          <t>Alt text is too generic or describes placement more than visible content.</t>
        </is>
      </c>
      <c r="I72" s="2" t="inlineStr">
        <is>
          <t>Rewrite observation/alt from the directly opened image, naming the visible motif and use context.</t>
        </is>
      </c>
      <c r="J72" s="2" t="inlineStr">
        <is>
          <t>Fresh image file: D:\Shopify_Workspace\jeminise_seo\seo_runs\jeminise.com\20260906_234129\qa\20260907_213100\images\178_01.jpg; source URL: https://cdn.shopify.com/s/files/1/0792/5098/1063/files/ed0de96ab2ac6dbaf3ca19c66570314baff970eed7b3354a16d3982fb106adf2.jpg?v=1787242226</t>
        </is>
      </c>
      <c r="K72" s="2" t="inlineStr">
        <is>
          <t>The image row accurately describes the actual media at this gallery position.</t>
        </is>
      </c>
    </row>
    <row r="73" ht="84" customHeight="1">
      <c r="A73" s="3" t="inlineStr">
        <is>
          <t>ISSUE-0072</t>
        </is>
      </c>
      <c r="B73" s="3" t="inlineStr">
        <is>
          <t>jeminise.com+personalized-baseball-bedding-full-size-flag-custom-name-d-design-03</t>
        </is>
      </c>
      <c r="C73" s="3" t="inlineStr">
        <is>
          <t>img_b7e5ac6cac2eee68</t>
        </is>
      </c>
      <c r="D73" s="3" t="inlineStr">
        <is>
          <t>MINOR</t>
        </is>
      </c>
      <c r="E73" s="3" t="inlineStr">
        <is>
          <t>image observation</t>
        </is>
      </c>
      <c r="F73" s="3" t="inlineStr">
        <is>
          <t>Bedding type, feature, lifestyle or material image for personalized baseball flag bedding with large name.</t>
        </is>
      </c>
      <c r="G73" s="3" t="inlineStr">
        <is>
          <t>Fresh image file: D:\Shopify_Workspace\jeminise_seo\seo_runs\jeminise.com\20260906_234129\qa\20260907_213100\images\178_03.jpg; source URL: https://cdn.shopify.com/s/files/1/0792/5098/1063/files/b495d9b37eafdceff5caf3643256f7b3a83de826d49a14bdc531b13424296018_2b33ed3c-86f2-46fc-9402-38337778b41b.jpg?v=1787242226</t>
        </is>
      </c>
      <c r="H73" s="3" t="inlineStr">
        <is>
          <t>Observation is generic or position-based; rewrite from the actual image content.</t>
        </is>
      </c>
      <c r="I73" s="3" t="inlineStr">
        <is>
          <t>Rewrite observation/alt from the directly opened image, naming the visible motif and use context.</t>
        </is>
      </c>
      <c r="J73" s="3" t="inlineStr">
        <is>
          <t>Fresh image file: D:\Shopify_Workspace\jeminise_seo\seo_runs\jeminise.com\20260906_234129\qa\20260907_213100\images\178_03.jpg; source URL: https://cdn.shopify.com/s/files/1/0792/5098/1063/files/b495d9b37eafdceff5caf3643256f7b3a83de826d49a14bdc531b13424296018_2b33ed3c-86f2-46fc-9402-38337778b41b.jpg?v=1787242226</t>
        </is>
      </c>
      <c r="K73" s="3" t="inlineStr">
        <is>
          <t>The image row accurately describes the actual media at this gallery position.</t>
        </is>
      </c>
    </row>
    <row r="74" ht="84" customHeight="1">
      <c r="A74" s="2" t="inlineStr">
        <is>
          <t>ISSUE-0073</t>
        </is>
      </c>
      <c r="B74" s="2" t="inlineStr">
        <is>
          <t>jeminise.com+personalized-baseball-bedding-full-size-flag-custom-name-d-design-03</t>
        </is>
      </c>
      <c r="C74" s="2" t="inlineStr">
        <is>
          <t>img_fe09149ab990b87d</t>
        </is>
      </c>
      <c r="D74" s="2" t="inlineStr">
        <is>
          <t>MINOR</t>
        </is>
      </c>
      <c r="E74" s="2" t="inlineStr">
        <is>
          <t>image observation</t>
        </is>
      </c>
      <c r="F74" s="2" t="inlineStr">
        <is>
          <t>Detail, feature panel or lifestyle image connected to personalized baseball flag bedding with large name.</t>
        </is>
      </c>
      <c r="G74" s="2" t="inlineStr">
        <is>
          <t>Fresh image file: D:\Shopify_Workspace\jeminise_seo\seo_runs\jeminise.com\20260906_234129\qa\20260907_213100\images\178_04.jpg; source URL: https://cdn.shopify.com/s/files/1/0792/5098/1063/files/d51e3360a3e4b984af63b01c4b53d517484ca3d6cb1beeea158bcf59acab9ed4_aef6b386-0ac2-46fc-90ba-47ef022ead61.jpg?v=1787242226</t>
        </is>
      </c>
      <c r="H74" s="2" t="inlineStr">
        <is>
          <t>Observation is generic or position-based; rewrite from the actual image content.</t>
        </is>
      </c>
      <c r="I74" s="2" t="inlineStr">
        <is>
          <t>Rewrite observation/alt from the directly opened image, naming the visible motif and use context.</t>
        </is>
      </c>
      <c r="J74" s="2" t="inlineStr">
        <is>
          <t>Fresh image file: D:\Shopify_Workspace\jeminise_seo\seo_runs\jeminise.com\20260906_234129\qa\20260907_213100\images\178_04.jpg; source URL: https://cdn.shopify.com/s/files/1/0792/5098/1063/files/d51e3360a3e4b984af63b01c4b53d517484ca3d6cb1beeea158bcf59acab9ed4_aef6b386-0ac2-46fc-90ba-47ef022ead61.jpg?v=1787242226</t>
        </is>
      </c>
      <c r="K74" s="2" t="inlineStr">
        <is>
          <t>The image row accurately describes the actual media at this gallery position.</t>
        </is>
      </c>
    </row>
    <row r="75" ht="84" customHeight="1">
      <c r="A75" s="3" t="inlineStr">
        <is>
          <t>ISSUE-0074</t>
        </is>
      </c>
      <c r="B75" s="3" t="inlineStr">
        <is>
          <t>jeminise.com+personalized-baseball-bedding-full-size-flag-custom-name-d-design-04</t>
        </is>
      </c>
      <c r="C75" s="3" t="inlineStr"/>
      <c r="D75" s="3" t="inlineStr">
        <is>
          <t>MAJOR</t>
        </is>
      </c>
      <c r="E75" s="3" t="inlineStr">
        <is>
          <t>description_proposed_html</t>
        </is>
      </c>
      <c r="F75" s="3"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t>
        </is>
      </c>
      <c r="G75" s="3" t="inlineStr">
        <is>
          <t>Draft contains SEO Use / QA approval wording.</t>
        </is>
      </c>
      <c r="H75" s="3" t="inlineStr">
        <is>
          <t>Internal workflow language is not publish-ready storefront copy.</t>
        </is>
      </c>
      <c r="I75" s="3" t="inlineStr">
        <is>
          <t>Remove internal QA/import block and replace with customer-facing verified copy.</t>
        </is>
      </c>
      <c r="J75" s="3" t="inlineStr">
        <is>
          <t>Draft contains SEO Use / QA approval wording.</t>
        </is>
      </c>
      <c r="K75" s="3" t="inlineStr">
        <is>
          <t>Description HTML no longer contains SEO Use, QA, approval, import or draft language.</t>
        </is>
      </c>
    </row>
    <row r="76" ht="84" customHeight="1">
      <c r="A76" s="2" t="inlineStr">
        <is>
          <t>ISSUE-0075</t>
        </is>
      </c>
      <c r="B76" s="2" t="inlineStr">
        <is>
          <t>jeminise.com+personalized-baseball-bedding-full-size-flag-custom-name-d-design-04</t>
        </is>
      </c>
      <c r="C76" s="2" t="inlineStr"/>
      <c r="D76" s="2" t="inlineStr">
        <is>
          <t>MAJOR</t>
        </is>
      </c>
      <c r="E76" s="2" t="inlineStr">
        <is>
          <t>h1_proposed</t>
        </is>
      </c>
      <c r="F76" s="2" t="inlineStr"/>
      <c r="G76" s="2" t="inlineStr">
        <is>
          <t>The submitted workbook row has no proposed H1.</t>
        </is>
      </c>
      <c r="H76" s="2" t="inlineStr">
        <is>
          <t>A publishable SEO title/H1 pair is incomplete when the H1 field is blank.</t>
        </is>
      </c>
      <c r="I76" s="2" t="inlineStr">
        <is>
          <t>Write one English H1 that matches the verified product type and visible design; do not copy unsupported claims.</t>
        </is>
      </c>
      <c r="J76" s="2" t="inlineStr">
        <is>
          <t>The submitted workbook row has no proposed H1.</t>
        </is>
      </c>
      <c r="K76" s="2" t="inlineStr">
        <is>
          <t>Workbook contains a non-empty H1 and it is consistent with title, primary keyword and live product evidence.</t>
        </is>
      </c>
    </row>
    <row r="77" ht="84" customHeight="1">
      <c r="A77" s="3" t="inlineStr">
        <is>
          <t>ISSUE-0076</t>
        </is>
      </c>
      <c r="B77" s="3" t="inlineStr">
        <is>
          <t>jeminise.com+personalized-baseball-bedding-full-size-flag-custom-name-d-design-04</t>
        </is>
      </c>
      <c r="C77" s="3" t="inlineStr"/>
      <c r="D77" s="3" t="inlineStr">
        <is>
          <t>MINOR</t>
        </is>
      </c>
      <c r="E77" s="3" t="inlineStr">
        <is>
          <t>meta_description_seo</t>
        </is>
      </c>
      <c r="F77" s="3" t="inlineStr">
        <is>
          <t>Shop a comforter set featuring cream baseball bedding with player silhouettes, baseball stitching, custom names on shams and the quote There is no place like Home. Review available sizes and personalization options before checkout.</t>
        </is>
      </c>
      <c r="G77" s="3" t="inlineStr">
        <is>
          <t>Meta description length is 231 characters.</t>
        </is>
      </c>
      <c r="H77" s="3" t="inlineStr">
        <is>
          <t>Likely to truncate in search results and repeats review/personality wording in several rows.</t>
        </is>
      </c>
      <c r="I77" s="3" t="inlineStr">
        <is>
          <t>Rewrite to roughly 145-155 characters while preserving verified design and product type.</t>
        </is>
      </c>
      <c r="J77" s="3" t="inlineStr">
        <is>
          <t>Meta description length is 231 characters.</t>
        </is>
      </c>
      <c r="K77" s="3" t="inlineStr">
        <is>
          <t>Length check &lt;=160 characters and no unsupported claim remains.</t>
        </is>
      </c>
    </row>
    <row r="78" ht="84" customHeight="1">
      <c r="A78" s="2" t="inlineStr">
        <is>
          <t>ISSUE-0077</t>
        </is>
      </c>
      <c r="B78" s="2" t="inlineStr">
        <is>
          <t>jeminise.com+personalized-baseball-bedding-full-size-flag-custom-name-d-design-04</t>
        </is>
      </c>
      <c r="C78" s="2" t="inlineStr"/>
      <c r="D78" s="2" t="inlineStr">
        <is>
          <t>LIMITATION</t>
        </is>
      </c>
      <c r="E78" s="2" t="inlineStr">
        <is>
          <t>keyword_evidence_level</t>
        </is>
      </c>
      <c r="F78" s="2" t="inlineStr">
        <is>
          <t>SERP_ONLY</t>
        </is>
      </c>
      <c r="G78" s="2" t="inlineStr">
        <is>
          <t>Only public SERP comparables are available.</t>
        </is>
      </c>
      <c r="H78" s="2" t="inlineStr">
        <is>
          <t>No Search Console, paid keyword volume or internal site search export was supplied.</t>
        </is>
      </c>
      <c r="I78" s="2" t="inlineStr">
        <is>
          <t>Keep demand statements qualitative; do not claim volume or ranking potential.</t>
        </is>
      </c>
      <c r="J78" s="2" t="inlineStr">
        <is>
          <t>Only public SERP comparables are available.</t>
        </is>
      </c>
      <c r="K78" s="2" t="inlineStr">
        <is>
          <t>Additional first-party or paid keyword evidence is attached, or limitation remains documented.</t>
        </is>
      </c>
    </row>
    <row r="79" ht="84" customHeight="1">
      <c r="A79" s="3" t="inlineStr">
        <is>
          <t>ISSUE-0078</t>
        </is>
      </c>
      <c r="B79" s="3" t="inlineStr">
        <is>
          <t>jeminise.com+personalized-baseball-bedding-full-size-flag-custom-name-d-design-04</t>
        </is>
      </c>
      <c r="C79" s="3" t="inlineStr">
        <is>
          <t>img_63cf164a4bdd2592</t>
        </is>
      </c>
      <c r="D79" s="3" t="inlineStr">
        <is>
          <t>MINOR</t>
        </is>
      </c>
      <c r="E79" s="3" t="inlineStr">
        <is>
          <t>alt text</t>
        </is>
      </c>
      <c r="F79" s="3" t="inlineStr">
        <is>
          <t>Personalized Baseball Home Quote Bedding displayed in a main product mockup</t>
        </is>
      </c>
      <c r="G79" s="3" t="inlineStr">
        <is>
          <t>Fresh image file: D:\Shopify_Workspace\jeminise_seo\seo_runs\jeminise.com\20260906_234129\qa\20260907_213100\images\179_01.jpg; source URL: https://cdn.shopify.com/s/files/1/0792/5098/1063/files/48c9a495af03f8c5e581f6726f9481edb34e36374ef10042200509fdf7544237.jpg?v=1787242233</t>
        </is>
      </c>
      <c r="H79" s="3" t="inlineStr">
        <is>
          <t>Alt text is too generic or describes placement more than visible content.</t>
        </is>
      </c>
      <c r="I79" s="3" t="inlineStr">
        <is>
          <t>Rewrite observation/alt from the directly opened image, naming the visible motif and use context.</t>
        </is>
      </c>
      <c r="J79" s="3" t="inlineStr">
        <is>
          <t>Fresh image file: D:\Shopify_Workspace\jeminise_seo\seo_runs\jeminise.com\20260906_234129\qa\20260907_213100\images\179_01.jpg; source URL: https://cdn.shopify.com/s/files/1/0792/5098/1063/files/48c9a495af03f8c5e581f6726f9481edb34e36374ef10042200509fdf7544237.jpg?v=1787242233</t>
        </is>
      </c>
      <c r="K79" s="3" t="inlineStr">
        <is>
          <t>The image row accurately describes the actual media at this gallery position.</t>
        </is>
      </c>
    </row>
    <row r="80" ht="84" customHeight="1">
      <c r="A80" s="2" t="inlineStr">
        <is>
          <t>ISSUE-0079</t>
        </is>
      </c>
      <c r="B80" s="2" t="inlineStr">
        <is>
          <t>jeminise.com+personalized-baseball-bedding-full-size-flag-custom-name-d-design-04</t>
        </is>
      </c>
      <c r="C80" s="2" t="inlineStr">
        <is>
          <t>img_1d75a357fea39485</t>
        </is>
      </c>
      <c r="D80" s="2" t="inlineStr">
        <is>
          <t>MINOR</t>
        </is>
      </c>
      <c r="E80" s="2" t="inlineStr">
        <is>
          <t>image observation</t>
        </is>
      </c>
      <c r="F80" s="2" t="inlineStr">
        <is>
          <t>Bedding type, feature, lifestyle or material image for baseball home quote bedding with custom name.</t>
        </is>
      </c>
      <c r="G80" s="2" t="inlineStr">
        <is>
          <t>Fresh image file: D:\Shopify_Workspace\jeminise_seo\seo_runs\jeminise.com\20260906_234129\qa\20260907_213100\images\179_03.jpg; source URL: https://cdn.shopify.com/s/files/1/0792/5098/1063/files/b495d9b37eafdceff5caf3643256f7b3a83de826d49a14bdc531b13424296018_5bbbf685-1a1a-4ecf-b528-e7d90a979aeb.jpg?v=1787242233</t>
        </is>
      </c>
      <c r="H80" s="2" t="inlineStr">
        <is>
          <t>Observation is generic or position-based; rewrite from the actual image content.</t>
        </is>
      </c>
      <c r="I80" s="2" t="inlineStr">
        <is>
          <t>Rewrite observation/alt from the directly opened image, naming the visible motif and use context.</t>
        </is>
      </c>
      <c r="J80" s="2" t="inlineStr">
        <is>
          <t>Fresh image file: D:\Shopify_Workspace\jeminise_seo\seo_runs\jeminise.com\20260906_234129\qa\20260907_213100\images\179_03.jpg; source URL: https://cdn.shopify.com/s/files/1/0792/5098/1063/files/b495d9b37eafdceff5caf3643256f7b3a83de826d49a14bdc531b13424296018_5bbbf685-1a1a-4ecf-b528-e7d90a979aeb.jpg?v=1787242233</t>
        </is>
      </c>
      <c r="K80" s="2" t="inlineStr">
        <is>
          <t>The image row accurately describes the actual media at this gallery position.</t>
        </is>
      </c>
    </row>
    <row r="81" ht="84" customHeight="1">
      <c r="A81" s="3" t="inlineStr">
        <is>
          <t>ISSUE-0080</t>
        </is>
      </c>
      <c r="B81" s="3" t="inlineStr">
        <is>
          <t>jeminise.com+personalized-baseball-bedding-full-size-flag-custom-name-d-design-04</t>
        </is>
      </c>
      <c r="C81" s="3" t="inlineStr">
        <is>
          <t>img_649c53f547b002b4</t>
        </is>
      </c>
      <c r="D81" s="3" t="inlineStr">
        <is>
          <t>MINOR</t>
        </is>
      </c>
      <c r="E81" s="3" t="inlineStr">
        <is>
          <t>image observation</t>
        </is>
      </c>
      <c r="F81" s="3" t="inlineStr">
        <is>
          <t>Detail, feature panel or lifestyle image connected to baseball home quote bedding with custom name.</t>
        </is>
      </c>
      <c r="G81" s="3" t="inlineStr">
        <is>
          <t>Fresh image file: D:\Shopify_Workspace\jeminise_seo\seo_runs\jeminise.com\20260906_234129\qa\20260907_213100\images\179_04.jpg; source URL: https://cdn.shopify.com/s/files/1/0792/5098/1063/files/d51e3360a3e4b984af63b01c4b53d517484ca3d6cb1beeea158bcf59acab9ed4_f11c41aa-24d3-495d-961d-3a238f8334db.jpg?v=1787242278</t>
        </is>
      </c>
      <c r="H81" s="3" t="inlineStr">
        <is>
          <t>Observation is generic or position-based; rewrite from the actual image content.</t>
        </is>
      </c>
      <c r="I81" s="3" t="inlineStr">
        <is>
          <t>Rewrite observation/alt from the directly opened image, naming the visible motif and use context.</t>
        </is>
      </c>
      <c r="J81" s="3" t="inlineStr">
        <is>
          <t>Fresh image file: D:\Shopify_Workspace\jeminise_seo\seo_runs\jeminise.com\20260906_234129\qa\20260907_213100\images\179_04.jpg; source URL: https://cdn.shopify.com/s/files/1/0792/5098/1063/files/d51e3360a3e4b984af63b01c4b53d517484ca3d6cb1beeea158bcf59acab9ed4_f11c41aa-24d3-495d-961d-3a238f8334db.jpg?v=1787242278</t>
        </is>
      </c>
      <c r="K81" s="3" t="inlineStr">
        <is>
          <t>The image row accurately describes the actual media at this gallery position.</t>
        </is>
      </c>
    </row>
    <row r="82" ht="84" customHeight="1">
      <c r="A82" s="2" t="inlineStr">
        <is>
          <t>ISSUE-0081</t>
        </is>
      </c>
      <c r="B82" s="2" t="inlineStr">
        <is>
          <t>jeminise.com+personalized-baseball-bedding-full-size-flag-custom-name-d-design-05</t>
        </is>
      </c>
      <c r="C82" s="2" t="inlineStr"/>
      <c r="D82" s="2" t="inlineStr">
        <is>
          <t>CRITICAL</t>
        </is>
      </c>
      <c r="E82" s="2" t="inlineStr">
        <is>
          <t>personalization/customizer</t>
        </is>
      </c>
      <c r="F82" s="2"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t>
        </is>
      </c>
      <c r="G82" s="2" t="inlineStr">
        <is>
          <t>Draft claims customization/personalization but static live audit did not find a customizer root.</t>
        </is>
      </c>
      <c r="H82" s="2" t="inlineStr">
        <is>
          <t>Claim is materially unsafe until the live purchase flow exposes matching input controls.</t>
        </is>
      </c>
      <c r="I82" s="2" t="inlineStr">
        <is>
          <t>Remove/soften unsupported personalization claim, or provide admin/live proof that matching controls work.</t>
        </is>
      </c>
      <c r="J82" s="2" t="inlineStr">
        <is>
          <t>Draft claims customization/personalization but static live audit did not find a customizer root.</t>
        </is>
      </c>
      <c r="K82" s="2" t="inlineStr">
        <is>
          <t>Re-open live product and verify the exact name/number/photo input is present and mapped to fulfillment.</t>
        </is>
      </c>
    </row>
    <row r="83" ht="84" customHeight="1">
      <c r="A83" s="3" t="inlineStr">
        <is>
          <t>ISSUE-0082</t>
        </is>
      </c>
      <c r="B83" s="3" t="inlineStr">
        <is>
          <t>jeminise.com+personalized-baseball-bedding-full-size-flag-custom-name-d-design-05</t>
        </is>
      </c>
      <c r="C83" s="3" t="inlineStr"/>
      <c r="D83" s="3" t="inlineStr">
        <is>
          <t>MAJOR</t>
        </is>
      </c>
      <c r="E83" s="3" t="inlineStr">
        <is>
          <t>description_proposed_html</t>
        </is>
      </c>
      <c r="F83" s="3"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t>
        </is>
      </c>
      <c r="G83" s="3" t="inlineStr">
        <is>
          <t>Draft contains SEO Use / QA approval wording.</t>
        </is>
      </c>
      <c r="H83" s="3" t="inlineStr">
        <is>
          <t>Internal workflow language is not publish-ready storefront copy.</t>
        </is>
      </c>
      <c r="I83" s="3" t="inlineStr">
        <is>
          <t>Remove internal QA/import block and replace with customer-facing verified copy.</t>
        </is>
      </c>
      <c r="J83" s="3" t="inlineStr">
        <is>
          <t>Draft contains SEO Use / QA approval wording.</t>
        </is>
      </c>
      <c r="K83" s="3" t="inlineStr">
        <is>
          <t>Description HTML no longer contains SEO Use, QA, approval, import or draft language.</t>
        </is>
      </c>
    </row>
    <row r="84" ht="84" customHeight="1">
      <c r="A84" s="2" t="inlineStr">
        <is>
          <t>ISSUE-0083</t>
        </is>
      </c>
      <c r="B84" s="2" t="inlineStr">
        <is>
          <t>jeminise.com+personalized-baseball-bedding-full-size-flag-custom-name-d-design-05</t>
        </is>
      </c>
      <c r="C84" s="2" t="inlineStr"/>
      <c r="D84" s="2" t="inlineStr">
        <is>
          <t>MAJOR</t>
        </is>
      </c>
      <c r="E84" s="2" t="inlineStr">
        <is>
          <t>h1_proposed</t>
        </is>
      </c>
      <c r="F84" s="2" t="inlineStr"/>
      <c r="G84" s="2" t="inlineStr">
        <is>
          <t>The submitted workbook row has no proposed H1.</t>
        </is>
      </c>
      <c r="H84" s="2" t="inlineStr">
        <is>
          <t>A publishable SEO title/H1 pair is incomplete when the H1 field is blank.</t>
        </is>
      </c>
      <c r="I84" s="2" t="inlineStr">
        <is>
          <t>Write one English H1 that matches the verified product type and visible design; do not copy unsupported claims.</t>
        </is>
      </c>
      <c r="J84" s="2" t="inlineStr">
        <is>
          <t>The submitted workbook row has no proposed H1.</t>
        </is>
      </c>
      <c r="K84" s="2" t="inlineStr">
        <is>
          <t>Workbook contains a non-empty H1 and it is consistent with title, primary keyword and live product evidence.</t>
        </is>
      </c>
    </row>
    <row r="85" ht="84" customHeight="1">
      <c r="A85" s="3" t="inlineStr">
        <is>
          <t>ISSUE-0084</t>
        </is>
      </c>
      <c r="B85" s="3" t="inlineStr">
        <is>
          <t>jeminise.com+personalized-baseball-bedding-full-size-flag-custom-name-d-design-05</t>
        </is>
      </c>
      <c r="C85" s="3" t="inlineStr"/>
      <c r="D85" s="3" t="inlineStr">
        <is>
          <t>MINOR</t>
        </is>
      </c>
      <c r="E85" s="3" t="inlineStr">
        <is>
          <t>meta_description_seo</t>
        </is>
      </c>
      <c r="F85" s="3" t="inlineStr">
        <is>
          <t>Shop a comforter set featuring American flag baseball bedding with catcher artwork, jersey number and large custom name text. Review available sizes and personalization options before checkout.</t>
        </is>
      </c>
      <c r="G85" s="3" t="inlineStr">
        <is>
          <t>Meta description length is 193 characters.</t>
        </is>
      </c>
      <c r="H85" s="3" t="inlineStr">
        <is>
          <t>Likely to truncate in search results and repeats review/personality wording in several rows.</t>
        </is>
      </c>
      <c r="I85" s="3" t="inlineStr">
        <is>
          <t>Rewrite to roughly 145-155 characters while preserving verified design and product type.</t>
        </is>
      </c>
      <c r="J85" s="3" t="inlineStr">
        <is>
          <t>Meta description length is 193 characters.</t>
        </is>
      </c>
      <c r="K85" s="3" t="inlineStr">
        <is>
          <t>Length check &lt;=160 characters and no unsupported claim remains.</t>
        </is>
      </c>
    </row>
    <row r="86" ht="84" customHeight="1">
      <c r="A86" s="2" t="inlineStr">
        <is>
          <t>ISSUE-0085</t>
        </is>
      </c>
      <c r="B86" s="2" t="inlineStr">
        <is>
          <t>jeminise.com+personalized-baseball-bedding-full-size-flag-custom-name-d-design-05</t>
        </is>
      </c>
      <c r="C86" s="2" t="inlineStr"/>
      <c r="D86" s="2" t="inlineStr">
        <is>
          <t>LIMITATION</t>
        </is>
      </c>
      <c r="E86" s="2" t="inlineStr">
        <is>
          <t>keyword_evidence_level</t>
        </is>
      </c>
      <c r="F86" s="2" t="inlineStr">
        <is>
          <t>SERP_ONLY</t>
        </is>
      </c>
      <c r="G86" s="2" t="inlineStr">
        <is>
          <t>Only public SERP comparables are available.</t>
        </is>
      </c>
      <c r="H86" s="2" t="inlineStr">
        <is>
          <t>No Search Console, paid keyword volume or internal site search export was supplied.</t>
        </is>
      </c>
      <c r="I86" s="2" t="inlineStr">
        <is>
          <t>Keep demand statements qualitative; do not claim volume or ranking potential.</t>
        </is>
      </c>
      <c r="J86" s="2" t="inlineStr">
        <is>
          <t>Only public SERP comparables are available.</t>
        </is>
      </c>
      <c r="K86" s="2" t="inlineStr">
        <is>
          <t>Additional first-party or paid keyword evidence is attached, or limitation remains documented.</t>
        </is>
      </c>
    </row>
    <row r="87" ht="84" customHeight="1">
      <c r="A87" s="3" t="inlineStr">
        <is>
          <t>ISSUE-0086</t>
        </is>
      </c>
      <c r="B87" s="3" t="inlineStr">
        <is>
          <t>jeminise.com+personalized-baseball-bedding-full-size-flag-custom-name-d-design-05</t>
        </is>
      </c>
      <c r="C87" s="3" t="inlineStr">
        <is>
          <t>img_c3014b777f5a7743</t>
        </is>
      </c>
      <c r="D87" s="3" t="inlineStr">
        <is>
          <t>MINOR</t>
        </is>
      </c>
      <c r="E87" s="3" t="inlineStr">
        <is>
          <t>alt text</t>
        </is>
      </c>
      <c r="F87" s="3" t="inlineStr">
        <is>
          <t>Personalized Catcher American Flag Baseball Bedding displayed in a main product mockup</t>
        </is>
      </c>
      <c r="G87" s="3" t="inlineStr">
        <is>
          <t>Fresh image file: D:\Shopify_Workspace\jeminise_seo\seo_runs\jeminise.com\20260906_234129\qa\20260907_213100\images\180_01.jpg; source URL: https://cdn.shopify.com/s/files/1/0792/5098/1063/files/d378f1a48f335b21aefca30b88f78840020f51ab8fbc27d3943bcd358c24aa0f.jpg?v=1787242242</t>
        </is>
      </c>
      <c r="H87" s="3" t="inlineStr">
        <is>
          <t>Alt text is too generic or describes placement more than visible content.</t>
        </is>
      </c>
      <c r="I87" s="3" t="inlineStr">
        <is>
          <t>Rewrite observation/alt from the directly opened image, naming the visible motif and use context.</t>
        </is>
      </c>
      <c r="J87" s="3" t="inlineStr">
        <is>
          <t>Fresh image file: D:\Shopify_Workspace\jeminise_seo\seo_runs\jeminise.com\20260906_234129\qa\20260907_213100\images\180_01.jpg; source URL: https://cdn.shopify.com/s/files/1/0792/5098/1063/files/d378f1a48f335b21aefca30b88f78840020f51ab8fbc27d3943bcd358c24aa0f.jpg?v=1787242242</t>
        </is>
      </c>
      <c r="K87" s="3" t="inlineStr">
        <is>
          <t>The image row accurately describes the actual media at this gallery position.</t>
        </is>
      </c>
    </row>
    <row r="88" ht="84" customHeight="1">
      <c r="A88" s="2" t="inlineStr">
        <is>
          <t>ISSUE-0087</t>
        </is>
      </c>
      <c r="B88" s="2" t="inlineStr">
        <is>
          <t>jeminise.com+personalized-baseball-bedding-full-size-flag-custom-name-d-design-05</t>
        </is>
      </c>
      <c r="C88" s="2" t="inlineStr">
        <is>
          <t>img_5dd4e3c4846504c1</t>
        </is>
      </c>
      <c r="D88" s="2" t="inlineStr">
        <is>
          <t>MINOR</t>
        </is>
      </c>
      <c r="E88" s="2" t="inlineStr">
        <is>
          <t>image observation</t>
        </is>
      </c>
      <c r="F88" s="2" t="inlineStr">
        <is>
          <t>Bedding type, feature, lifestyle or material image for personalized catcher American flag baseball bedding.</t>
        </is>
      </c>
      <c r="G88" s="2" t="inlineStr">
        <is>
          <t>Fresh image file: D:\Shopify_Workspace\jeminise_seo\seo_runs\jeminise.com\20260906_234129\qa\20260907_213100\images\180_03.jpg; source URL: https://cdn.shopify.com/s/files/1/0792/5098/1063/files/b495d9b37eafdceff5caf3643256f7b3a83de826d49a14bdc531b13424296018_f9f0eeec-4dae-411e-a33a-449c47bc2ea9.jpg?v=1787242242</t>
        </is>
      </c>
      <c r="H88" s="2" t="inlineStr">
        <is>
          <t>Observation is generic or position-based; rewrite from the actual image content.</t>
        </is>
      </c>
      <c r="I88" s="2" t="inlineStr">
        <is>
          <t>Rewrite observation/alt from the directly opened image, naming the visible motif and use context.</t>
        </is>
      </c>
      <c r="J88" s="2" t="inlineStr">
        <is>
          <t>Fresh image file: D:\Shopify_Workspace\jeminise_seo\seo_runs\jeminise.com\20260906_234129\qa\20260907_213100\images\180_03.jpg; source URL: https://cdn.shopify.com/s/files/1/0792/5098/1063/files/b495d9b37eafdceff5caf3643256f7b3a83de826d49a14bdc531b13424296018_f9f0eeec-4dae-411e-a33a-449c47bc2ea9.jpg?v=1787242242</t>
        </is>
      </c>
      <c r="K88" s="2" t="inlineStr">
        <is>
          <t>The image row accurately describes the actual media at this gallery position.</t>
        </is>
      </c>
    </row>
    <row r="89" ht="84" customHeight="1">
      <c r="A89" s="3" t="inlineStr">
        <is>
          <t>ISSUE-0088</t>
        </is>
      </c>
      <c r="B89" s="3" t="inlineStr">
        <is>
          <t>jeminise.com+personalized-baseball-bedding-full-size-flag-custom-name-d-design-05</t>
        </is>
      </c>
      <c r="C89" s="3" t="inlineStr">
        <is>
          <t>img_a7c8c1d0f607688f</t>
        </is>
      </c>
      <c r="D89" s="3" t="inlineStr">
        <is>
          <t>MINOR</t>
        </is>
      </c>
      <c r="E89" s="3" t="inlineStr">
        <is>
          <t>image observation</t>
        </is>
      </c>
      <c r="F89" s="3" t="inlineStr">
        <is>
          <t>Detail, feature panel or lifestyle image connected to personalized catcher American flag baseball bedding.</t>
        </is>
      </c>
      <c r="G89" s="3" t="inlineStr">
        <is>
          <t>Fresh image file: D:\Shopify_Workspace\jeminise_seo\seo_runs\jeminise.com\20260906_234129\qa\20260907_213100\images\180_04.jpg; source URL: https://cdn.shopify.com/s/files/1/0792/5098/1063/files/d51e3360a3e4b984af63b01c4b53d517484ca3d6cb1beeea158bcf59acab9ed4_50f3a975-3368-46bf-b2b6-f3ee3fcca066.jpg?v=1787242243</t>
        </is>
      </c>
      <c r="H89" s="3" t="inlineStr">
        <is>
          <t>Observation is generic or position-based; rewrite from the actual image content.</t>
        </is>
      </c>
      <c r="I89" s="3" t="inlineStr">
        <is>
          <t>Rewrite observation/alt from the directly opened image, naming the visible motif and use context.</t>
        </is>
      </c>
      <c r="J89" s="3" t="inlineStr">
        <is>
          <t>Fresh image file: D:\Shopify_Workspace\jeminise_seo\seo_runs\jeminise.com\20260906_234129\qa\20260907_213100\images\180_04.jpg; source URL: https://cdn.shopify.com/s/files/1/0792/5098/1063/files/d51e3360a3e4b984af63b01c4b53d517484ca3d6cb1beeea158bcf59acab9ed4_50f3a975-3368-46bf-b2b6-f3ee3fcca066.jpg?v=1787242243</t>
        </is>
      </c>
      <c r="K89" s="3" t="inlineStr">
        <is>
          <t>The image row accurately describes the actual media at this gallery position.</t>
        </is>
      </c>
    </row>
  </sheetData>
  <autoFilter ref="A1:K89"/>
  <conditionalFormatting sqref="D2:D89">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2026-09-07T14:44:56Z</dcterms:created>
  <dcterms:modified xmlns:dcterms="http://purl.org/dc/terms/" xmlns:xsi="http://www.w3.org/2001/XMLSchema-instance" xsi:type="dcterms:W3CDTF">2026-09-07T14:44:57Z</dcterms:modified>
</cp:coreProperties>
</file>