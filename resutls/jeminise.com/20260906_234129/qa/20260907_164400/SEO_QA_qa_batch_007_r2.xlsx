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'QA_Summary'!$A$1:$C$14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'QA_Images'!$A$1:$Z$61</definedName>
    <definedName name="_xlnm.Print_Titles" localSheetId="3">'QA_Images'!$1:$1</definedName>
    <definedName name="_xlnm._FilterDatabase" localSheetId="4" hidden="1">'QA_Issues'!$A$1:$K$55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above-yard-lines-perspective-comforter-2c2cb25ed8-2c2cb25ed8" TargetMode="External" Id="rId1"/><Relationship Type="http://schemas.openxmlformats.org/officeDocument/2006/relationships/hyperlink" Target="https://jeminise.com/products/custom-football-close-up-on-american-flag-comforter-039b2d7dd4-039b2d7dd4" TargetMode="External" Id="rId2"/><Relationship Type="http://schemas.openxmlformats.org/officeDocument/2006/relationships/hyperlink" Target="https://jeminise.com/products/custom-football-engulfed-in-flames-and-lightning-comforter-902ce338f4-902ce338f4" TargetMode="External" Id="rId3"/><Relationship Type="http://schemas.openxmlformats.org/officeDocument/2006/relationships/hyperlink" Target="https://jeminise.com/products/custom-football-helmet-on-american-flag-vintage-comforter-43f12dbb8d-43f12dbb8d" TargetMode="External" Id="rId4"/><Relationship Type="http://schemas.openxmlformats.org/officeDocument/2006/relationships/hyperlink" Target="https://jeminise.com/products/custom-football-helmet-with-flaming-football-comforter-07ad417afe-07ad417afe" TargetMode="External" Id="rId5"/><Relationship Type="http://schemas.openxmlformats.org/officeDocument/2006/relationships/hyperlink" Target="https://jeminise.com/products/custom-football-over-american-flag-background-comforter-ed07da9f1f-ed07da9f1f" TargetMode="External" Id="rId6"/><Relationship Type="http://schemas.openxmlformats.org/officeDocument/2006/relationships/hyperlink" Target="https://jeminise.com/products/custom-football-player-holding-ball-close-up-comforter-d5b47c0ee0-d5b47c0ee0" TargetMode="External" Id="rId7"/><Relationship Type="http://schemas.openxmlformats.org/officeDocument/2006/relationships/hyperlink" Target="https://jeminise.com/products/custom-football-player-holding-ball-close-up-comforter-with-football-helmet-da6d035722-da6d035722" TargetMode="External" Id="rId8"/><Relationship Type="http://schemas.openxmlformats.org/officeDocument/2006/relationships/hyperlink" Target="https://jeminise.com/products/custom-football-player-holding-ball-collage-comforter-with-football-helmet-08a49e7d2b-08a49e7d2b" TargetMode="External" Id="rId9"/><Relationship Type="http://schemas.openxmlformats.org/officeDocument/2006/relationships/hyperlink" Target="https://jeminise.com/products/custom-football-player-running-on-camouflage-flag-comforter-9b84ecda23-9b84ecda2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abb8c116f8a69109b5b97431aba79a77114883e996d533a69bdd3e830c85aa8.jpg?v=1785102101" TargetMode="External" Id="rId1"/><Relationship Type="http://schemas.openxmlformats.org/officeDocument/2006/relationships/hyperlink" Target="https://cdn.shopify.com/s/files/1/0792/5098/1063/files/fabb8c116f8a69109b5b97431aba79a77114883e996d533a69bdd3e830c85aa8.jpg?v=1785102101" TargetMode="External" Id="rId2"/><Relationship Type="http://schemas.openxmlformats.org/officeDocument/2006/relationships/hyperlink" Target="https://cdn.shopify.com/s/files/1/0792/5098/1063/files/bb2b2afe73783faaecbdb311e97c954653100ac7c42259403fa2beff32bda8b3.jpg?v=1785102101" TargetMode="External" Id="rId3"/><Relationship Type="http://schemas.openxmlformats.org/officeDocument/2006/relationships/hyperlink" Target="https://cdn.shopify.com/s/files/1/0792/5098/1063/files/bb2b2afe73783faaecbdb311e97c954653100ac7c42259403fa2beff32bda8b3.jpg?v=1785102101" TargetMode="External" Id="rId4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5"/><Relationship Type="http://schemas.openxmlformats.org/officeDocument/2006/relationships/hyperlink" Target="https://cdn.shopify.com/s/files/1/0792/5098/1063/files/16f7293cbefa5743a35b2e6316a5a114e5c052d08151e367dafd26aa5e2e542b_d9f519f1-e536-4b68-9005-99ba7334bdc3.jpg?v=1785102101" TargetMode="External" Id="rId6"/><Relationship Type="http://schemas.openxmlformats.org/officeDocument/2006/relationships/hyperlink" Target="https://cdn.shopify.com/s/files/1/0792/5098/1063/files/4a9f47f7ad33573ee6920e55e7fc7230132fd822285f6a88e48a89911a823331.jpg?v=1785102101" TargetMode="External" Id="rId7"/><Relationship Type="http://schemas.openxmlformats.org/officeDocument/2006/relationships/hyperlink" Target="https://cdn.shopify.com/s/files/1/0792/5098/1063/files/4a9f47f7ad33573ee6920e55e7fc7230132fd822285f6a88e48a89911a823331.jpg?v=1785102101" TargetMode="External" Id="rId8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9"/><Relationship Type="http://schemas.openxmlformats.org/officeDocument/2006/relationships/hyperlink" Target="https://cdn.shopify.com/s/files/1/0792/5098/1063/files/7c006bddc94d4763c71c8376307e195c1bbce73b8c802ec73ac5a8cef1291262_64eabeb6-ff03-4ac3-934e-929fec55c819.jpg?v=1785102101" TargetMode="External" Id="rId10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1"/><Relationship Type="http://schemas.openxmlformats.org/officeDocument/2006/relationships/hyperlink" Target="https://cdn.shopify.com/s/files/1/0792/5098/1063/files/e5cad84edb4d7bf77c48fd7c8e52eb3b73f04eba8bf177671fd8a059c59422e8_6ee1463c-88ca-4483-b00c-586c3cb108f4.jpg?v=1785102100" TargetMode="External" Id="rId12"/><Relationship Type="http://schemas.openxmlformats.org/officeDocument/2006/relationships/hyperlink" Target="https://cdn.shopify.com/s/files/1/0792/5098/1063/files/1ce63baff5dac37aac0443db6cfd7edb9f71788a1cb5c5a0cfd1a3c5c9f1dbbc.jpg?v=1785100885" TargetMode="External" Id="rId13"/><Relationship Type="http://schemas.openxmlformats.org/officeDocument/2006/relationships/hyperlink" Target="https://cdn.shopify.com/s/files/1/0792/5098/1063/files/1ce63baff5dac37aac0443db6cfd7edb9f71788a1cb5c5a0cfd1a3c5c9f1dbbc.jpg?v=1785100885" TargetMode="External" Id="rId14"/><Relationship Type="http://schemas.openxmlformats.org/officeDocument/2006/relationships/hyperlink" Target="https://cdn.shopify.com/s/files/1/0792/5098/1063/files/c2405f1758d7fd79680d543c62d4cbdf14b4dc35687350d9224706053a6603ec.jpg?v=1785100885" TargetMode="External" Id="rId15"/><Relationship Type="http://schemas.openxmlformats.org/officeDocument/2006/relationships/hyperlink" Target="https://cdn.shopify.com/s/files/1/0792/5098/1063/files/c2405f1758d7fd79680d543c62d4cbdf14b4dc35687350d9224706053a6603ec.jpg?v=1785100885" TargetMode="External" Id="rId16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7"/><Relationship Type="http://schemas.openxmlformats.org/officeDocument/2006/relationships/hyperlink" Target="https://cdn.shopify.com/s/files/1/0792/5098/1063/files/16f7293cbefa5743a35b2e6316a5a114e5c052d08151e367dafd26aa5e2e542b_0b89ab1f-ea4c-49df-8c06-0677dcaabc28.jpg?v=1785100885" TargetMode="External" Id="rId18"/><Relationship Type="http://schemas.openxmlformats.org/officeDocument/2006/relationships/hyperlink" Target="https://cdn.shopify.com/s/files/1/0792/5098/1063/files/4914bbcfdaf08892e103dca112bcdb6b7b8b3ab540022b5045397fa0aaef491b.jpg?v=1785100885" TargetMode="External" Id="rId19"/><Relationship Type="http://schemas.openxmlformats.org/officeDocument/2006/relationships/hyperlink" Target="https://cdn.shopify.com/s/files/1/0792/5098/1063/files/4914bbcfdaf08892e103dca112bcdb6b7b8b3ab540022b5045397fa0aaef491b.jpg?v=1785100885" TargetMode="External" Id="rId20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1"/><Relationship Type="http://schemas.openxmlformats.org/officeDocument/2006/relationships/hyperlink" Target="https://cdn.shopify.com/s/files/1/0792/5098/1063/files/7c006bddc94d4763c71c8376307e195c1bbce73b8c802ec73ac5a8cef1291262_d7ab3e47-c076-48c6-b457-e9f15c052795.jpg?v=1785100885" TargetMode="External" Id="rId22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3"/><Relationship Type="http://schemas.openxmlformats.org/officeDocument/2006/relationships/hyperlink" Target="https://cdn.shopify.com/s/files/1/0792/5098/1063/files/e5cad84edb4d7bf77c48fd7c8e52eb3b73f04eba8bf177671fd8a059c59422e8_5e56dc4e-55df-439c-8abe-942360549f85.jpg?v=1785100885" TargetMode="External" Id="rId24"/><Relationship Type="http://schemas.openxmlformats.org/officeDocument/2006/relationships/hyperlink" Target="https://cdn.shopify.com/s/files/1/0792/5098/1063/files/92d4facb8391174bdcd6943c4c88fcd1c1680fa071da41e7b31d86da0c093d14.jpg?v=1785101008" TargetMode="External" Id="rId25"/><Relationship Type="http://schemas.openxmlformats.org/officeDocument/2006/relationships/hyperlink" Target="https://cdn.shopify.com/s/files/1/0792/5098/1063/files/92d4facb8391174bdcd6943c4c88fcd1c1680fa071da41e7b31d86da0c093d14.jpg?v=1785101008" TargetMode="External" Id="rId26"/><Relationship Type="http://schemas.openxmlformats.org/officeDocument/2006/relationships/hyperlink" Target="https://cdn.shopify.com/s/files/1/0792/5098/1063/files/9fe3a6e480d0f0317a5ccf9612cb427f2ddd048d738b857530837994ff285bc1.jpg?v=1785101009" TargetMode="External" Id="rId27"/><Relationship Type="http://schemas.openxmlformats.org/officeDocument/2006/relationships/hyperlink" Target="https://cdn.shopify.com/s/files/1/0792/5098/1063/files/9fe3a6e480d0f0317a5ccf9612cb427f2ddd048d738b857530837994ff285bc1.jpg?v=1785101009" TargetMode="External" Id="rId28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29"/><Relationship Type="http://schemas.openxmlformats.org/officeDocument/2006/relationships/hyperlink" Target="https://cdn.shopify.com/s/files/1/0792/5098/1063/files/16f7293cbefa5743a35b2e6316a5a114e5c052d08151e367dafd26aa5e2e542b_4b75df23-7936-40ad-82f9-1f31849671f1.jpg?v=1785101008" TargetMode="External" Id="rId30"/><Relationship Type="http://schemas.openxmlformats.org/officeDocument/2006/relationships/hyperlink" Target="https://cdn.shopify.com/s/files/1/0792/5098/1063/files/472025069f76a31ff7444501d701bf6473cabc19817441bf6721ff10dfe71744.jpg?v=1785101009" TargetMode="External" Id="rId31"/><Relationship Type="http://schemas.openxmlformats.org/officeDocument/2006/relationships/hyperlink" Target="https://cdn.shopify.com/s/files/1/0792/5098/1063/files/472025069f76a31ff7444501d701bf6473cabc19817441bf6721ff10dfe71744.jpg?v=1785101009" TargetMode="External" Id="rId32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3"/><Relationship Type="http://schemas.openxmlformats.org/officeDocument/2006/relationships/hyperlink" Target="https://cdn.shopify.com/s/files/1/0792/5098/1063/files/7c006bddc94d4763c71c8376307e195c1bbce73b8c802ec73ac5a8cef1291262_d348b2ff-7e31-4742-9223-00b0f638719b.jpg?v=1785101009" TargetMode="External" Id="rId34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5"/><Relationship Type="http://schemas.openxmlformats.org/officeDocument/2006/relationships/hyperlink" Target="https://cdn.shopify.com/s/files/1/0792/5098/1063/files/e5cad84edb4d7bf77c48fd7c8e52eb3b73f04eba8bf177671fd8a059c59422e8_a228f399-5e3f-4db2-9e0a-60b45966316e.jpg?v=1785101009" TargetMode="External" Id="rId36"/><Relationship Type="http://schemas.openxmlformats.org/officeDocument/2006/relationships/hyperlink" Target="https://cdn.shopify.com/s/files/1/0792/5098/1063/files/b723498d2ddba3665cd0b02ca579bcb97ac6f009301f4d95ca0c9859f96a6c98.jpg?v=1785101596" TargetMode="External" Id="rId37"/><Relationship Type="http://schemas.openxmlformats.org/officeDocument/2006/relationships/hyperlink" Target="https://cdn.shopify.com/s/files/1/0792/5098/1063/files/b723498d2ddba3665cd0b02ca579bcb97ac6f009301f4d95ca0c9859f96a6c98.jpg?v=1785101596" TargetMode="External" Id="rId38"/><Relationship Type="http://schemas.openxmlformats.org/officeDocument/2006/relationships/hyperlink" Target="https://cdn.shopify.com/s/files/1/0792/5098/1063/files/023b0b27e9319c36b7aed2f0c8160a06f9a4bf49047320802c4da5230e5f5bd5.jpg?v=1785101596" TargetMode="External" Id="rId39"/><Relationship Type="http://schemas.openxmlformats.org/officeDocument/2006/relationships/hyperlink" Target="https://cdn.shopify.com/s/files/1/0792/5098/1063/files/023b0b27e9319c36b7aed2f0c8160a06f9a4bf49047320802c4da5230e5f5bd5.jpg?v=1785101596" TargetMode="External" Id="rId40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1"/><Relationship Type="http://schemas.openxmlformats.org/officeDocument/2006/relationships/hyperlink" Target="https://cdn.shopify.com/s/files/1/0792/5098/1063/files/16f7293cbefa5743a35b2e6316a5a114e5c052d08151e367dafd26aa5e2e542b_b5e11b82-bb88-4405-b39a-ada9a0bb2e32.jpg?v=1785101596" TargetMode="External" Id="rId42"/><Relationship Type="http://schemas.openxmlformats.org/officeDocument/2006/relationships/hyperlink" Target="https://cdn.shopify.com/s/files/1/0792/5098/1063/files/6bc11555d1931f7b7f41ec9ee898ee629ba47c12d6e402dc3242ed8969abc9e8.jpg?v=1785101596" TargetMode="External" Id="rId43"/><Relationship Type="http://schemas.openxmlformats.org/officeDocument/2006/relationships/hyperlink" Target="https://cdn.shopify.com/s/files/1/0792/5098/1063/files/6bc11555d1931f7b7f41ec9ee898ee629ba47c12d6e402dc3242ed8969abc9e8.jpg?v=1785101596" TargetMode="External" Id="rId44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5"/><Relationship Type="http://schemas.openxmlformats.org/officeDocument/2006/relationships/hyperlink" Target="https://cdn.shopify.com/s/files/1/0792/5098/1063/files/7c006bddc94d4763c71c8376307e195c1bbce73b8c802ec73ac5a8cef1291262_bf065cc1-e675-45e4-b323-b95fd7078f3e.jpg?v=1785101596" TargetMode="External" Id="rId46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7"/><Relationship Type="http://schemas.openxmlformats.org/officeDocument/2006/relationships/hyperlink" Target="https://cdn.shopify.com/s/files/1/0792/5098/1063/files/e5cad84edb4d7bf77c48fd7c8e52eb3b73f04eba8bf177671fd8a059c59422e8_d3641c01-3457-40e5-85ec-e99f0bc7c8bf.jpg?v=1785101596" TargetMode="External" Id="rId48"/><Relationship Type="http://schemas.openxmlformats.org/officeDocument/2006/relationships/hyperlink" Target="https://cdn.shopify.com/s/files/1/0792/5098/1063/files/2c32fae63175e304867066bac03a293c71ad2f6ef6d1330ced8a8f15a36ac9c2.jpg?v=1785100138" TargetMode="External" Id="rId49"/><Relationship Type="http://schemas.openxmlformats.org/officeDocument/2006/relationships/hyperlink" Target="https://cdn.shopify.com/s/files/1/0792/5098/1063/files/2c32fae63175e304867066bac03a293c71ad2f6ef6d1330ced8a8f15a36ac9c2.jpg?v=1785100138" TargetMode="External" Id="rId50"/><Relationship Type="http://schemas.openxmlformats.org/officeDocument/2006/relationships/hyperlink" Target="https://cdn.shopify.com/s/files/1/0792/5098/1063/files/46e00b4700701b902d3ea10129e771e1a88a9e6410143295fd227ca748dc5f6e.jpg?v=1785100138" TargetMode="External" Id="rId51"/><Relationship Type="http://schemas.openxmlformats.org/officeDocument/2006/relationships/hyperlink" Target="https://cdn.shopify.com/s/files/1/0792/5098/1063/files/46e00b4700701b902d3ea10129e771e1a88a9e6410143295fd227ca748dc5f6e.jpg?v=1785100138" TargetMode="External" Id="rId52"/><Relationship Type="http://schemas.openxmlformats.org/officeDocument/2006/relationships/hyperlink" Target="https://cdn.shopify.com/s/files/1/0792/5098/1063/files/9aa9c35ad239e2defe80d680bfc9c3ac770143ee38bd0c93c9b9e1b1dc297f8c.jpg?v=1785100138" TargetMode="External" Id="rId53"/><Relationship Type="http://schemas.openxmlformats.org/officeDocument/2006/relationships/hyperlink" Target="https://cdn.shopify.com/s/files/1/0792/5098/1063/files/9aa9c35ad239e2defe80d680bfc9c3ac770143ee38bd0c93c9b9e1b1dc297f8c.jpg?v=1785100138" TargetMode="External" Id="rId54"/><Relationship Type="http://schemas.openxmlformats.org/officeDocument/2006/relationships/hyperlink" Target="https://cdn.shopify.com/s/files/1/0792/5098/1063/files/1bbfbfcf6d26cde4c41dc9cd48a48d8537c348d2d8ae8239cde2198dbac1d7d5.jpg?v=1785100138" TargetMode="External" Id="rId55"/><Relationship Type="http://schemas.openxmlformats.org/officeDocument/2006/relationships/hyperlink" Target="https://cdn.shopify.com/s/files/1/0792/5098/1063/files/1bbfbfcf6d26cde4c41dc9cd48a48d8537c348d2d8ae8239cde2198dbac1d7d5.jpg?v=1785100138" TargetMode="External" Id="rId56"/><Relationship Type="http://schemas.openxmlformats.org/officeDocument/2006/relationships/hyperlink" Target="https://cdn.shopify.com/s/files/1/0792/5098/1063/files/d65887e79fa3f3c43a377a193ce2cd50135af31e9bb3574f2e354da8175b5ef8.jpg?v=1785100138" TargetMode="External" Id="rId57"/><Relationship Type="http://schemas.openxmlformats.org/officeDocument/2006/relationships/hyperlink" Target="https://cdn.shopify.com/s/files/1/0792/5098/1063/files/d65887e79fa3f3c43a377a193ce2cd50135af31e9bb3574f2e354da8175b5ef8.jpg?v=1785100138" TargetMode="External" Id="rId58"/><Relationship Type="http://schemas.openxmlformats.org/officeDocument/2006/relationships/hyperlink" Target="https://cdn.shopify.com/s/files/1/0792/5098/1063/files/b875bfc16d8349abe649f457b947dd0efc388f0aa8df8cf243abee1bb432b085.jpg?v=1785100138" TargetMode="External" Id="rId59"/><Relationship Type="http://schemas.openxmlformats.org/officeDocument/2006/relationships/hyperlink" Target="https://cdn.shopify.com/s/files/1/0792/5098/1063/files/b875bfc16d8349abe649f457b947dd0efc388f0aa8df8cf243abee1bb432b085.jpg?v=1785100138" TargetMode="External" Id="rId60"/><Relationship Type="http://schemas.openxmlformats.org/officeDocument/2006/relationships/hyperlink" Target="https://cdn.shopify.com/s/files/1/0792/5098/1063/files/a4cbbdd322696714aa1a19a2f8bb77d75a27dc99370fcc37510a75b77ca9d233.jpg?v=1785101485" TargetMode="External" Id="rId61"/><Relationship Type="http://schemas.openxmlformats.org/officeDocument/2006/relationships/hyperlink" Target="https://cdn.shopify.com/s/files/1/0792/5098/1063/files/a4cbbdd322696714aa1a19a2f8bb77d75a27dc99370fcc37510a75b77ca9d233.jpg?v=1785101485" TargetMode="External" Id="rId62"/><Relationship Type="http://schemas.openxmlformats.org/officeDocument/2006/relationships/hyperlink" Target="https://cdn.shopify.com/s/files/1/0792/5098/1063/files/2d1e3697079b80976972bd386da0441e67e31d896ef797eadc7297982a257994.jpg?v=1785101485" TargetMode="External" Id="rId63"/><Relationship Type="http://schemas.openxmlformats.org/officeDocument/2006/relationships/hyperlink" Target="https://cdn.shopify.com/s/files/1/0792/5098/1063/files/2d1e3697079b80976972bd386da0441e67e31d896ef797eadc7297982a257994.jpg?v=1785101485" TargetMode="External" Id="rId64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5"/><Relationship Type="http://schemas.openxmlformats.org/officeDocument/2006/relationships/hyperlink" Target="https://cdn.shopify.com/s/files/1/0792/5098/1063/files/16f7293cbefa5743a35b2e6316a5a114e5c052d08151e367dafd26aa5e2e542b_89943fc3-f8e3-47b5-a8c7-a32111f923b9.jpg?v=1785101485" TargetMode="External" Id="rId66"/><Relationship Type="http://schemas.openxmlformats.org/officeDocument/2006/relationships/hyperlink" Target="https://cdn.shopify.com/s/files/1/0792/5098/1063/files/ffea36967dbe80b58a8a85da73de40ba57d60ed75118b69127f1ae4893a068a7.jpg?v=1785101485" TargetMode="External" Id="rId67"/><Relationship Type="http://schemas.openxmlformats.org/officeDocument/2006/relationships/hyperlink" Target="https://cdn.shopify.com/s/files/1/0792/5098/1063/files/ffea36967dbe80b58a8a85da73de40ba57d60ed75118b69127f1ae4893a068a7.jpg?v=1785101485" TargetMode="External" Id="rId68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69"/><Relationship Type="http://schemas.openxmlformats.org/officeDocument/2006/relationships/hyperlink" Target="https://cdn.shopify.com/s/files/1/0792/5098/1063/files/7c006bddc94d4763c71c8376307e195c1bbce73b8c802ec73ac5a8cef1291262_711226ac-8056-409d-a58e-b7cb3f9ebdd6.jpg?v=1785101485" TargetMode="External" Id="rId70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1"/><Relationship Type="http://schemas.openxmlformats.org/officeDocument/2006/relationships/hyperlink" Target="https://cdn.shopify.com/s/files/1/0792/5098/1063/files/e5cad84edb4d7bf77c48fd7c8e52eb3b73f04eba8bf177671fd8a059c59422e8_ca0f8c0e-d3e3-4c04-a35f-6626bdd9a3c4.jpg?v=1785101485" TargetMode="External" Id="rId72"/><Relationship Type="http://schemas.openxmlformats.org/officeDocument/2006/relationships/hyperlink" Target="https://cdn.shopify.com/s/files/1/0792/5098/1063/files/be9c5cee819776f5b51c117360ce74132b8045f5fc2610f92c876fe0ee308121.jpg?v=1785102027" TargetMode="External" Id="rId73"/><Relationship Type="http://schemas.openxmlformats.org/officeDocument/2006/relationships/hyperlink" Target="https://cdn.shopify.com/s/files/1/0792/5098/1063/files/be9c5cee819776f5b51c117360ce74132b8045f5fc2610f92c876fe0ee308121.jpg?v=1785102027" TargetMode="External" Id="rId74"/><Relationship Type="http://schemas.openxmlformats.org/officeDocument/2006/relationships/hyperlink" Target="https://cdn.shopify.com/s/files/1/0792/5098/1063/files/bc1de614501a81fc1082c049b9b4e3d1d772f42c3c5c091b381f123ac898b7a6.jpg?v=1785102027" TargetMode="External" Id="rId75"/><Relationship Type="http://schemas.openxmlformats.org/officeDocument/2006/relationships/hyperlink" Target="https://cdn.shopify.com/s/files/1/0792/5098/1063/files/bc1de614501a81fc1082c049b9b4e3d1d772f42c3c5c091b381f123ac898b7a6.jpg?v=1785102027" TargetMode="External" Id="rId76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7"/><Relationship Type="http://schemas.openxmlformats.org/officeDocument/2006/relationships/hyperlink" Target="https://cdn.shopify.com/s/files/1/0792/5098/1063/files/16f7293cbefa5743a35b2e6316a5a114e5c052d08151e367dafd26aa5e2e542b_cb2d7976-38a0-4dd6-965d-0f7253fd7f0f.jpg?v=1785102027" TargetMode="External" Id="rId78"/><Relationship Type="http://schemas.openxmlformats.org/officeDocument/2006/relationships/hyperlink" Target="https://cdn.shopify.com/s/files/1/0792/5098/1063/files/535852be11d81e8f4a9335a576d4302793d4b139db50c311c3ceef1b44bdfaec.jpg?v=1785102027" TargetMode="External" Id="rId79"/><Relationship Type="http://schemas.openxmlformats.org/officeDocument/2006/relationships/hyperlink" Target="https://cdn.shopify.com/s/files/1/0792/5098/1063/files/535852be11d81e8f4a9335a576d4302793d4b139db50c311c3ceef1b44bdfaec.jpg?v=1785102027" TargetMode="External" Id="rId80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1"/><Relationship Type="http://schemas.openxmlformats.org/officeDocument/2006/relationships/hyperlink" Target="https://cdn.shopify.com/s/files/1/0792/5098/1063/files/7c006bddc94d4763c71c8376307e195c1bbce73b8c802ec73ac5a8cef1291262_8901ce27-6800-4e6a-bd63-cdc8dedf3cf5.jpg?v=1785102027" TargetMode="External" Id="rId82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3"/><Relationship Type="http://schemas.openxmlformats.org/officeDocument/2006/relationships/hyperlink" Target="https://cdn.shopify.com/s/files/1/0792/5098/1063/files/e5cad84edb4d7bf77c48fd7c8e52eb3b73f04eba8bf177671fd8a059c59422e8_4c8b8cc9-7daa-453c-a43d-ecad508e7783.jpg?v=1785102027" TargetMode="External" Id="rId84"/><Relationship Type="http://schemas.openxmlformats.org/officeDocument/2006/relationships/hyperlink" Target="https://cdn.shopify.com/s/files/1/0792/5098/1063/files/75f1b7520ef4094f153834c4aa8dad28b3f7158fba412ba2e88065fe27c1a3b4.jpg?v=1785101391" TargetMode="External" Id="rId85"/><Relationship Type="http://schemas.openxmlformats.org/officeDocument/2006/relationships/hyperlink" Target="https://cdn.shopify.com/s/files/1/0792/5098/1063/files/75f1b7520ef4094f153834c4aa8dad28b3f7158fba412ba2e88065fe27c1a3b4.jpg?v=1785101391" TargetMode="External" Id="rId86"/><Relationship Type="http://schemas.openxmlformats.org/officeDocument/2006/relationships/hyperlink" Target="https://cdn.shopify.com/s/files/1/0792/5098/1063/files/d09cde05bae2d677d2ef736903c270f153043d22dadaa7af36395df5765e9779.jpg?v=1785101391" TargetMode="External" Id="rId87"/><Relationship Type="http://schemas.openxmlformats.org/officeDocument/2006/relationships/hyperlink" Target="https://cdn.shopify.com/s/files/1/0792/5098/1063/files/d09cde05bae2d677d2ef736903c270f153043d22dadaa7af36395df5765e9779.jpg?v=1785101391" TargetMode="External" Id="rId88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89"/><Relationship Type="http://schemas.openxmlformats.org/officeDocument/2006/relationships/hyperlink" Target="https://cdn.shopify.com/s/files/1/0792/5098/1063/files/16f7293cbefa5743a35b2e6316a5a114e5c052d08151e367dafd26aa5e2e542b_2bd640e6-744b-488f-af6c-95f99296be3c.jpg?v=1785101391" TargetMode="External" Id="rId90"/><Relationship Type="http://schemas.openxmlformats.org/officeDocument/2006/relationships/hyperlink" Target="https://cdn.shopify.com/s/files/1/0792/5098/1063/files/0f83c2a690f63495a8b1a3f421d5c94898c7a977d0ddc7f8c1817e18e72e02dc.jpg?v=1785101391" TargetMode="External" Id="rId91"/><Relationship Type="http://schemas.openxmlformats.org/officeDocument/2006/relationships/hyperlink" Target="https://cdn.shopify.com/s/files/1/0792/5098/1063/files/0f83c2a690f63495a8b1a3f421d5c94898c7a977d0ddc7f8c1817e18e72e02dc.jpg?v=1785101391" TargetMode="External" Id="rId92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3"/><Relationship Type="http://schemas.openxmlformats.org/officeDocument/2006/relationships/hyperlink" Target="https://cdn.shopify.com/s/files/1/0792/5098/1063/files/7c006bddc94d4763c71c8376307e195c1bbce73b8c802ec73ac5a8cef1291262_4cf9dde5-6a5a-430c-b756-57f444b30531.jpg?v=1785101391" TargetMode="External" Id="rId94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5"/><Relationship Type="http://schemas.openxmlformats.org/officeDocument/2006/relationships/hyperlink" Target="https://cdn.shopify.com/s/files/1/0792/5098/1063/files/e5cad84edb4d7bf77c48fd7c8e52eb3b73f04eba8bf177671fd8a059c59422e8_544fd4c0-618c-4cd0-8575-596321cd9c5b.jpg?v=1785101391" TargetMode="External" Id="rId96"/><Relationship Type="http://schemas.openxmlformats.org/officeDocument/2006/relationships/hyperlink" Target="https://cdn.shopify.com/s/files/1/0792/5098/1063/files/2387dd0e6ebef7e3c8c8dbe840589c32b2c3aae39617d615d25c5335b8cb3c91.jpg?v=1785100362" TargetMode="External" Id="rId97"/><Relationship Type="http://schemas.openxmlformats.org/officeDocument/2006/relationships/hyperlink" Target="https://cdn.shopify.com/s/files/1/0792/5098/1063/files/2387dd0e6ebef7e3c8c8dbe840589c32b2c3aae39617d615d25c5335b8cb3c91.jpg?v=1785100362" TargetMode="External" Id="rId98"/><Relationship Type="http://schemas.openxmlformats.org/officeDocument/2006/relationships/hyperlink" Target="https://cdn.shopify.com/s/files/1/0792/5098/1063/files/d56b28337b1c8527f82e34001f932a980b468d641ced5c9c7870e97c631aa46c.jpg?v=1785100362" TargetMode="External" Id="rId99"/><Relationship Type="http://schemas.openxmlformats.org/officeDocument/2006/relationships/hyperlink" Target="https://cdn.shopify.com/s/files/1/0792/5098/1063/files/d56b28337b1c8527f82e34001f932a980b468d641ced5c9c7870e97c631aa46c.jpg?v=1785100362" TargetMode="External" Id="rId100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1"/><Relationship Type="http://schemas.openxmlformats.org/officeDocument/2006/relationships/hyperlink" Target="https://cdn.shopify.com/s/files/1/0792/5098/1063/files/16f7293cbefa5743a35b2e6316a5a114e5c052d08151e367dafd26aa5e2e542b_4ccd16c8-31c4-473d-8462-01da7bec14ac.jpg?v=1785100362" TargetMode="External" Id="rId102"/><Relationship Type="http://schemas.openxmlformats.org/officeDocument/2006/relationships/hyperlink" Target="https://cdn.shopify.com/s/files/1/0792/5098/1063/files/dc7df39840ff0af911e29caad57b1dd40e2fa90ac2175e90959a95f17c0340bb.jpg?v=1785100362" TargetMode="External" Id="rId103"/><Relationship Type="http://schemas.openxmlformats.org/officeDocument/2006/relationships/hyperlink" Target="https://cdn.shopify.com/s/files/1/0792/5098/1063/files/dc7df39840ff0af911e29caad57b1dd40e2fa90ac2175e90959a95f17c0340bb.jpg?v=1785100362" TargetMode="External" Id="rId104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5"/><Relationship Type="http://schemas.openxmlformats.org/officeDocument/2006/relationships/hyperlink" Target="https://cdn.shopify.com/s/files/1/0792/5098/1063/files/7c006bddc94d4763c71c8376307e195c1bbce73b8c802ec73ac5a8cef1291262_67edeec3-f3c5-49ac-aaa0-6f290420b93f.jpg?v=1785100363" TargetMode="External" Id="rId106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7"/><Relationship Type="http://schemas.openxmlformats.org/officeDocument/2006/relationships/hyperlink" Target="https://cdn.shopify.com/s/files/1/0792/5098/1063/files/e5cad84edb4d7bf77c48fd7c8e52eb3b73f04eba8bf177671fd8a059c59422e8_aa3c82b3-9c2a-4b7b-8fac-aca5dc7854af.jpg?v=1785100362" TargetMode="External" Id="rId108"/><Relationship Type="http://schemas.openxmlformats.org/officeDocument/2006/relationships/hyperlink" Target="https://cdn.shopify.com/s/files/1/0792/5098/1063/files/3ee5b6b2c637d9ca6593a2ef7304dc7e08afaed5c101e64cd7d8461283719c4b.jpg?v=1785101107" TargetMode="External" Id="rId109"/><Relationship Type="http://schemas.openxmlformats.org/officeDocument/2006/relationships/hyperlink" Target="https://cdn.shopify.com/s/files/1/0792/5098/1063/files/3ee5b6b2c637d9ca6593a2ef7304dc7e08afaed5c101e64cd7d8461283719c4b.jpg?v=1785101107" TargetMode="External" Id="rId110"/><Relationship Type="http://schemas.openxmlformats.org/officeDocument/2006/relationships/hyperlink" Target="https://cdn.shopify.com/s/files/1/0792/5098/1063/files/ac09f7e8d1071bde0465d84b2ecfaa910299d8a909dbb8c1ca6fee5cc5763058.jpg?v=1785101107" TargetMode="External" Id="rId111"/><Relationship Type="http://schemas.openxmlformats.org/officeDocument/2006/relationships/hyperlink" Target="https://cdn.shopify.com/s/files/1/0792/5098/1063/files/ac09f7e8d1071bde0465d84b2ecfaa910299d8a909dbb8c1ca6fee5cc5763058.jpg?v=1785101107" TargetMode="External" Id="rId112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3"/><Relationship Type="http://schemas.openxmlformats.org/officeDocument/2006/relationships/hyperlink" Target="https://cdn.shopify.com/s/files/1/0792/5098/1063/files/16f7293cbefa5743a35b2e6316a5a114e5c052d08151e367dafd26aa5e2e542b_225f8a38-3d1d-46eb-86af-832c2b5752a3.jpg?v=1785101108" TargetMode="External" Id="rId114"/><Relationship Type="http://schemas.openxmlformats.org/officeDocument/2006/relationships/hyperlink" Target="https://cdn.shopify.com/s/files/1/0792/5098/1063/files/12a5c0319c0b98903186915a5eef5ffb353144c8ea679fd09ed7d7454b8aa2aa.jpg?v=1785101108" TargetMode="External" Id="rId115"/><Relationship Type="http://schemas.openxmlformats.org/officeDocument/2006/relationships/hyperlink" Target="https://cdn.shopify.com/s/files/1/0792/5098/1063/files/12a5c0319c0b98903186915a5eef5ffb353144c8ea679fd09ed7d7454b8aa2aa.jpg?v=1785101108" TargetMode="External" Id="rId116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7"/><Relationship Type="http://schemas.openxmlformats.org/officeDocument/2006/relationships/hyperlink" Target="https://cdn.shopify.com/s/files/1/0792/5098/1063/files/7c006bddc94d4763c71c8376307e195c1bbce73b8c802ec73ac5a8cef1291262_25922885-ec45-401f-9657-d64f4608e193.jpg?v=1785101107" TargetMode="External" Id="rId118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19"/><Relationship Type="http://schemas.openxmlformats.org/officeDocument/2006/relationships/hyperlink" Target="https://cdn.shopify.com/s/files/1/0792/5098/1063/files/e5cad84edb4d7bf77c48fd7c8e52eb3b73f04eba8bf177671fd8a059c59422e8_12e149ca-ae44-45a0-9ba3-9a16394eb042.jpg?v=1785101107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prompt_qa.md@sha256:C2C1DEFDB72362291F7DA656FA7FEA9283A02782FC8CA66D2E4637F2511500DD</t>
        </is>
      </c>
      <c r="C2" s="2" t="inlineStr">
        <is>
          <t>Rubric QA áp dụng.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D:\Shopify_Workspace\jeminise_seo\resutls\jeminise.com\20260906_234129\revisions\qa_batch_007_r2\SEO_Product_Optimization_qa_batch_007_r2.xlsx</t>
        </is>
      </c>
      <c r="C3" s="3" t="inlineStr">
        <is>
          <t>Workbook giai đoạn 1 đóng băng; không chỉnh sửa.</t>
        </is>
      </c>
    </row>
    <row r="4" ht="42" customHeight="1">
      <c r="A4" s="2" t="inlineStr">
        <is>
          <t>source_sha256_at_handoff</t>
        </is>
      </c>
      <c r="B4" s="2" t="inlineStr">
        <is>
          <t>5B57B6C549B0A1FF15628193061999DE302D3377FE777B0984F8B0D19B7D7FE9</t>
        </is>
      </c>
      <c r="C4" s="2" t="inlineStr">
        <is>
          <t>Hash tính lại khi hoàn tất.</t>
        </is>
      </c>
    </row>
    <row r="5" ht="42" customHeight="1">
      <c r="A5" s="3" t="inlineStr">
        <is>
          <t>qa_run_id</t>
        </is>
      </c>
      <c r="B5" s="3" t="inlineStr">
        <is>
          <t>20260907_164400</t>
        </is>
      </c>
      <c r="C5" s="3" t="inlineStr">
        <is>
          <t>Run QA độc lập.</t>
        </is>
      </c>
    </row>
    <row r="6" ht="42" customHeight="1">
      <c r="A6" s="2" t="inlineStr">
        <is>
          <t>batch_id</t>
        </is>
      </c>
      <c r="B6" s="2" t="inlineStr">
        <is>
          <t>qa_batch_007_r2</t>
        </is>
      </c>
      <c r="C6" s="2" t="inlineStr">
        <is>
          <t>Inventory positions 61-70.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Đúng 10 product key.</t>
        </is>
      </c>
    </row>
    <row r="8" ht="42" customHeight="1">
      <c r="A8" s="2" t="inlineStr">
        <is>
          <t>images_checked</t>
        </is>
      </c>
      <c r="B8" s="2" t="n">
        <v>60</v>
      </c>
      <c r="C8" s="2" t="inlineStr">
        <is>
          <t>60/60 ảnh mở trực tiếp ở độ phân giải đủ đọc.</t>
        </is>
      </c>
    </row>
    <row r="9" ht="42" customHeight="1">
      <c r="A9" s="3" t="inlineStr">
        <is>
          <t>batch_final_score</t>
        </is>
      </c>
      <c r="B9" s="3">
        <f>AVERAGE('QA_Products'!$K$2:$K$11)</f>
        <v/>
      </c>
      <c r="C9" s="3" t="inlineStr">
        <is>
          <t>Trung bình 10 final_score; không bù lỗi chặn.</t>
        </is>
      </c>
    </row>
    <row r="10" ht="42" customHeight="1">
      <c r="A10" s="2" t="inlineStr">
        <is>
          <t>batch_result</t>
        </is>
      </c>
      <c r="B10" s="2">
        <f>IF(COUNTIF('QA_Products'!$L$2:$L$11,"QA_PASS")=ROWS('QA_Products'!$L$2:$L$11),"PASSED","NOT_PASSED")</f>
        <v/>
      </c>
      <c r="C10" s="2" t="inlineStr">
        <is>
          <t>Lô chỉ đạt khi mọi sản phẩm QA_PASS.</t>
        </is>
      </c>
    </row>
    <row r="11" ht="42" customHeight="1">
      <c r="A11" s="3" t="inlineStr">
        <is>
          <t>status_counts</t>
        </is>
      </c>
      <c r="B11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1" s="3" t="inlineStr">
        <is>
          <t>Số sản phẩm theo kết luận.</t>
        </is>
      </c>
    </row>
    <row r="12" ht="42" customHeight="1">
      <c r="A12" s="2" t="inlineStr">
        <is>
          <t>issue_counts</t>
        </is>
      </c>
      <c r="B12" s="2" t="inlineStr">
        <is>
          <t>{"MINOR": 19, "MAJOR": 32, "LIMITATION": 3}</t>
        </is>
      </c>
      <c r="C12" s="2" t="inlineStr">
        <is>
          <t>Số phát hiện theo severity.</t>
        </is>
      </c>
    </row>
    <row r="13" ht="42" customHeight="1">
      <c r="A13" s="3" t="inlineStr">
        <is>
          <t>admin_limitation</t>
        </is>
      </c>
      <c r="B13" s="3" t="inlineStr">
        <is>
          <t>No Shopify admin export</t>
        </is>
      </c>
      <c r="C13" s="3" t="inlineStr">
        <is>
          <t>Không suy ra admin fields.</t>
        </is>
      </c>
    </row>
    <row r="14" ht="42" customHeight="1">
      <c r="A14" s="2" t="inlineStr">
        <is>
          <t>xlsx_status</t>
        </is>
      </c>
      <c r="B14" s="2" t="inlineStr">
        <is>
          <t>COMPLETE</t>
        </is>
      </c>
      <c r="C14" s="2" t="inlineStr">
        <is>
          <t>XLSX tạo bằng openpyxl, kiểm tra cấu trúc/công thức và render.</t>
        </is>
      </c>
    </row>
  </sheetData>
  <autoFilter ref="A1:C14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61</v>
      </c>
      <c r="B2" s="2" t="inlineStr">
        <is>
          <t>jeminise.com+custom-football-above-yard-lines-perspective-comforter-2c2cb25ed8-2c2cb25ed8</t>
        </is>
      </c>
      <c r="C2" s="4" t="inlineStr">
        <is>
          <t>https://jeminise.com/products/custom-football-above-yard-lines-perspective-comforter-2c2cb25ed8-2c2cb25ed8</t>
        </is>
      </c>
      <c r="D2" s="2" t="inlineStr">
        <is>
          <t>custom-football-above-yard-lines-perspective-comforter-2c2cb25ed8-2c2cb25ed8</t>
        </is>
      </c>
      <c r="E2" s="2" t="inlineStr">
        <is>
          <t>8834770993351</t>
        </is>
      </c>
      <c r="F2" s="2" t="inlineStr">
        <is>
          <t>r2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COUNTIFS('QA_Issues'!$B$2:$B$55,B2,'QA_Issues'!$D$2:$D$55,"CRITICAL")</f>
        <v/>
      </c>
      <c r="S2" s="2">
        <f>COUNTIFS('QA_Issues'!$B$2:$B$55,B2,'QA_Issues'!$D$2:$D$55,"MAJOR")</f>
        <v/>
      </c>
      <c r="T2" s="2">
        <f>COUNTIFS('QA_Issues'!$B$2:$B$55,B2,'QA_Issues'!$D$2:$D$55,"MINOR")</f>
        <v/>
      </c>
      <c r="U2" s="2">
        <f>COUNTIFS('QA_Issues'!$B$2:$B$55,B2,'QA_Issues'!$D$2:$D$55,"LIMITATION")</f>
        <v/>
      </c>
      <c r="V2" s="2" t="inlineStr">
        <is>
          <t>["ISS-061-IMG-04", "ISS-061-DESC", "ISS-061-CUSTOMIZER", "ISS-061-CANN", "ISS-061-META"]</t>
        </is>
      </c>
      <c r="W2" s="2" t="inlineStr">
        <is>
          <t>["evidence_batch_007_061", "https://jeminise.com/products/custom-football-above-yard-lines-perspective-comforter-2c2cb25ed8-2c2cb25ed8", "serp_qa_061", "customizer_audit.json"]</t>
        </is>
      </c>
    </row>
    <row r="3" ht="42" customHeight="1">
      <c r="A3" s="3" t="n">
        <v>62</v>
      </c>
      <c r="B3" s="3" t="inlineStr">
        <is>
          <t>jeminise.com+custom-football-close-up-on-american-flag-comforter-039b2d7dd4-039b2d7dd4</t>
        </is>
      </c>
      <c r="C3" s="4" t="inlineStr">
        <is>
          <t>https://jeminise.com/products/custom-football-close-up-on-american-flag-comforter-039b2d7dd4-039b2d7dd4</t>
        </is>
      </c>
      <c r="D3" s="3" t="inlineStr">
        <is>
          <t>custom-football-close-up-on-american-flag-comforter-039b2d7dd4-039b2d7dd4</t>
        </is>
      </c>
      <c r="E3" s="3" t="inlineStr">
        <is>
          <t>8834758475975</t>
        </is>
      </c>
      <c r="F3" s="3" t="inlineStr">
        <is>
          <t>r2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COUNTIFS('QA_Issues'!$B$2:$B$55,B3,'QA_Issues'!$D$2:$D$55,"CRITICAL")</f>
        <v/>
      </c>
      <c r="S3" s="3">
        <f>COUNTIFS('QA_Issues'!$B$2:$B$55,B3,'QA_Issues'!$D$2:$D$55,"MAJOR")</f>
        <v/>
      </c>
      <c r="T3" s="3">
        <f>COUNTIFS('QA_Issues'!$B$2:$B$55,B3,'QA_Issues'!$D$2:$D$55,"MINOR")</f>
        <v/>
      </c>
      <c r="U3" s="3">
        <f>COUNTIFS('QA_Issues'!$B$2:$B$55,B3,'QA_Issues'!$D$2:$D$55,"LIMITATION")</f>
        <v/>
      </c>
      <c r="V3" s="3" t="inlineStr">
        <is>
          <t>["ISS-062-IMG-04", "ISS-062-DESC", "ISS-062-CUSTOMIZER", "ISS-062-CANN", "ISS-062-META"]</t>
        </is>
      </c>
      <c r="W3" s="3" t="inlineStr">
        <is>
          <t>["evidence_batch_007_062", "https://jeminise.com/products/custom-football-close-up-on-american-flag-comforter-039b2d7dd4-039b2d7dd4", "serp_qa_062", "customizer_audit.json"]</t>
        </is>
      </c>
    </row>
    <row r="4" ht="42" customHeight="1">
      <c r="A4" s="2" t="n">
        <v>63</v>
      </c>
      <c r="B4" s="2" t="inlineStr">
        <is>
          <t>jeminise.com+custom-football-engulfed-in-flames-and-lightning-comforter-902ce338f4-902ce338f4</t>
        </is>
      </c>
      <c r="C4" s="4" t="inlineStr">
        <is>
          <t>https://jeminise.com/products/custom-football-engulfed-in-flames-and-lightning-comforter-902ce338f4-902ce338f4</t>
        </is>
      </c>
      <c r="D4" s="2" t="inlineStr">
        <is>
          <t>custom-football-engulfed-in-flames-and-lightning-comforter-902ce338f4-902ce338f4</t>
        </is>
      </c>
      <c r="E4" s="2" t="inlineStr">
        <is>
          <t>8834759655623</t>
        </is>
      </c>
      <c r="F4" s="2" t="inlineStr">
        <is>
          <t>r2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6</v>
      </c>
      <c r="O4" s="2" t="n">
        <v>6</v>
      </c>
      <c r="P4" s="2" t="b">
        <v>1</v>
      </c>
      <c r="Q4" s="6" t="n">
        <v>1</v>
      </c>
      <c r="R4" s="2">
        <f>COUNTIFS('QA_Issues'!$B$2:$B$55,B4,'QA_Issues'!$D$2:$D$55,"CRITICAL")</f>
        <v/>
      </c>
      <c r="S4" s="2">
        <f>COUNTIFS('QA_Issues'!$B$2:$B$55,B4,'QA_Issues'!$D$2:$D$55,"MAJOR")</f>
        <v/>
      </c>
      <c r="T4" s="2">
        <f>COUNTIFS('QA_Issues'!$B$2:$B$55,B4,'QA_Issues'!$D$2:$D$55,"MINOR")</f>
        <v/>
      </c>
      <c r="U4" s="2">
        <f>COUNTIFS('QA_Issues'!$B$2:$B$55,B4,'QA_Issues'!$D$2:$D$55,"LIMITATION")</f>
        <v/>
      </c>
      <c r="V4" s="2" t="inlineStr">
        <is>
          <t>["ISS-063-IMG-04", "ISS-063-DESC", "ISS-063-CUSTOMIZER", "ISS-063-CANN", "ISS-063-META"]</t>
        </is>
      </c>
      <c r="W4" s="2" t="inlineStr">
        <is>
          <t>["evidence_batch_007_063", "https://jeminise.com/products/custom-football-engulfed-in-flames-and-lightning-comforter-902ce338f4-902ce338f4", "serp_qa_063", "customizer_audit.json"]</t>
        </is>
      </c>
    </row>
    <row r="5" ht="42" customHeight="1">
      <c r="A5" s="3" t="n">
        <v>64</v>
      </c>
      <c r="B5" s="3" t="inlineStr">
        <is>
          <t>jeminise.com+custom-football-helmet-on-american-flag-vintage-comforter-43f12dbb8d-43f12dbb8d</t>
        </is>
      </c>
      <c r="C5" s="4" t="inlineStr">
        <is>
          <t>https://jeminise.com/products/custom-football-helmet-on-american-flag-vintage-comforter-43f12dbb8d-43f12dbb8d</t>
        </is>
      </c>
      <c r="D5" s="3" t="inlineStr">
        <is>
          <t>custom-football-helmet-on-american-flag-vintage-comforter-43f12dbb8d-43f12dbb8d</t>
        </is>
      </c>
      <c r="E5" s="3" t="inlineStr">
        <is>
          <t>8834765455559</t>
        </is>
      </c>
      <c r="F5" s="3" t="inlineStr">
        <is>
          <t>r2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COUNTIFS('QA_Issues'!$B$2:$B$55,B5,'QA_Issues'!$D$2:$D$55,"CRITICAL")</f>
        <v/>
      </c>
      <c r="S5" s="3">
        <f>COUNTIFS('QA_Issues'!$B$2:$B$55,B5,'QA_Issues'!$D$2:$D$55,"MAJOR")</f>
        <v/>
      </c>
      <c r="T5" s="3">
        <f>COUNTIFS('QA_Issues'!$B$2:$B$55,B5,'QA_Issues'!$D$2:$D$55,"MINOR")</f>
        <v/>
      </c>
      <c r="U5" s="3">
        <f>COUNTIFS('QA_Issues'!$B$2:$B$55,B5,'QA_Issues'!$D$2:$D$55,"LIMITATION")</f>
        <v/>
      </c>
      <c r="V5" s="3" t="inlineStr">
        <is>
          <t>["ISS-064-IMG-04", "ISS-064-DESC", "ISS-064-CUSTOMIZER", "ISS-064-CANN", "ISS-064-META"]</t>
        </is>
      </c>
      <c r="W5" s="3" t="inlineStr">
        <is>
          <t>["evidence_batch_007_064", "https://jeminise.com/products/custom-football-helmet-on-american-flag-vintage-comforter-43f12dbb8d-43f12dbb8d", "serp_qa_064", "customizer_audit.json"]</t>
        </is>
      </c>
    </row>
    <row r="6" ht="42" customHeight="1">
      <c r="A6" s="2" t="n">
        <v>65</v>
      </c>
      <c r="B6" s="2" t="inlineStr">
        <is>
          <t>jeminise.com+custom-football-helmet-with-flaming-football-comforter-07ad417afe-07ad417afe</t>
        </is>
      </c>
      <c r="C6" s="4" t="inlineStr">
        <is>
          <t>https://jeminise.com/products/custom-football-helmet-with-flaming-football-comforter-07ad417afe-07ad417afe</t>
        </is>
      </c>
      <c r="D6" s="2" t="inlineStr">
        <is>
          <t>custom-football-helmet-with-flaming-football-comforter-07ad417afe-07ad417afe</t>
        </is>
      </c>
      <c r="E6" s="2" t="inlineStr">
        <is>
          <t>8834750873799</t>
        </is>
      </c>
      <c r="F6" s="2" t="inlineStr">
        <is>
          <t>r2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COUNTIFS('QA_Issues'!$B$2:$B$55,B6,'QA_Issues'!$D$2:$D$55,"CRITICAL")</f>
        <v/>
      </c>
      <c r="S6" s="2">
        <f>COUNTIFS('QA_Issues'!$B$2:$B$55,B6,'QA_Issues'!$D$2:$D$55,"MAJOR")</f>
        <v/>
      </c>
      <c r="T6" s="2">
        <f>COUNTIFS('QA_Issues'!$B$2:$B$55,B6,'QA_Issues'!$D$2:$D$55,"MINOR")</f>
        <v/>
      </c>
      <c r="U6" s="2">
        <f>COUNTIFS('QA_Issues'!$B$2:$B$55,B6,'QA_Issues'!$D$2:$D$55,"LIMITATION")</f>
        <v/>
      </c>
      <c r="V6" s="2" t="inlineStr">
        <is>
          <t>["ISS-065-IMG-04", "ISS-065-IMG-05", "ISS-065-DESC", "ISS-065-CUSTOMIZER", "ISS-065-CANN", "ISS-065-META"]</t>
        </is>
      </c>
      <c r="W6" s="2" t="inlineStr">
        <is>
          <t>["evidence_batch_007_065", "https://jeminise.com/products/custom-football-helmet-with-flaming-football-comforter-07ad417afe-07ad417afe", "serp_qa_065", "customizer_audit.json"]</t>
        </is>
      </c>
    </row>
    <row r="7" ht="42" customHeight="1">
      <c r="A7" s="3" t="n">
        <v>66</v>
      </c>
      <c r="B7" s="3" t="inlineStr">
        <is>
          <t>jeminise.com+custom-football-over-american-flag-background-comforter-ed07da9f1f-ed07da9f1f</t>
        </is>
      </c>
      <c r="C7" s="4" t="inlineStr">
        <is>
          <t>https://jeminise.com/products/custom-football-over-american-flag-background-comforter-ed07da9f1f-ed07da9f1f</t>
        </is>
      </c>
      <c r="D7" s="3" t="inlineStr">
        <is>
          <t>custom-football-over-american-flag-background-comforter-ed07da9f1f-ed07da9f1f</t>
        </is>
      </c>
      <c r="E7" s="3" t="inlineStr">
        <is>
          <t>8834764669127</t>
        </is>
      </c>
      <c r="F7" s="3" t="inlineStr">
        <is>
          <t>r2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COUNTIFS('QA_Issues'!$B$2:$B$55,B7,'QA_Issues'!$D$2:$D$55,"CRITICAL")</f>
        <v/>
      </c>
      <c r="S7" s="3">
        <f>COUNTIFS('QA_Issues'!$B$2:$B$55,B7,'QA_Issues'!$D$2:$D$55,"MAJOR")</f>
        <v/>
      </c>
      <c r="T7" s="3">
        <f>COUNTIFS('QA_Issues'!$B$2:$B$55,B7,'QA_Issues'!$D$2:$D$55,"MINOR")</f>
        <v/>
      </c>
      <c r="U7" s="3">
        <f>COUNTIFS('QA_Issues'!$B$2:$B$55,B7,'QA_Issues'!$D$2:$D$55,"LIMITATION")</f>
        <v/>
      </c>
      <c r="V7" s="3" t="inlineStr">
        <is>
          <t>["ISS-066-IMG-04", "ISS-066-DESC", "ISS-066-CUSTOMIZER", "ISS-066-CANN", "ISS-066-META"]</t>
        </is>
      </c>
      <c r="W7" s="3" t="inlineStr">
        <is>
          <t>["evidence_batch_007_066", "https://jeminise.com/products/custom-football-over-american-flag-background-comforter-ed07da9f1f-ed07da9f1f", "serp_qa_066", "customizer_audit.json"]</t>
        </is>
      </c>
    </row>
    <row r="8" ht="42" customHeight="1">
      <c r="A8" s="2" t="n">
        <v>67</v>
      </c>
      <c r="B8" s="2" t="inlineStr">
        <is>
          <t>jeminise.com+custom-football-player-holding-ball-close-up-comforter-d5b47c0ee0-d5b47c0ee0</t>
        </is>
      </c>
      <c r="C8" s="4" t="inlineStr">
        <is>
          <t>https://jeminise.com/products/custom-football-player-holding-ball-close-up-comforter-d5b47c0ee0-d5b47c0ee0</t>
        </is>
      </c>
      <c r="D8" s="2" t="inlineStr">
        <is>
          <t>custom-football-player-holding-ball-close-up-comforter-d5b47c0ee0-d5b47c0ee0</t>
        </is>
      </c>
      <c r="E8" s="2" t="inlineStr">
        <is>
          <t>8834770108615</t>
        </is>
      </c>
      <c r="F8" s="2" t="inlineStr">
        <is>
          <t>r2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6</v>
      </c>
      <c r="O8" s="2" t="n">
        <v>6</v>
      </c>
      <c r="P8" s="2" t="b">
        <v>1</v>
      </c>
      <c r="Q8" s="6" t="n">
        <v>1</v>
      </c>
      <c r="R8" s="2">
        <f>COUNTIFS('QA_Issues'!$B$2:$B$55,B8,'QA_Issues'!$D$2:$D$55,"CRITICAL")</f>
        <v/>
      </c>
      <c r="S8" s="2">
        <f>COUNTIFS('QA_Issues'!$B$2:$B$55,B8,'QA_Issues'!$D$2:$D$55,"MAJOR")</f>
        <v/>
      </c>
      <c r="T8" s="2">
        <f>COUNTIFS('QA_Issues'!$B$2:$B$55,B8,'QA_Issues'!$D$2:$D$55,"MINOR")</f>
        <v/>
      </c>
      <c r="U8" s="2">
        <f>COUNTIFS('QA_Issues'!$B$2:$B$55,B8,'QA_Issues'!$D$2:$D$55,"LIMITATION")</f>
        <v/>
      </c>
      <c r="V8" s="2" t="inlineStr">
        <is>
          <t>["ISS-067-IMG-04", "ISS-067-DESC", "ISS-067-CUSTOMIZER", "ISS-067-CANN", "ISS-067-META"]</t>
        </is>
      </c>
      <c r="W8" s="2" t="inlineStr">
        <is>
          <t>["evidence_batch_007_067", "https://jeminise.com/products/custom-football-player-holding-ball-close-up-comforter-d5b47c0ee0-d5b47c0ee0", "serp_qa_067", "customizer_audit.json"]</t>
        </is>
      </c>
    </row>
    <row r="9" ht="42" customHeight="1">
      <c r="A9" s="3" t="n">
        <v>68</v>
      </c>
      <c r="B9" s="3" t="inlineStr">
        <is>
          <t>jeminise.com+custom-football-player-holding-ball-close-up-comforter-with-football-helmet-da6d035722-da6d035722</t>
        </is>
      </c>
      <c r="C9" s="4" t="inlineStr">
        <is>
          <t>https://jeminise.com/products/custom-football-player-holding-ball-close-up-comforter-with-football-helmet-da6d035722-da6d035722</t>
        </is>
      </c>
      <c r="D9" s="3" t="inlineStr">
        <is>
          <t>custom-football-player-holding-ball-close-up-comforter-with-football-helmet-da6d035722-da6d035722</t>
        </is>
      </c>
      <c r="E9" s="3" t="inlineStr">
        <is>
          <t>8834763489479</t>
        </is>
      </c>
      <c r="F9" s="3" t="inlineStr">
        <is>
          <t>r2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6</v>
      </c>
      <c r="O9" s="3" t="n">
        <v>6</v>
      </c>
      <c r="P9" s="3" t="b">
        <v>1</v>
      </c>
      <c r="Q9" s="8" t="n">
        <v>1</v>
      </c>
      <c r="R9" s="3">
        <f>COUNTIFS('QA_Issues'!$B$2:$B$55,B9,'QA_Issues'!$D$2:$D$55,"CRITICAL")</f>
        <v/>
      </c>
      <c r="S9" s="3">
        <f>COUNTIFS('QA_Issues'!$B$2:$B$55,B9,'QA_Issues'!$D$2:$D$55,"MAJOR")</f>
        <v/>
      </c>
      <c r="T9" s="3">
        <f>COUNTIFS('QA_Issues'!$B$2:$B$55,B9,'QA_Issues'!$D$2:$D$55,"MINOR")</f>
        <v/>
      </c>
      <c r="U9" s="3">
        <f>COUNTIFS('QA_Issues'!$B$2:$B$55,B9,'QA_Issues'!$D$2:$D$55,"LIMITATION")</f>
        <v/>
      </c>
      <c r="V9" s="3" t="inlineStr">
        <is>
          <t>["ISS-068-IMG-04", "ISS-068-DESC", "ISS-068-CUSTOMIZER", "ISS-068-CANN", "ISS-068-META"]</t>
        </is>
      </c>
      <c r="W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</row>
    <row r="10" ht="42" customHeight="1">
      <c r="A10" s="2" t="n">
        <v>69</v>
      </c>
      <c r="B10" s="2" t="inlineStr">
        <is>
          <t>jeminise.com+custom-football-player-holding-ball-collage-comforter-with-football-helmet-08a49e7d2b-08a49e7d2b</t>
        </is>
      </c>
      <c r="C10" s="4" t="inlineStr">
        <is>
          <t>https://jeminise.com/products/custom-football-player-holding-ball-collage-comforter-with-football-helmet-08a49e7d2b-08a49e7d2b</t>
        </is>
      </c>
      <c r="D10" s="2" t="inlineStr">
        <is>
          <t>custom-football-player-holding-ball-collage-comforter-with-football-helmet-08a49e7d2b-08a49e7d2b</t>
        </is>
      </c>
      <c r="E10" s="2" t="inlineStr">
        <is>
          <t>8834753298631</t>
        </is>
      </c>
      <c r="F10" s="2" t="inlineStr">
        <is>
          <t>r2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6</v>
      </c>
      <c r="O10" s="2" t="n">
        <v>6</v>
      </c>
      <c r="P10" s="2" t="b">
        <v>1</v>
      </c>
      <c r="Q10" s="6" t="n">
        <v>1</v>
      </c>
      <c r="R10" s="2">
        <f>COUNTIFS('QA_Issues'!$B$2:$B$55,B10,'QA_Issues'!$D$2:$D$55,"CRITICAL")</f>
        <v/>
      </c>
      <c r="S10" s="2">
        <f>COUNTIFS('QA_Issues'!$B$2:$B$55,B10,'QA_Issues'!$D$2:$D$55,"MAJOR")</f>
        <v/>
      </c>
      <c r="T10" s="2">
        <f>COUNTIFS('QA_Issues'!$B$2:$B$55,B10,'QA_Issues'!$D$2:$D$55,"MINOR")</f>
        <v/>
      </c>
      <c r="U10" s="2">
        <f>COUNTIFS('QA_Issues'!$B$2:$B$55,B10,'QA_Issues'!$D$2:$D$55,"LIMITATION")</f>
        <v/>
      </c>
      <c r="V10" s="2" t="inlineStr">
        <is>
          <t>["ISS-069-IMG-04", "ISS-069-DESC", "ISS-069-CUSTOMIZER", "ISS-069-CANN", "ISS-069-META"]</t>
        </is>
      </c>
      <c r="W1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</row>
    <row r="11" ht="42" customHeight="1">
      <c r="A11" s="3" t="n">
        <v>70</v>
      </c>
      <c r="B11" s="3" t="inlineStr">
        <is>
          <t>jeminise.com+custom-football-player-running-on-camouflage-flag-comforter-9b84ecda23-9b84ecda23</t>
        </is>
      </c>
      <c r="C11" s="4" t="inlineStr">
        <is>
          <t>https://jeminise.com/products/custom-football-player-running-on-camouflage-flag-comforter-9b84ecda23-9b84ecda23</t>
        </is>
      </c>
      <c r="D11" s="3" t="inlineStr">
        <is>
          <t>custom-football-player-running-on-camouflage-flag-comforter-9b84ecda23-9b84ecda23</t>
        </is>
      </c>
      <c r="E11" s="3" t="inlineStr">
        <is>
          <t>8834760376519</t>
        </is>
      </c>
      <c r="F11" s="3" t="inlineStr">
        <is>
          <t>r2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6</v>
      </c>
      <c r="O11" s="3" t="n">
        <v>6</v>
      </c>
      <c r="P11" s="3" t="b">
        <v>1</v>
      </c>
      <c r="Q11" s="8" t="n">
        <v>1</v>
      </c>
      <c r="R11" s="3">
        <f>COUNTIFS('QA_Issues'!$B$2:$B$55,B11,'QA_Issues'!$D$2:$D$55,"CRITICAL")</f>
        <v/>
      </c>
      <c r="S11" s="3">
        <f>COUNTIFS('QA_Issues'!$B$2:$B$55,B11,'QA_Issues'!$D$2:$D$55,"MAJOR")</f>
        <v/>
      </c>
      <c r="T11" s="3">
        <f>COUNTIFS('QA_Issues'!$B$2:$B$55,B11,'QA_Issues'!$D$2:$D$55,"MINOR")</f>
        <v/>
      </c>
      <c r="U11" s="3">
        <f>COUNTIFS('QA_Issues'!$B$2:$B$55,B11,'QA_Issues'!$D$2:$D$55,"LIMITATION")</f>
        <v/>
      </c>
      <c r="V11" s="3" t="inlineStr">
        <is>
          <t>["ISS-070-IMG-04", "ISS-070-DESC", "ISS-070-CUSTOMIZER", "ISS-070-CANN", "ISS-070-META"]</t>
        </is>
      </c>
      <c r="W11" s="3" t="inlineStr">
        <is>
          <t>["evidence_batch_007_070", "https://jeminise.com/products/custom-football-player-running-on-camouflage-flag-comforter-9b84ecda23-9b84ecda23", "serp_qa_070",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jeminise.com+custom-football-above-yard-lines-perspective-comforter-2c2cb25ed8-2c2cb25ed8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IF(B2="I1",AVERAGEIF('QA_Images'!$A$2:$A$61,A2,'QA_Images'!$T$2:$T$61)/100,IF(D2="FULL",1,IF(D2="PARTIAL",0.5,IF(D2="FAIL",0,""))))</f>
        <v/>
      </c>
      <c r="F2" s="5">
        <f>IF(E2="",0,C2*E2)</f>
        <v/>
      </c>
      <c r="G2" s="5">
        <f>IF(B2="I1",20*AVERAGEIF('QA_Images'!$A$2:$A$61,A2,'QA_Images'!$U$2:$U$61)/100,IF(D2="NOT_CHECKED",0,C2))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["evidence_batch_007_061", "https://jeminise.com/products/custom-football-above-yard-lines-perspective-comforter-2c2cb25ed8-2c2cb25ed8", "serp_qa_061", "customizer_audit.json"]</t>
        </is>
      </c>
      <c r="J2" s="2" t="inlineStr">
        <is>
          <t>["ISS-061-IMG-04", "ISS-061-DESC", "ISS-061-CUSTOMIZER", "ISS-061-CANN", "ISS-061-META"]</t>
        </is>
      </c>
    </row>
    <row r="3" ht="42" customHeight="1">
      <c r="A3" s="3" t="inlineStr">
        <is>
          <t>jeminise.com+custom-football-above-yard-lines-perspective-comforter-2c2cb25ed8-2c2cb25ed8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IF(B3="I1",AVERAGEIF('QA_Images'!$A$2:$A$61,A3,'QA_Images'!$T$2:$T$61)/100,IF(D3="FULL",1,IF(D3="PARTIAL",0.5,IF(D3="FAIL",0,""))))</f>
        <v/>
      </c>
      <c r="F3" s="7">
        <f>IF(E3="",0,C3*E3)</f>
        <v/>
      </c>
      <c r="G3" s="7">
        <f>IF(B3="I1",20*AVERAGEIF('QA_Images'!$A$2:$A$61,A3,'QA_Images'!$U$2:$U$61)/100,IF(D3="NOT_CHECKED",0,C3))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["evidence_batch_007_061", "https://jeminise.com/products/custom-football-above-yard-lines-perspective-comforter-2c2cb25ed8-2c2cb25ed8", "serp_qa_061", "customizer_audit.json"]</t>
        </is>
      </c>
      <c r="J3" s="3" t="inlineStr">
        <is>
          <t>["ISS-061-IMG-04", "ISS-061-DESC", "ISS-061-CUSTOMIZER", "ISS-061-CANN", "ISS-061-META"]</t>
        </is>
      </c>
    </row>
    <row r="4" ht="42" customHeight="1">
      <c r="A4" s="2" t="inlineStr">
        <is>
          <t>jeminise.com+custom-football-above-yard-lines-perspective-comforter-2c2cb25ed8-2c2cb25ed8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IF(B4="I1",AVERAGEIF('QA_Images'!$A$2:$A$61,A4,'QA_Images'!$T$2:$T$61)/100,IF(D4="FULL",1,IF(D4="PARTIAL",0.5,IF(D4="FAIL",0,""))))</f>
        <v/>
      </c>
      <c r="F4" s="5">
        <f>IF(E4="",0,C4*E4)</f>
        <v/>
      </c>
      <c r="G4" s="5">
        <f>IF(B4="I1",20*AVERAGEIF('QA_Images'!$A$2:$A$61,A4,'QA_Images'!$U$2:$U$61)/100,IF(D4="NOT_CHECKED",0,C4))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["evidence_batch_007_061", "https://jeminise.com/products/custom-football-above-yard-lines-perspective-comforter-2c2cb25ed8-2c2cb25ed8", "serp_qa_061", "customizer_audit.json"]</t>
        </is>
      </c>
      <c r="J4" s="2" t="inlineStr">
        <is>
          <t>["ISS-061-IMG-04", "ISS-061-DESC", "ISS-061-CUSTOMIZER", "ISS-061-CANN", "ISS-061-META"]</t>
        </is>
      </c>
    </row>
    <row r="5" ht="42" customHeight="1">
      <c r="A5" s="3" t="inlineStr">
        <is>
          <t>jeminise.com+custom-football-above-yard-lines-perspective-comforter-2c2cb25ed8-2c2cb25ed8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IF(B5="I1",AVERAGEIF('QA_Images'!$A$2:$A$61,A5,'QA_Images'!$T$2:$T$61)/100,IF(D5="FULL",1,IF(D5="PARTIAL",0.5,IF(D5="FAIL",0,""))))</f>
        <v/>
      </c>
      <c r="F5" s="7">
        <f>IF(E5="",0,C5*E5)</f>
        <v/>
      </c>
      <c r="G5" s="7">
        <f>IF(B5="I1",20*AVERAGEIF('QA_Images'!$A$2:$A$61,A5,'QA_Images'!$U$2:$U$61)/100,IF(D5="NOT_CHECKED",0,C5))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["evidence_batch_007_061", "https://jeminise.com/products/custom-football-above-yard-lines-perspective-comforter-2c2cb25ed8-2c2cb25ed8", "serp_qa_061", "customizer_audit.json"]</t>
        </is>
      </c>
      <c r="J5" s="3" t="inlineStr">
        <is>
          <t>["ISS-061-IMG-04", "ISS-061-DESC", "ISS-061-CUSTOMIZER", "ISS-061-CANN", "ISS-061-META"]</t>
        </is>
      </c>
    </row>
    <row r="6" ht="42" customHeight="1">
      <c r="A6" s="2" t="inlineStr">
        <is>
          <t>jeminise.com+custom-football-above-yard-lines-perspective-comforter-2c2cb25ed8-2c2cb25ed8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IF(B6="I1",AVERAGEIF('QA_Images'!$A$2:$A$61,A6,'QA_Images'!$T$2:$T$61)/100,IF(D6="FULL",1,IF(D6="PARTIAL",0.5,IF(D6="FAIL",0,""))))</f>
        <v/>
      </c>
      <c r="F6" s="5">
        <f>IF(E6="",0,C6*E6)</f>
        <v/>
      </c>
      <c r="G6" s="5">
        <f>IF(B6="I1",20*AVERAGEIF('QA_Images'!$A$2:$A$61,A6,'QA_Images'!$U$2:$U$61)/100,IF(D6="NOT_CHECKED",0,C6))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["evidence_batch_007_061", "https://jeminise.com/products/custom-football-above-yard-lines-perspective-comforter-2c2cb25ed8-2c2cb25ed8", "serp_qa_061", "customizer_audit.json"]</t>
        </is>
      </c>
      <c r="J6" s="2" t="inlineStr">
        <is>
          <t>["ISS-061-IMG-04", "ISS-061-DESC", "ISS-061-CUSTOMIZER", "ISS-061-CANN", "ISS-061-META"]</t>
        </is>
      </c>
    </row>
    <row r="7" ht="42" customHeight="1">
      <c r="A7" s="3" t="inlineStr">
        <is>
          <t>jeminise.com+custom-football-above-yard-lines-perspective-comforter-2c2cb25ed8-2c2cb25ed8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IF(B7="I1",AVERAGEIF('QA_Images'!$A$2:$A$61,A7,'QA_Images'!$T$2:$T$61)/100,IF(D7="FULL",1,IF(D7="PARTIAL",0.5,IF(D7="FAIL",0,""))))</f>
        <v/>
      </c>
      <c r="F7" s="7">
        <f>IF(E7="",0,C7*E7)</f>
        <v/>
      </c>
      <c r="G7" s="7">
        <f>IF(B7="I1",20*AVERAGEIF('QA_Images'!$A$2:$A$61,A7,'QA_Images'!$U$2:$U$61)/100,IF(D7="NOT_CHECKED",0,C7))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["evidence_batch_007_061", "https://jeminise.com/products/custom-football-above-yard-lines-perspective-comforter-2c2cb25ed8-2c2cb25ed8", "serp_qa_061", "customizer_audit.json"]</t>
        </is>
      </c>
      <c r="J7" s="3" t="inlineStr">
        <is>
          <t>["ISS-061-IMG-04", "ISS-061-DESC", "ISS-061-CUSTOMIZER", "ISS-061-CANN", "ISS-061-META"]</t>
        </is>
      </c>
    </row>
    <row r="8" ht="42" customHeight="1">
      <c r="A8" s="2" t="inlineStr">
        <is>
          <t>jeminise.com+custom-football-above-yard-lines-perspective-comforter-2c2cb25ed8-2c2cb25ed8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IF(B8="I1",AVERAGEIF('QA_Images'!$A$2:$A$61,A8,'QA_Images'!$T$2:$T$61)/100,IF(D8="FULL",1,IF(D8="PARTIAL",0.5,IF(D8="FAIL",0,""))))</f>
        <v/>
      </c>
      <c r="F8" s="5">
        <f>IF(E8="",0,C8*E8)</f>
        <v/>
      </c>
      <c r="G8" s="5">
        <f>IF(B8="I1",20*AVERAGEIF('QA_Images'!$A$2:$A$61,A8,'QA_Images'!$U$2:$U$61)/100,IF(D8="NOT_CHECKED",0,C8))</f>
        <v/>
      </c>
      <c r="H8" s="2" t="inlineStr">
        <is>
          <t>Meta đúng motif nhưng quá dài và chưa diễn đạt cơ chế Customize gọn, rõ.</t>
        </is>
      </c>
      <c r="I8" s="2" t="inlineStr">
        <is>
          <t>["evidence_batch_007_061", "https://jeminise.com/products/custom-football-above-yard-lines-perspective-comforter-2c2cb25ed8-2c2cb25ed8", "serp_qa_061", "customizer_audit.json"]</t>
        </is>
      </c>
      <c r="J8" s="2" t="inlineStr">
        <is>
          <t>["ISS-061-IMG-04", "ISS-061-DESC", "ISS-061-CUSTOMIZER", "ISS-061-CANN", "ISS-061-META"]</t>
        </is>
      </c>
    </row>
    <row r="9" ht="42" customHeight="1">
      <c r="A9" s="3" t="inlineStr">
        <is>
          <t>jeminise.com+custom-football-above-yard-lines-perspective-comforter-2c2cb25ed8-2c2cb25ed8</t>
        </is>
      </c>
      <c r="B9" s="3" t="inlineStr">
        <is>
          <t>D1</t>
        </is>
      </c>
      <c r="C9" s="3" t="n">
        <v>5</v>
      </c>
      <c r="D9" s="3" t="inlineStr">
        <is>
          <t>PARTIAL</t>
        </is>
      </c>
      <c r="E9" s="7">
        <f>IF(B9="I1",AVERAGEIF('QA_Images'!$A$2:$A$61,A9,'QA_Images'!$T$2:$T$61)/100,IF(D9="FULL",1,IF(D9="PARTIAL",0.5,IF(D9="FAIL",0,""))))</f>
        <v/>
      </c>
      <c r="F9" s="7">
        <f>IF(E9="",0,C9*E9)</f>
        <v/>
      </c>
      <c r="G9" s="7">
        <f>IF(B9="I1",20*AVERAGEIF('QA_Images'!$A$2:$A$61,A9,'QA_Images'!$U$2:$U$61)/100,IF(D9="NOT_CHECKED",0,C9))</f>
        <v/>
      </c>
      <c r="H9" s="3" t="inlineStr">
        <is>
          <t>Bản r2 đã bỏ nội dung QA/import nhưng description vẫn là mẫu chung, lặp từ và thiếu dữ kiện cần thiết.</t>
        </is>
      </c>
      <c r="I9" s="3" t="inlineStr">
        <is>
          <t>["evidence_batch_007_061", "https://jeminise.com/products/custom-football-above-yard-lines-perspective-comforter-2c2cb25ed8-2c2cb25ed8", "serp_qa_061", "customizer_audit.json"]</t>
        </is>
      </c>
      <c r="J9" s="3" t="inlineStr">
        <is>
          <t>["ISS-061-IMG-04", "ISS-061-DESC", "ISS-061-CUSTOMIZER", "ISS-061-CANN", "ISS-061-META"]</t>
        </is>
      </c>
    </row>
    <row r="10" ht="42" customHeight="1">
      <c r="A10" s="2" t="inlineStr">
        <is>
          <t>jeminise.com+custom-football-above-yard-lines-perspective-comforter-2c2cb25ed8-2c2cb25ed8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IF(B10="I1",AVERAGEIF('QA_Images'!$A$2:$A$61,A10,'QA_Images'!$T$2:$T$61)/100,IF(D10="FULL",1,IF(D10="PARTIAL",0.5,IF(D10="FAIL",0,""))))</f>
        <v/>
      </c>
      <c r="F10" s="5">
        <f>IF(E10="",0,C10*E10)</f>
        <v/>
      </c>
      <c r="G10" s="5">
        <f>IF(B10="I1",20*AVERAGEIF('QA_Images'!$A$2:$A$61,A10,'QA_Images'!$U$2:$U$61)/100,IF(D10="NOT_CHECKED",0,C10))</f>
        <v/>
      </c>
      <c r="H10" s="2" t="inlineStr">
        <is>
          <t>Facts hình ảnh khớp, nhưng copy chưa nêu material/care/contents và quy tắc Name bắt buộc, Number tùy chọn.</t>
        </is>
      </c>
      <c r="I10" s="2" t="inlineStr">
        <is>
          <t>["evidence_batch_007_061", "https://jeminise.com/products/custom-football-above-yard-lines-perspective-comforter-2c2cb25ed8-2c2cb25ed8", "serp_qa_061", "customizer_audit.json"]</t>
        </is>
      </c>
      <c r="J10" s="2" t="inlineStr">
        <is>
          <t>["ISS-061-IMG-04", "ISS-061-DESC", "ISS-061-CUSTOMIZER", "ISS-061-CANN", "ISS-061-META"]</t>
        </is>
      </c>
    </row>
    <row r="11" ht="42" customHeight="1">
      <c r="A11" s="3" t="inlineStr">
        <is>
          <t>jeminise.com+custom-football-above-yard-lines-perspective-comforter-2c2cb25ed8-2c2cb25ed8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IF(B11="I1",AVERAGEIF('QA_Images'!$A$2:$A$61,A11,'QA_Images'!$T$2:$T$61)/100,IF(D11="FULL",1,IF(D11="PARTIAL",0.5,IF(D11="FAIL",0,""))))</f>
        <v/>
      </c>
      <c r="F11" s="7">
        <f>IF(E11="",0,C11*E11)</f>
        <v/>
      </c>
      <c r="G11" s="7">
        <f>IF(B11="I1",20*AVERAGEIF('QA_Images'!$A$2:$A$61,A11,'QA_Images'!$U$2:$U$61)/100,IF(D11="NOT_CHECKED",0,C11))</f>
        <v/>
      </c>
      <c r="H11" s="3" t="inlineStr">
        <is>
          <t>Tính từ trung bình 6 ảnh: 98.3333/100.</t>
        </is>
      </c>
      <c r="I11" s="3" t="inlineStr">
        <is>
          <t>["evidence_batch_007_061", "https://jeminise.com/products/custom-football-above-yard-lines-perspective-comforter-2c2cb25ed8-2c2cb25ed8", "serp_qa_061", "customizer_audit.json"]</t>
        </is>
      </c>
      <c r="J11" s="3" t="inlineStr">
        <is>
          <t>["ISS-061-IMG-04", "ISS-061-DESC", "ISS-061-CUSTOMIZER", "ISS-061-CANN", "ISS-061-META"]</t>
        </is>
      </c>
    </row>
    <row r="12" ht="42" customHeight="1">
      <c r="A12" s="2" t="inlineStr">
        <is>
          <t>jeminise.com+custom-football-above-yard-lines-perspective-comforter-2c2cb25ed8-2c2cb25ed8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IF(B12="I1",AVERAGEIF('QA_Images'!$A$2:$A$61,A12,'QA_Images'!$T$2:$T$61)/100,IF(D12="FULL",1,IF(D12="PARTIAL",0.5,IF(D12="FAIL",0,""))))</f>
        <v/>
      </c>
      <c r="F12" s="5">
        <f>IF(E12="",0,C12*E12)</f>
        <v/>
      </c>
      <c r="G12" s="5">
        <f>IF(B12="I1",20*AVERAGEIF('QA_Images'!$A$2:$A$61,A12,'QA_Images'!$U$2:$U$61)/100,IF(D12="NOT_CHECKED",0,C12))</f>
        <v/>
      </c>
      <c r="H12" s="2" t="inlineStr">
        <is>
          <t>Chuỗi evidence được kiểm tra; thiếu admin export và chưa chạy cart persistence.</t>
        </is>
      </c>
      <c r="I12" s="2" t="inlineStr">
        <is>
          <t>["evidence_batch_007_061", "https://jeminise.com/products/custom-football-above-yard-lines-perspective-comforter-2c2cb25ed8-2c2cb25ed8", "serp_qa_061", "customizer_audit.json"]</t>
        </is>
      </c>
      <c r="J12" s="2" t="inlineStr">
        <is>
          <t>["ISS-061-IMG-04", "ISS-061-DESC", "ISS-061-CUSTOMIZER", "ISS-061-CANN", "ISS-061-META"]</t>
        </is>
      </c>
    </row>
    <row r="13" ht="42" customHeight="1">
      <c r="A13" s="3" t="inlineStr">
        <is>
          <t>jeminise.com+custom-football-close-up-on-american-flag-comforter-039b2d7dd4-039b2d7dd4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IF(B13="I1",AVERAGEIF('QA_Images'!$A$2:$A$61,A13,'QA_Images'!$T$2:$T$61)/100,IF(D13="FULL",1,IF(D13="PARTIAL",0.5,IF(D13="FAIL",0,""))))</f>
        <v/>
      </c>
      <c r="F13" s="7">
        <f>IF(E13="",0,C13*E13)</f>
        <v/>
      </c>
      <c r="G13" s="7">
        <f>IF(B13="I1",20*AVERAGEIF('QA_Images'!$A$2:$A$61,A13,'QA_Images'!$U$2:$U$61)/100,IF(D13="NOT_CHECKED",0,C13))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["evidence_batch_007_062", "https://jeminise.com/products/custom-football-close-up-on-american-flag-comforter-039b2d7dd4-039b2d7dd4", "serp_qa_062", "customizer_audit.json"]</t>
        </is>
      </c>
      <c r="J13" s="3" t="inlineStr">
        <is>
          <t>["ISS-062-IMG-04", "ISS-062-DESC", "ISS-062-CUSTOMIZER", "ISS-062-CANN", "ISS-062-META"]</t>
        </is>
      </c>
    </row>
    <row r="14" ht="42" customHeight="1">
      <c r="A14" s="2" t="inlineStr">
        <is>
          <t>jeminise.com+custom-football-close-up-on-american-flag-comforter-039b2d7dd4-039b2d7dd4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IF(B14="I1",AVERAGEIF('QA_Images'!$A$2:$A$61,A14,'QA_Images'!$T$2:$T$61)/100,IF(D14="FULL",1,IF(D14="PARTIAL",0.5,IF(D14="FAIL",0,""))))</f>
        <v/>
      </c>
      <c r="F14" s="5">
        <f>IF(E14="",0,C14*E14)</f>
        <v/>
      </c>
      <c r="G14" s="5">
        <f>IF(B14="I1",20*AVERAGEIF('QA_Images'!$A$2:$A$61,A14,'QA_Images'!$U$2:$U$61)/100,IF(D14="NOT_CHECKED",0,C14))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["evidence_batch_007_062", "https://jeminise.com/products/custom-football-close-up-on-american-flag-comforter-039b2d7dd4-039b2d7dd4", "serp_qa_062", "customizer_audit.json"]</t>
        </is>
      </c>
      <c r="J14" s="2" t="inlineStr">
        <is>
          <t>["ISS-062-IMG-04", "ISS-062-DESC", "ISS-062-CUSTOMIZER", "ISS-062-CANN", "ISS-062-META"]</t>
        </is>
      </c>
    </row>
    <row r="15" ht="42" customHeight="1">
      <c r="A15" s="3" t="inlineStr">
        <is>
          <t>jeminise.com+custom-football-close-up-on-american-flag-comforter-039b2d7dd4-039b2d7dd4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IF(B15="I1",AVERAGEIF('QA_Images'!$A$2:$A$61,A15,'QA_Images'!$T$2:$T$61)/100,IF(D15="FULL",1,IF(D15="PARTIAL",0.5,IF(D15="FAIL",0,""))))</f>
        <v/>
      </c>
      <c r="F15" s="7">
        <f>IF(E15="",0,C15*E15)</f>
        <v/>
      </c>
      <c r="G15" s="7">
        <f>IF(B15="I1",20*AVERAGEIF('QA_Images'!$A$2:$A$61,A15,'QA_Images'!$U$2:$U$61)/100,IF(D15="NOT_CHECKED",0,C15))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["evidence_batch_007_062", "https://jeminise.com/products/custom-football-close-up-on-american-flag-comforter-039b2d7dd4-039b2d7dd4", "serp_qa_062", "customizer_audit.json"]</t>
        </is>
      </c>
      <c r="J15" s="3" t="inlineStr">
        <is>
          <t>["ISS-062-IMG-04", "ISS-062-DESC", "ISS-062-CUSTOMIZER", "ISS-062-CANN", "ISS-062-META"]</t>
        </is>
      </c>
    </row>
    <row r="16" ht="42" customHeight="1">
      <c r="A16" s="2" t="inlineStr">
        <is>
          <t>jeminise.com+custom-football-close-up-on-american-flag-comforter-039b2d7dd4-039b2d7dd4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IF(B16="I1",AVERAGEIF('QA_Images'!$A$2:$A$61,A16,'QA_Images'!$T$2:$T$61)/100,IF(D16="FULL",1,IF(D16="PARTIAL",0.5,IF(D16="FAIL",0,""))))</f>
        <v/>
      </c>
      <c r="F16" s="5">
        <f>IF(E16="",0,C16*E16)</f>
        <v/>
      </c>
      <c r="G16" s="5">
        <f>IF(B16="I1",20*AVERAGEIF('QA_Images'!$A$2:$A$61,A16,'QA_Images'!$U$2:$U$61)/100,IF(D16="NOT_CHECKED",0,C16))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["evidence_batch_007_062", "https://jeminise.com/products/custom-football-close-up-on-american-flag-comforter-039b2d7dd4-039b2d7dd4", "serp_qa_062", "customizer_audit.json"]</t>
        </is>
      </c>
      <c r="J16" s="2" t="inlineStr">
        <is>
          <t>["ISS-062-IMG-04", "ISS-062-DESC", "ISS-062-CUSTOMIZER", "ISS-062-CANN", "ISS-062-META"]</t>
        </is>
      </c>
    </row>
    <row r="17" ht="42" customHeight="1">
      <c r="A17" s="3" t="inlineStr">
        <is>
          <t>jeminise.com+custom-football-close-up-on-american-flag-comforter-039b2d7dd4-039b2d7dd4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IF(B17="I1",AVERAGEIF('QA_Images'!$A$2:$A$61,A17,'QA_Images'!$T$2:$T$61)/100,IF(D17="FULL",1,IF(D17="PARTIAL",0.5,IF(D17="FAIL",0,""))))</f>
        <v/>
      </c>
      <c r="F17" s="7">
        <f>IF(E17="",0,C17*E17)</f>
        <v/>
      </c>
      <c r="G17" s="7">
        <f>IF(B17="I1",20*AVERAGEIF('QA_Images'!$A$2:$A$61,A17,'QA_Images'!$U$2:$U$61)/100,IF(D17="NOT_CHECKED",0,C17))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["evidence_batch_007_062", "https://jeminise.com/products/custom-football-close-up-on-american-flag-comforter-039b2d7dd4-039b2d7dd4", "serp_qa_062", "customizer_audit.json"]</t>
        </is>
      </c>
      <c r="J17" s="3" t="inlineStr">
        <is>
          <t>["ISS-062-IMG-04", "ISS-062-DESC", "ISS-062-CUSTOMIZER", "ISS-062-CANN", "ISS-062-META"]</t>
        </is>
      </c>
    </row>
    <row r="18" ht="42" customHeight="1">
      <c r="A18" s="2" t="inlineStr">
        <is>
          <t>jeminise.com+custom-football-close-up-on-american-flag-comforter-039b2d7dd4-039b2d7dd4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IF(B18="I1",AVERAGEIF('QA_Images'!$A$2:$A$61,A18,'QA_Images'!$T$2:$T$61)/100,IF(D18="FULL",1,IF(D18="PARTIAL",0.5,IF(D18="FAIL",0,""))))</f>
        <v/>
      </c>
      <c r="F18" s="5">
        <f>IF(E18="",0,C18*E18)</f>
        <v/>
      </c>
      <c r="G18" s="5">
        <f>IF(B18="I1",20*AVERAGEIF('QA_Images'!$A$2:$A$61,A18,'QA_Images'!$U$2:$U$61)/100,IF(D18="NOT_CHECKED",0,C18))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["evidence_batch_007_062", "https://jeminise.com/products/custom-football-close-up-on-american-flag-comforter-039b2d7dd4-039b2d7dd4", "serp_qa_062", "customizer_audit.json"]</t>
        </is>
      </c>
      <c r="J18" s="2" t="inlineStr">
        <is>
          <t>["ISS-062-IMG-04", "ISS-062-DESC", "ISS-062-CUSTOMIZER", "ISS-062-CANN", "ISS-062-META"]</t>
        </is>
      </c>
    </row>
    <row r="19" ht="42" customHeight="1">
      <c r="A19" s="3" t="inlineStr">
        <is>
          <t>jeminise.com+custom-football-close-up-on-american-flag-comforter-039b2d7dd4-039b2d7dd4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IF(B19="I1",AVERAGEIF('QA_Images'!$A$2:$A$61,A19,'QA_Images'!$T$2:$T$61)/100,IF(D19="FULL",1,IF(D19="PARTIAL",0.5,IF(D19="FAIL",0,""))))</f>
        <v/>
      </c>
      <c r="F19" s="7">
        <f>IF(E19="",0,C19*E19)</f>
        <v/>
      </c>
      <c r="G19" s="7">
        <f>IF(B19="I1",20*AVERAGEIF('QA_Images'!$A$2:$A$61,A19,'QA_Images'!$U$2:$U$61)/100,IF(D19="NOT_CHECKED",0,C19))</f>
        <v/>
      </c>
      <c r="H19" s="3" t="inlineStr">
        <is>
          <t>Meta đúng motif nhưng quá dài và chưa diễn đạt cơ chế Customize gọn, rõ.</t>
        </is>
      </c>
      <c r="I19" s="3" t="inlineStr">
        <is>
          <t>["evidence_batch_007_062", "https://jeminise.com/products/custom-football-close-up-on-american-flag-comforter-039b2d7dd4-039b2d7dd4", "serp_qa_062", "customizer_audit.json"]</t>
        </is>
      </c>
      <c r="J19" s="3" t="inlineStr">
        <is>
          <t>["ISS-062-IMG-04", "ISS-062-DESC", "ISS-062-CUSTOMIZER", "ISS-062-CANN", "ISS-062-META"]</t>
        </is>
      </c>
    </row>
    <row r="20" ht="42" customHeight="1">
      <c r="A20" s="2" t="inlineStr">
        <is>
          <t>jeminise.com+custom-football-close-up-on-american-flag-comforter-039b2d7dd4-039b2d7dd4</t>
        </is>
      </c>
      <c r="B20" s="2" t="inlineStr">
        <is>
          <t>D1</t>
        </is>
      </c>
      <c r="C20" s="2" t="n">
        <v>5</v>
      </c>
      <c r="D20" s="2" t="inlineStr">
        <is>
          <t>PARTIAL</t>
        </is>
      </c>
      <c r="E20" s="5">
        <f>IF(B20="I1",AVERAGEIF('QA_Images'!$A$2:$A$61,A20,'QA_Images'!$T$2:$T$61)/100,IF(D20="FULL",1,IF(D20="PARTIAL",0.5,IF(D20="FAIL",0,""))))</f>
        <v/>
      </c>
      <c r="F20" s="5">
        <f>IF(E20="",0,C20*E20)</f>
        <v/>
      </c>
      <c r="G20" s="5">
        <f>IF(B20="I1",20*AVERAGEIF('QA_Images'!$A$2:$A$61,A20,'QA_Images'!$U$2:$U$61)/100,IF(D20="NOT_CHECKED",0,C20))</f>
        <v/>
      </c>
      <c r="H20" s="2" t="inlineStr">
        <is>
          <t>Bản r2 đã bỏ nội dung QA/import nhưng description vẫn là mẫu chung, lặp từ và thiếu dữ kiện cần thiết.</t>
        </is>
      </c>
      <c r="I20" s="2" t="inlineStr">
        <is>
          <t>["evidence_batch_007_062", "https://jeminise.com/products/custom-football-close-up-on-american-flag-comforter-039b2d7dd4-039b2d7dd4", "serp_qa_062", "customizer_audit.json"]</t>
        </is>
      </c>
      <c r="J20" s="2" t="inlineStr">
        <is>
          <t>["ISS-062-IMG-04", "ISS-062-DESC", "ISS-062-CUSTOMIZER", "ISS-062-CANN", "ISS-062-META"]</t>
        </is>
      </c>
    </row>
    <row r="21" ht="42" customHeight="1">
      <c r="A21" s="3" t="inlineStr">
        <is>
          <t>jeminise.com+custom-football-close-up-on-american-flag-comforter-039b2d7dd4-039b2d7dd4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IF(B21="I1",AVERAGEIF('QA_Images'!$A$2:$A$61,A21,'QA_Images'!$T$2:$T$61)/100,IF(D21="FULL",1,IF(D21="PARTIAL",0.5,IF(D21="FAIL",0,""))))</f>
        <v/>
      </c>
      <c r="F21" s="7">
        <f>IF(E21="",0,C21*E21)</f>
        <v/>
      </c>
      <c r="G21" s="7">
        <f>IF(B21="I1",20*AVERAGEIF('QA_Images'!$A$2:$A$61,A21,'QA_Images'!$U$2:$U$61)/100,IF(D21="NOT_CHECKED",0,C21))</f>
        <v/>
      </c>
      <c r="H21" s="3" t="inlineStr">
        <is>
          <t>Facts hình ảnh khớp, nhưng copy chưa nêu material/care/contents và quy tắc Name bắt buộc, Number tùy chọn.</t>
        </is>
      </c>
      <c r="I21" s="3" t="inlineStr">
        <is>
          <t>["evidence_batch_007_062", "https://jeminise.com/products/custom-football-close-up-on-american-flag-comforter-039b2d7dd4-039b2d7dd4", "serp_qa_062", "customizer_audit.json"]</t>
        </is>
      </c>
      <c r="J21" s="3" t="inlineStr">
        <is>
          <t>["ISS-062-IMG-04", "ISS-062-DESC", "ISS-062-CUSTOMIZER", "ISS-062-CANN", "ISS-062-META"]</t>
        </is>
      </c>
    </row>
    <row r="22" ht="42" customHeight="1">
      <c r="A22" s="2" t="inlineStr">
        <is>
          <t>jeminise.com+custom-football-close-up-on-american-flag-comforter-039b2d7dd4-039b2d7dd4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IF(B22="I1",AVERAGEIF('QA_Images'!$A$2:$A$61,A22,'QA_Images'!$T$2:$T$61)/100,IF(D22="FULL",1,IF(D22="PARTIAL",0.5,IF(D22="FAIL",0,""))))</f>
        <v/>
      </c>
      <c r="F22" s="5">
        <f>IF(E22="",0,C22*E22)</f>
        <v/>
      </c>
      <c r="G22" s="5">
        <f>IF(B22="I1",20*AVERAGEIF('QA_Images'!$A$2:$A$61,A22,'QA_Images'!$U$2:$U$61)/100,IF(D22="NOT_CHECKED",0,C22))</f>
        <v/>
      </c>
      <c r="H22" s="2" t="inlineStr">
        <is>
          <t>Tính từ trung bình 6 ảnh: 98.3333/100.</t>
        </is>
      </c>
      <c r="I22" s="2" t="inlineStr">
        <is>
          <t>["evidence_batch_007_062", "https://jeminise.com/products/custom-football-close-up-on-american-flag-comforter-039b2d7dd4-039b2d7dd4", "serp_qa_062", "customizer_audit.json"]</t>
        </is>
      </c>
      <c r="J22" s="2" t="inlineStr">
        <is>
          <t>["ISS-062-IMG-04", "ISS-062-DESC", "ISS-062-CUSTOMIZER", "ISS-062-CANN", "ISS-062-META"]</t>
        </is>
      </c>
    </row>
    <row r="23" ht="42" customHeight="1">
      <c r="A23" s="3" t="inlineStr">
        <is>
          <t>jeminise.com+custom-football-close-up-on-american-flag-comforter-039b2d7dd4-039b2d7dd4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IF(B23="I1",AVERAGEIF('QA_Images'!$A$2:$A$61,A23,'QA_Images'!$T$2:$T$61)/100,IF(D23="FULL",1,IF(D23="PARTIAL",0.5,IF(D23="FAIL",0,""))))</f>
        <v/>
      </c>
      <c r="F23" s="7">
        <f>IF(E23="",0,C23*E23)</f>
        <v/>
      </c>
      <c r="G23" s="7">
        <f>IF(B23="I1",20*AVERAGEIF('QA_Images'!$A$2:$A$61,A23,'QA_Images'!$U$2:$U$61)/100,IF(D23="NOT_CHECKED",0,C23))</f>
        <v/>
      </c>
      <c r="H23" s="3" t="inlineStr">
        <is>
          <t>Chuỗi evidence được kiểm tra; thiếu admin export và chưa chạy cart persistence.</t>
        </is>
      </c>
      <c r="I23" s="3" t="inlineStr">
        <is>
          <t>["evidence_batch_007_062", "https://jeminise.com/products/custom-football-close-up-on-american-flag-comforter-039b2d7dd4-039b2d7dd4", "serp_qa_062", "customizer_audit.json"]</t>
        </is>
      </c>
      <c r="J23" s="3" t="inlineStr">
        <is>
          <t>["ISS-062-IMG-04", "ISS-062-DESC", "ISS-062-CUSTOMIZER", "ISS-062-CANN", "ISS-062-META"]</t>
        </is>
      </c>
    </row>
    <row r="24" ht="42" customHeight="1">
      <c r="A24" s="2" t="inlineStr">
        <is>
          <t>jeminise.com+custom-football-engulfed-in-flames-and-lightning-comforter-902ce338f4-902ce338f4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IF(B24="I1",AVERAGEIF('QA_Images'!$A$2:$A$61,A24,'QA_Images'!$T$2:$T$61)/100,IF(D24="FULL",1,IF(D24="PARTIAL",0.5,IF(D24="FAIL",0,""))))</f>
        <v/>
      </c>
      <c r="F24" s="5">
        <f>IF(E24="",0,C24*E24)</f>
        <v/>
      </c>
      <c r="G24" s="5">
        <f>IF(B24="I1",20*AVERAGEIF('QA_Images'!$A$2:$A$61,A24,'QA_Images'!$U$2:$U$61)/100,IF(D24="NOT_CHECKED",0,C24))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["evidence_batch_007_063", "https://jeminise.com/products/custom-football-engulfed-in-flames-and-lightning-comforter-902ce338f4-902ce338f4", "serp_qa_063", "customizer_audit.json"]</t>
        </is>
      </c>
      <c r="J24" s="2" t="inlineStr">
        <is>
          <t>["ISS-063-IMG-04", "ISS-063-DESC", "ISS-063-CUSTOMIZER", "ISS-063-CANN", "ISS-063-META"]</t>
        </is>
      </c>
    </row>
    <row r="25" ht="42" customHeight="1">
      <c r="A25" s="3" t="inlineStr">
        <is>
          <t>jeminise.com+custom-football-engulfed-in-flames-and-lightning-comforter-902ce338f4-902ce338f4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IF(B25="I1",AVERAGEIF('QA_Images'!$A$2:$A$61,A25,'QA_Images'!$T$2:$T$61)/100,IF(D25="FULL",1,IF(D25="PARTIAL",0.5,IF(D25="FAIL",0,""))))</f>
        <v/>
      </c>
      <c r="F25" s="7">
        <f>IF(E25="",0,C25*E25)</f>
        <v/>
      </c>
      <c r="G25" s="7">
        <f>IF(B25="I1",20*AVERAGEIF('QA_Images'!$A$2:$A$61,A25,'QA_Images'!$U$2:$U$61)/100,IF(D25="NOT_CHECKED",0,C25))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["evidence_batch_007_063", "https://jeminise.com/products/custom-football-engulfed-in-flames-and-lightning-comforter-902ce338f4-902ce338f4", "serp_qa_063", "customizer_audit.json"]</t>
        </is>
      </c>
      <c r="J25" s="3" t="inlineStr">
        <is>
          <t>["ISS-063-IMG-04", "ISS-063-DESC", "ISS-063-CUSTOMIZER", "ISS-063-CANN", "ISS-063-META"]</t>
        </is>
      </c>
    </row>
    <row r="26" ht="42" customHeight="1">
      <c r="A26" s="2" t="inlineStr">
        <is>
          <t>jeminise.com+custom-football-engulfed-in-flames-and-lightning-comforter-902ce338f4-902ce338f4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IF(B26="I1",AVERAGEIF('QA_Images'!$A$2:$A$61,A26,'QA_Images'!$T$2:$T$61)/100,IF(D26="FULL",1,IF(D26="PARTIAL",0.5,IF(D26="FAIL",0,""))))</f>
        <v/>
      </c>
      <c r="F26" s="5">
        <f>IF(E26="",0,C26*E26)</f>
        <v/>
      </c>
      <c r="G26" s="5">
        <f>IF(B26="I1",20*AVERAGEIF('QA_Images'!$A$2:$A$61,A26,'QA_Images'!$U$2:$U$61)/100,IF(D26="NOT_CHECKED",0,C26))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["evidence_batch_007_063", "https://jeminise.com/products/custom-football-engulfed-in-flames-and-lightning-comforter-902ce338f4-902ce338f4", "serp_qa_063", "customizer_audit.json"]</t>
        </is>
      </c>
      <c r="J26" s="2" t="inlineStr">
        <is>
          <t>["ISS-063-IMG-04", "ISS-063-DESC", "ISS-063-CUSTOMIZER", "ISS-063-CANN", "ISS-063-META"]</t>
        </is>
      </c>
    </row>
    <row r="27" ht="42" customHeight="1">
      <c r="A27" s="3" t="inlineStr">
        <is>
          <t>jeminise.com+custom-football-engulfed-in-flames-and-lightning-comforter-902ce338f4-902ce338f4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IF(B27="I1",AVERAGEIF('QA_Images'!$A$2:$A$61,A27,'QA_Images'!$T$2:$T$61)/100,IF(D27="FULL",1,IF(D27="PARTIAL",0.5,IF(D27="FAIL",0,""))))</f>
        <v/>
      </c>
      <c r="F27" s="7">
        <f>IF(E27="",0,C27*E27)</f>
        <v/>
      </c>
      <c r="G27" s="7">
        <f>IF(B27="I1",20*AVERAGEIF('QA_Images'!$A$2:$A$61,A27,'QA_Images'!$U$2:$U$61)/100,IF(D27="NOT_CHECKED",0,C27))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["evidence_batch_007_063", "https://jeminise.com/products/custom-football-engulfed-in-flames-and-lightning-comforter-902ce338f4-902ce338f4", "serp_qa_063", "customizer_audit.json"]</t>
        </is>
      </c>
      <c r="J27" s="3" t="inlineStr">
        <is>
          <t>["ISS-063-IMG-04", "ISS-063-DESC", "ISS-063-CUSTOMIZER", "ISS-063-CANN", "ISS-063-META"]</t>
        </is>
      </c>
    </row>
    <row r="28" ht="42" customHeight="1">
      <c r="A28" s="2" t="inlineStr">
        <is>
          <t>jeminise.com+custom-football-engulfed-in-flames-and-lightning-comforter-902ce338f4-902ce338f4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IF(B28="I1",AVERAGEIF('QA_Images'!$A$2:$A$61,A28,'QA_Images'!$T$2:$T$61)/100,IF(D28="FULL",1,IF(D28="PARTIAL",0.5,IF(D28="FAIL",0,""))))</f>
        <v/>
      </c>
      <c r="F28" s="5">
        <f>IF(E28="",0,C28*E28)</f>
        <v/>
      </c>
      <c r="G28" s="5">
        <f>IF(B28="I1",20*AVERAGEIF('QA_Images'!$A$2:$A$61,A28,'QA_Images'!$U$2:$U$61)/100,IF(D28="NOT_CHECKED",0,C28))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["evidence_batch_007_063", "https://jeminise.com/products/custom-football-engulfed-in-flames-and-lightning-comforter-902ce338f4-902ce338f4", "serp_qa_063", "customizer_audit.json"]</t>
        </is>
      </c>
      <c r="J28" s="2" t="inlineStr">
        <is>
          <t>["ISS-063-IMG-04", "ISS-063-DESC", "ISS-063-CUSTOMIZER", "ISS-063-CANN", "ISS-063-META"]</t>
        </is>
      </c>
    </row>
    <row r="29" ht="42" customHeight="1">
      <c r="A29" s="3" t="inlineStr">
        <is>
          <t>jeminise.com+custom-football-engulfed-in-flames-and-lightning-comforter-902ce338f4-902ce338f4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IF(B29="I1",AVERAGEIF('QA_Images'!$A$2:$A$61,A29,'QA_Images'!$T$2:$T$61)/100,IF(D29="FULL",1,IF(D29="PARTIAL",0.5,IF(D29="FAIL",0,""))))</f>
        <v/>
      </c>
      <c r="F29" s="7">
        <f>IF(E29="",0,C29*E29)</f>
        <v/>
      </c>
      <c r="G29" s="7">
        <f>IF(B29="I1",20*AVERAGEIF('QA_Images'!$A$2:$A$61,A29,'QA_Images'!$U$2:$U$61)/100,IF(D29="NOT_CHECKED",0,C29))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["evidence_batch_007_063", "https://jeminise.com/products/custom-football-engulfed-in-flames-and-lightning-comforter-902ce338f4-902ce338f4", "serp_qa_063", "customizer_audit.json"]</t>
        </is>
      </c>
      <c r="J29" s="3" t="inlineStr">
        <is>
          <t>["ISS-063-IMG-04", "ISS-063-DESC", "ISS-063-CUSTOMIZER", "ISS-063-CANN", "ISS-063-META"]</t>
        </is>
      </c>
    </row>
    <row r="30" ht="42" customHeight="1">
      <c r="A30" s="2" t="inlineStr">
        <is>
          <t>jeminise.com+custom-football-engulfed-in-flames-and-lightning-comforter-902ce338f4-902ce338f4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IF(B30="I1",AVERAGEIF('QA_Images'!$A$2:$A$61,A30,'QA_Images'!$T$2:$T$61)/100,IF(D30="FULL",1,IF(D30="PARTIAL",0.5,IF(D30="FAIL",0,""))))</f>
        <v/>
      </c>
      <c r="F30" s="5">
        <f>IF(E30="",0,C30*E30)</f>
        <v/>
      </c>
      <c r="G30" s="5">
        <f>IF(B30="I1",20*AVERAGEIF('QA_Images'!$A$2:$A$61,A30,'QA_Images'!$U$2:$U$61)/100,IF(D30="NOT_CHECKED",0,C30))</f>
        <v/>
      </c>
      <c r="H30" s="2" t="inlineStr">
        <is>
          <t>Meta đúng motif nhưng quá dài và chưa diễn đạt cơ chế Customize gọn, rõ.</t>
        </is>
      </c>
      <c r="I30" s="2" t="inlineStr">
        <is>
          <t>["evidence_batch_007_063", "https://jeminise.com/products/custom-football-engulfed-in-flames-and-lightning-comforter-902ce338f4-902ce338f4", "serp_qa_063", "customizer_audit.json"]</t>
        </is>
      </c>
      <c r="J30" s="2" t="inlineStr">
        <is>
          <t>["ISS-063-IMG-04", "ISS-063-DESC", "ISS-063-CUSTOMIZER", "ISS-063-CANN", "ISS-063-META"]</t>
        </is>
      </c>
    </row>
    <row r="31" ht="42" customHeight="1">
      <c r="A31" s="3" t="inlineStr">
        <is>
          <t>jeminise.com+custom-football-engulfed-in-flames-and-lightning-comforter-902ce338f4-902ce338f4</t>
        </is>
      </c>
      <c r="B31" s="3" t="inlineStr">
        <is>
          <t>D1</t>
        </is>
      </c>
      <c r="C31" s="3" t="n">
        <v>5</v>
      </c>
      <c r="D31" s="3" t="inlineStr">
        <is>
          <t>PARTIAL</t>
        </is>
      </c>
      <c r="E31" s="7">
        <f>IF(B31="I1",AVERAGEIF('QA_Images'!$A$2:$A$61,A31,'QA_Images'!$T$2:$T$61)/100,IF(D31="FULL",1,IF(D31="PARTIAL",0.5,IF(D31="FAIL",0,""))))</f>
        <v/>
      </c>
      <c r="F31" s="7">
        <f>IF(E31="",0,C31*E31)</f>
        <v/>
      </c>
      <c r="G31" s="7">
        <f>IF(B31="I1",20*AVERAGEIF('QA_Images'!$A$2:$A$61,A31,'QA_Images'!$U$2:$U$61)/100,IF(D31="NOT_CHECKED",0,C31))</f>
        <v/>
      </c>
      <c r="H31" s="3" t="inlineStr">
        <is>
          <t>Bản r2 đã bỏ nội dung QA/import nhưng description vẫn là mẫu chung, lặp từ và thiếu dữ kiện cần thiết.</t>
        </is>
      </c>
      <c r="I31" s="3" t="inlineStr">
        <is>
          <t>["evidence_batch_007_063", "https://jeminise.com/products/custom-football-engulfed-in-flames-and-lightning-comforter-902ce338f4-902ce338f4", "serp_qa_063", "customizer_audit.json"]</t>
        </is>
      </c>
      <c r="J31" s="3" t="inlineStr">
        <is>
          <t>["ISS-063-IMG-04", "ISS-063-DESC", "ISS-063-CUSTOMIZER", "ISS-063-CANN", "ISS-063-META"]</t>
        </is>
      </c>
    </row>
    <row r="32" ht="42" customHeight="1">
      <c r="A32" s="2" t="inlineStr">
        <is>
          <t>jeminise.com+custom-football-engulfed-in-flames-and-lightning-comforter-902ce338f4-902ce338f4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IF(B32="I1",AVERAGEIF('QA_Images'!$A$2:$A$61,A32,'QA_Images'!$T$2:$T$61)/100,IF(D32="FULL",1,IF(D32="PARTIAL",0.5,IF(D32="FAIL",0,""))))</f>
        <v/>
      </c>
      <c r="F32" s="5">
        <f>IF(E32="",0,C32*E32)</f>
        <v/>
      </c>
      <c r="G32" s="5">
        <f>IF(B32="I1",20*AVERAGEIF('QA_Images'!$A$2:$A$61,A32,'QA_Images'!$U$2:$U$61)/100,IF(D32="NOT_CHECKED",0,C32))</f>
        <v/>
      </c>
      <c r="H32" s="2" t="inlineStr">
        <is>
          <t>Facts hình ảnh khớp, nhưng copy chưa nêu material/care/contents và quy tắc Name bắt buộc, Number tùy chọn.</t>
        </is>
      </c>
      <c r="I32" s="2" t="inlineStr">
        <is>
          <t>["evidence_batch_007_063", "https://jeminise.com/products/custom-football-engulfed-in-flames-and-lightning-comforter-902ce338f4-902ce338f4", "serp_qa_063", "customizer_audit.json"]</t>
        </is>
      </c>
      <c r="J32" s="2" t="inlineStr">
        <is>
          <t>["ISS-063-IMG-04", "ISS-063-DESC", "ISS-063-CUSTOMIZER", "ISS-063-CANN", "ISS-063-META"]</t>
        </is>
      </c>
    </row>
    <row r="33" ht="42" customHeight="1">
      <c r="A33" s="3" t="inlineStr">
        <is>
          <t>jeminise.com+custom-football-engulfed-in-flames-and-lightning-comforter-902ce338f4-902ce338f4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IF(B33="I1",AVERAGEIF('QA_Images'!$A$2:$A$61,A33,'QA_Images'!$T$2:$T$61)/100,IF(D33="FULL",1,IF(D33="PARTIAL",0.5,IF(D33="FAIL",0,""))))</f>
        <v/>
      </c>
      <c r="F33" s="7">
        <f>IF(E33="",0,C33*E33)</f>
        <v/>
      </c>
      <c r="G33" s="7">
        <f>IF(B33="I1",20*AVERAGEIF('QA_Images'!$A$2:$A$61,A33,'QA_Images'!$U$2:$U$61)/100,IF(D33="NOT_CHECKED",0,C33))</f>
        <v/>
      </c>
      <c r="H33" s="3" t="inlineStr">
        <is>
          <t>Tính từ trung bình 6 ảnh: 98.3333/100.</t>
        </is>
      </c>
      <c r="I33" s="3" t="inlineStr">
        <is>
          <t>["evidence_batch_007_063", "https://jeminise.com/products/custom-football-engulfed-in-flames-and-lightning-comforter-902ce338f4-902ce338f4", "serp_qa_063", "customizer_audit.json"]</t>
        </is>
      </c>
      <c r="J33" s="3" t="inlineStr">
        <is>
          <t>["ISS-063-IMG-04", "ISS-063-DESC", "ISS-063-CUSTOMIZER", "ISS-063-CANN", "ISS-063-META"]</t>
        </is>
      </c>
    </row>
    <row r="34" ht="42" customHeight="1">
      <c r="A34" s="2" t="inlineStr">
        <is>
          <t>jeminise.com+custom-football-engulfed-in-flames-and-lightning-comforter-902ce338f4-902ce338f4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IF(B34="I1",AVERAGEIF('QA_Images'!$A$2:$A$61,A34,'QA_Images'!$T$2:$T$61)/100,IF(D34="FULL",1,IF(D34="PARTIAL",0.5,IF(D34="FAIL",0,""))))</f>
        <v/>
      </c>
      <c r="F34" s="5">
        <f>IF(E34="",0,C34*E34)</f>
        <v/>
      </c>
      <c r="G34" s="5">
        <f>IF(B34="I1",20*AVERAGEIF('QA_Images'!$A$2:$A$61,A34,'QA_Images'!$U$2:$U$61)/100,IF(D34="NOT_CHECKED",0,C34))</f>
        <v/>
      </c>
      <c r="H34" s="2" t="inlineStr">
        <is>
          <t>Chuỗi evidence được kiểm tra; thiếu admin export và chưa chạy cart persistence.</t>
        </is>
      </c>
      <c r="I34" s="2" t="inlineStr">
        <is>
          <t>["evidence_batch_007_063", "https://jeminise.com/products/custom-football-engulfed-in-flames-and-lightning-comforter-902ce338f4-902ce338f4", "serp_qa_063", "customizer_audit.json"]</t>
        </is>
      </c>
      <c r="J34" s="2" t="inlineStr">
        <is>
          <t>["ISS-063-IMG-04", "ISS-063-DESC", "ISS-063-CUSTOMIZER", "ISS-063-CANN", "ISS-063-META"]</t>
        </is>
      </c>
    </row>
    <row r="35" ht="42" customHeight="1">
      <c r="A35" s="3" t="inlineStr">
        <is>
          <t>jeminise.com+custom-football-helmet-on-american-flag-vintage-comforter-43f12dbb8d-43f12dbb8d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IF(B35="I1",AVERAGEIF('QA_Images'!$A$2:$A$61,A35,'QA_Images'!$T$2:$T$61)/100,IF(D35="FULL",1,IF(D35="PARTIAL",0.5,IF(D35="FAIL",0,""))))</f>
        <v/>
      </c>
      <c r="F35" s="7">
        <f>IF(E35="",0,C35*E35)</f>
        <v/>
      </c>
      <c r="G35" s="7">
        <f>IF(B35="I1",20*AVERAGEIF('QA_Images'!$A$2:$A$61,A35,'QA_Images'!$U$2:$U$61)/100,IF(D35="NOT_CHECKED",0,C35))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["evidence_batch_007_064", "https://jeminise.com/products/custom-football-helmet-on-american-flag-vintage-comforter-43f12dbb8d-43f12dbb8d", "serp_qa_064", "customizer_audit.json"]</t>
        </is>
      </c>
      <c r="J35" s="3" t="inlineStr">
        <is>
          <t>["ISS-064-IMG-04", "ISS-064-DESC", "ISS-064-CUSTOMIZER", "ISS-064-CANN", "ISS-064-META"]</t>
        </is>
      </c>
    </row>
    <row r="36" ht="42" customHeight="1">
      <c r="A36" s="2" t="inlineStr">
        <is>
          <t>jeminise.com+custom-football-helmet-on-american-flag-vintage-comforter-43f12dbb8d-43f12dbb8d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IF(B36="I1",AVERAGEIF('QA_Images'!$A$2:$A$61,A36,'QA_Images'!$T$2:$T$61)/100,IF(D36="FULL",1,IF(D36="PARTIAL",0.5,IF(D36="FAIL",0,""))))</f>
        <v/>
      </c>
      <c r="F36" s="5">
        <f>IF(E36="",0,C36*E36)</f>
        <v/>
      </c>
      <c r="G36" s="5">
        <f>IF(B36="I1",20*AVERAGEIF('QA_Images'!$A$2:$A$61,A36,'QA_Images'!$U$2:$U$61)/100,IF(D36="NOT_CHECKED",0,C36))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["evidence_batch_007_064", "https://jeminise.com/products/custom-football-helmet-on-american-flag-vintage-comforter-43f12dbb8d-43f12dbb8d", "serp_qa_064", "customizer_audit.json"]</t>
        </is>
      </c>
      <c r="J36" s="2" t="inlineStr">
        <is>
          <t>["ISS-064-IMG-04", "ISS-064-DESC", "ISS-064-CUSTOMIZER", "ISS-064-CANN", "ISS-064-META"]</t>
        </is>
      </c>
    </row>
    <row r="37" ht="42" customHeight="1">
      <c r="A37" s="3" t="inlineStr">
        <is>
          <t>jeminise.com+custom-football-helmet-on-american-flag-vintage-comforter-43f12dbb8d-43f12dbb8d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IF(B37="I1",AVERAGEIF('QA_Images'!$A$2:$A$61,A37,'QA_Images'!$T$2:$T$61)/100,IF(D37="FULL",1,IF(D37="PARTIAL",0.5,IF(D37="FAIL",0,""))))</f>
        <v/>
      </c>
      <c r="F37" s="7">
        <f>IF(E37="",0,C37*E37)</f>
        <v/>
      </c>
      <c r="G37" s="7">
        <f>IF(B37="I1",20*AVERAGEIF('QA_Images'!$A$2:$A$61,A37,'QA_Images'!$U$2:$U$61)/100,IF(D37="NOT_CHECKED",0,C37))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["evidence_batch_007_064", "https://jeminise.com/products/custom-football-helmet-on-american-flag-vintage-comforter-43f12dbb8d-43f12dbb8d", "serp_qa_064", "customizer_audit.json"]</t>
        </is>
      </c>
      <c r="J37" s="3" t="inlineStr">
        <is>
          <t>["ISS-064-IMG-04", "ISS-064-DESC", "ISS-064-CUSTOMIZER", "ISS-064-CANN", "ISS-064-META"]</t>
        </is>
      </c>
    </row>
    <row r="38" ht="42" customHeight="1">
      <c r="A38" s="2" t="inlineStr">
        <is>
          <t>jeminise.com+custom-football-helmet-on-american-flag-vintage-comforter-43f12dbb8d-43f12dbb8d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IF(B38="I1",AVERAGEIF('QA_Images'!$A$2:$A$61,A38,'QA_Images'!$T$2:$T$61)/100,IF(D38="FULL",1,IF(D38="PARTIAL",0.5,IF(D38="FAIL",0,""))))</f>
        <v/>
      </c>
      <c r="F38" s="5">
        <f>IF(E38="",0,C38*E38)</f>
        <v/>
      </c>
      <c r="G38" s="5">
        <f>IF(B38="I1",20*AVERAGEIF('QA_Images'!$A$2:$A$61,A38,'QA_Images'!$U$2:$U$61)/100,IF(D38="NOT_CHECKED",0,C38))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["evidence_batch_007_064", "https://jeminise.com/products/custom-football-helmet-on-american-flag-vintage-comforter-43f12dbb8d-43f12dbb8d", "serp_qa_064", "customizer_audit.json"]</t>
        </is>
      </c>
      <c r="J38" s="2" t="inlineStr">
        <is>
          <t>["ISS-064-IMG-04", "ISS-064-DESC", "ISS-064-CUSTOMIZER", "ISS-064-CANN", "ISS-064-META"]</t>
        </is>
      </c>
    </row>
    <row r="39" ht="42" customHeight="1">
      <c r="A39" s="3" t="inlineStr">
        <is>
          <t>jeminise.com+custom-football-helmet-on-american-flag-vintage-comforter-43f12dbb8d-43f12dbb8d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IF(B39="I1",AVERAGEIF('QA_Images'!$A$2:$A$61,A39,'QA_Images'!$T$2:$T$61)/100,IF(D39="FULL",1,IF(D39="PARTIAL",0.5,IF(D39="FAIL",0,""))))</f>
        <v/>
      </c>
      <c r="F39" s="7">
        <f>IF(E39="",0,C39*E39)</f>
        <v/>
      </c>
      <c r="G39" s="7">
        <f>IF(B39="I1",20*AVERAGEIF('QA_Images'!$A$2:$A$61,A39,'QA_Images'!$U$2:$U$61)/100,IF(D39="NOT_CHECKED",0,C39))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["evidence_batch_007_064", "https://jeminise.com/products/custom-football-helmet-on-american-flag-vintage-comforter-43f12dbb8d-43f12dbb8d", "serp_qa_064", "customizer_audit.json"]</t>
        </is>
      </c>
      <c r="J39" s="3" t="inlineStr">
        <is>
          <t>["ISS-064-IMG-04", "ISS-064-DESC", "ISS-064-CUSTOMIZER", "ISS-064-CANN", "ISS-064-META"]</t>
        </is>
      </c>
    </row>
    <row r="40" ht="42" customHeight="1">
      <c r="A40" s="2" t="inlineStr">
        <is>
          <t>jeminise.com+custom-football-helmet-on-american-flag-vintage-comforter-43f12dbb8d-43f12dbb8d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IF(B40="I1",AVERAGEIF('QA_Images'!$A$2:$A$61,A40,'QA_Images'!$T$2:$T$61)/100,IF(D40="FULL",1,IF(D40="PARTIAL",0.5,IF(D40="FAIL",0,""))))</f>
        <v/>
      </c>
      <c r="F40" s="5">
        <f>IF(E40="",0,C40*E40)</f>
        <v/>
      </c>
      <c r="G40" s="5">
        <f>IF(B40="I1",20*AVERAGEIF('QA_Images'!$A$2:$A$61,A40,'QA_Images'!$U$2:$U$61)/100,IF(D40="NOT_CHECKED",0,C40))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["evidence_batch_007_064", "https://jeminise.com/products/custom-football-helmet-on-american-flag-vintage-comforter-43f12dbb8d-43f12dbb8d", "serp_qa_064", "customizer_audit.json"]</t>
        </is>
      </c>
      <c r="J40" s="2" t="inlineStr">
        <is>
          <t>["ISS-064-IMG-04", "ISS-064-DESC", "ISS-064-CUSTOMIZER", "ISS-064-CANN", "ISS-064-META"]</t>
        </is>
      </c>
    </row>
    <row r="41" ht="42" customHeight="1">
      <c r="A41" s="3" t="inlineStr">
        <is>
          <t>jeminise.com+custom-football-helmet-on-american-flag-vintage-comforter-43f12dbb8d-43f12dbb8d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IF(B41="I1",AVERAGEIF('QA_Images'!$A$2:$A$61,A41,'QA_Images'!$T$2:$T$61)/100,IF(D41="FULL",1,IF(D41="PARTIAL",0.5,IF(D41="FAIL",0,""))))</f>
        <v/>
      </c>
      <c r="F41" s="7">
        <f>IF(E41="",0,C41*E41)</f>
        <v/>
      </c>
      <c r="G41" s="7">
        <f>IF(B41="I1",20*AVERAGEIF('QA_Images'!$A$2:$A$61,A41,'QA_Images'!$U$2:$U$61)/100,IF(D41="NOT_CHECKED",0,C41))</f>
        <v/>
      </c>
      <c r="H41" s="3" t="inlineStr">
        <is>
          <t>Meta đúng motif nhưng quá dài và chưa diễn đạt cơ chế Customize gọn, rõ.</t>
        </is>
      </c>
      <c r="I41" s="3" t="inlineStr">
        <is>
          <t>["evidence_batch_007_064", "https://jeminise.com/products/custom-football-helmet-on-american-flag-vintage-comforter-43f12dbb8d-43f12dbb8d", "serp_qa_064", "customizer_audit.json"]</t>
        </is>
      </c>
      <c r="J41" s="3" t="inlineStr">
        <is>
          <t>["ISS-064-IMG-04", "ISS-064-DESC", "ISS-064-CUSTOMIZER", "ISS-064-CANN", "ISS-064-META"]</t>
        </is>
      </c>
    </row>
    <row r="42" ht="42" customHeight="1">
      <c r="A42" s="2" t="inlineStr">
        <is>
          <t>jeminise.com+custom-football-helmet-on-american-flag-vintage-comforter-43f12dbb8d-43f12dbb8d</t>
        </is>
      </c>
      <c r="B42" s="2" t="inlineStr">
        <is>
          <t>D1</t>
        </is>
      </c>
      <c r="C42" s="2" t="n">
        <v>5</v>
      </c>
      <c r="D42" s="2" t="inlineStr">
        <is>
          <t>PARTIAL</t>
        </is>
      </c>
      <c r="E42" s="5">
        <f>IF(B42="I1",AVERAGEIF('QA_Images'!$A$2:$A$61,A42,'QA_Images'!$T$2:$T$61)/100,IF(D42="FULL",1,IF(D42="PARTIAL",0.5,IF(D42="FAIL",0,""))))</f>
        <v/>
      </c>
      <c r="F42" s="5">
        <f>IF(E42="",0,C42*E42)</f>
        <v/>
      </c>
      <c r="G42" s="5">
        <f>IF(B42="I1",20*AVERAGEIF('QA_Images'!$A$2:$A$61,A42,'QA_Images'!$U$2:$U$61)/100,IF(D42="NOT_CHECKED",0,C42))</f>
        <v/>
      </c>
      <c r="H42" s="2" t="inlineStr">
        <is>
          <t>Bản r2 đã bỏ nội dung QA/import nhưng description vẫn là mẫu chung, lặp từ và thiếu dữ kiện cần thiết.</t>
        </is>
      </c>
      <c r="I42" s="2" t="inlineStr">
        <is>
          <t>["evidence_batch_007_064", "https://jeminise.com/products/custom-football-helmet-on-american-flag-vintage-comforter-43f12dbb8d-43f12dbb8d", "serp_qa_064", "customizer_audit.json"]</t>
        </is>
      </c>
      <c r="J42" s="2" t="inlineStr">
        <is>
          <t>["ISS-064-IMG-04", "ISS-064-DESC", "ISS-064-CUSTOMIZER", "ISS-064-CANN", "ISS-064-META"]</t>
        </is>
      </c>
    </row>
    <row r="43" ht="42" customHeight="1">
      <c r="A43" s="3" t="inlineStr">
        <is>
          <t>jeminise.com+custom-football-helmet-on-american-flag-vintage-comforter-43f12dbb8d-43f12dbb8d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IF(B43="I1",AVERAGEIF('QA_Images'!$A$2:$A$61,A43,'QA_Images'!$T$2:$T$61)/100,IF(D43="FULL",1,IF(D43="PARTIAL",0.5,IF(D43="FAIL",0,""))))</f>
        <v/>
      </c>
      <c r="F43" s="7">
        <f>IF(E43="",0,C43*E43)</f>
        <v/>
      </c>
      <c r="G43" s="7">
        <f>IF(B43="I1",20*AVERAGEIF('QA_Images'!$A$2:$A$61,A43,'QA_Images'!$U$2:$U$61)/100,IF(D43="NOT_CHECKED",0,C43))</f>
        <v/>
      </c>
      <c r="H43" s="3" t="inlineStr">
        <is>
          <t>Facts hình ảnh khớp, nhưng copy chưa nêu material/care/contents và quy tắc Name bắt buộc, Number tùy chọn.</t>
        </is>
      </c>
      <c r="I43" s="3" t="inlineStr">
        <is>
          <t>["evidence_batch_007_064", "https://jeminise.com/products/custom-football-helmet-on-american-flag-vintage-comforter-43f12dbb8d-43f12dbb8d", "serp_qa_064", "customizer_audit.json"]</t>
        </is>
      </c>
      <c r="J43" s="3" t="inlineStr">
        <is>
          <t>["ISS-064-IMG-04", "ISS-064-DESC", "ISS-064-CUSTOMIZER", "ISS-064-CANN", "ISS-064-META"]</t>
        </is>
      </c>
    </row>
    <row r="44" ht="42" customHeight="1">
      <c r="A44" s="2" t="inlineStr">
        <is>
          <t>jeminise.com+custom-football-helmet-on-american-flag-vintage-comforter-43f12dbb8d-43f12dbb8d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IF(B44="I1",AVERAGEIF('QA_Images'!$A$2:$A$61,A44,'QA_Images'!$T$2:$T$61)/100,IF(D44="FULL",1,IF(D44="PARTIAL",0.5,IF(D44="FAIL",0,""))))</f>
        <v/>
      </c>
      <c r="F44" s="5">
        <f>IF(E44="",0,C44*E44)</f>
        <v/>
      </c>
      <c r="G44" s="5">
        <f>IF(B44="I1",20*AVERAGEIF('QA_Images'!$A$2:$A$61,A44,'QA_Images'!$U$2:$U$61)/100,IF(D44="NOT_CHECKED",0,C44))</f>
        <v/>
      </c>
      <c r="H44" s="2" t="inlineStr">
        <is>
          <t>Tính từ trung bình 6 ảnh: 98.3333/100.</t>
        </is>
      </c>
      <c r="I44" s="2" t="inlineStr">
        <is>
          <t>["evidence_batch_007_064", "https://jeminise.com/products/custom-football-helmet-on-american-flag-vintage-comforter-43f12dbb8d-43f12dbb8d", "serp_qa_064", "customizer_audit.json"]</t>
        </is>
      </c>
      <c r="J44" s="2" t="inlineStr">
        <is>
          <t>["ISS-064-IMG-04", "ISS-064-DESC", "ISS-064-CUSTOMIZER", "ISS-064-CANN", "ISS-064-META"]</t>
        </is>
      </c>
    </row>
    <row r="45" ht="42" customHeight="1">
      <c r="A45" s="3" t="inlineStr">
        <is>
          <t>jeminise.com+custom-football-helmet-on-american-flag-vintage-comforter-43f12dbb8d-43f12dbb8d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IF(B45="I1",AVERAGEIF('QA_Images'!$A$2:$A$61,A45,'QA_Images'!$T$2:$T$61)/100,IF(D45="FULL",1,IF(D45="PARTIAL",0.5,IF(D45="FAIL",0,""))))</f>
        <v/>
      </c>
      <c r="F45" s="7">
        <f>IF(E45="",0,C45*E45)</f>
        <v/>
      </c>
      <c r="G45" s="7">
        <f>IF(B45="I1",20*AVERAGEIF('QA_Images'!$A$2:$A$61,A45,'QA_Images'!$U$2:$U$61)/100,IF(D45="NOT_CHECKED",0,C45))</f>
        <v/>
      </c>
      <c r="H45" s="3" t="inlineStr">
        <is>
          <t>Chuỗi evidence được kiểm tra; thiếu admin export và chưa chạy cart persistence.</t>
        </is>
      </c>
      <c r="I45" s="3" t="inlineStr">
        <is>
          <t>["evidence_batch_007_064", "https://jeminise.com/products/custom-football-helmet-on-american-flag-vintage-comforter-43f12dbb8d-43f12dbb8d", "serp_qa_064", "customizer_audit.json"]</t>
        </is>
      </c>
      <c r="J45" s="3" t="inlineStr">
        <is>
          <t>["ISS-064-IMG-04", "ISS-064-DESC", "ISS-064-CUSTOMIZER", "ISS-064-CANN", "ISS-064-META"]</t>
        </is>
      </c>
    </row>
    <row r="46" ht="42" customHeight="1">
      <c r="A46" s="2" t="inlineStr">
        <is>
          <t>jeminise.com+custom-football-helmet-with-flaming-football-comforter-07ad417afe-07ad417afe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IF(B46="I1",AVERAGEIF('QA_Images'!$A$2:$A$61,A46,'QA_Images'!$T$2:$T$61)/100,IF(D46="FULL",1,IF(D46="PARTIAL",0.5,IF(D46="FAIL",0,""))))</f>
        <v/>
      </c>
      <c r="F46" s="5">
        <f>IF(E46="",0,C46*E46)</f>
        <v/>
      </c>
      <c r="G46" s="5">
        <f>IF(B46="I1",20*AVERAGEIF('QA_Images'!$A$2:$A$61,A46,'QA_Images'!$U$2:$U$61)/100,IF(D46="NOT_CHECKED",0,C46))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["evidence_batch_007_065", "https://jeminise.com/products/custom-football-helmet-with-flaming-football-comforter-07ad417afe-07ad417afe", "serp_qa_065", "customizer_audit.json"]</t>
        </is>
      </c>
      <c r="J46" s="2" t="inlineStr">
        <is>
          <t>["ISS-065-IMG-04", "ISS-065-IMG-05", "ISS-065-DESC", "ISS-065-CUSTOMIZER", "ISS-065-CANN", "ISS-065-META"]</t>
        </is>
      </c>
    </row>
    <row r="47" ht="42" customHeight="1">
      <c r="A47" s="3" t="inlineStr">
        <is>
          <t>jeminise.com+custom-football-helmet-with-flaming-football-comforter-07ad417afe-07ad417afe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IF(B47="I1",AVERAGEIF('QA_Images'!$A$2:$A$61,A47,'QA_Images'!$T$2:$T$61)/100,IF(D47="FULL",1,IF(D47="PARTIAL",0.5,IF(D47="FAIL",0,""))))</f>
        <v/>
      </c>
      <c r="F47" s="7">
        <f>IF(E47="",0,C47*E47)</f>
        <v/>
      </c>
      <c r="G47" s="7">
        <f>IF(B47="I1",20*AVERAGEIF('QA_Images'!$A$2:$A$61,A47,'QA_Images'!$U$2:$U$61)/100,IF(D47="NOT_CHECKED",0,C47))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["evidence_batch_007_065", "https://jeminise.com/products/custom-football-helmet-with-flaming-football-comforter-07ad417afe-07ad417afe", "serp_qa_065", "customizer_audit.json"]</t>
        </is>
      </c>
      <c r="J47" s="3" t="inlineStr">
        <is>
          <t>["ISS-065-IMG-04", "ISS-065-IMG-05", "ISS-065-DESC", "ISS-065-CUSTOMIZER", "ISS-065-CANN", "ISS-065-META"]</t>
        </is>
      </c>
    </row>
    <row r="48" ht="42" customHeight="1">
      <c r="A48" s="2" t="inlineStr">
        <is>
          <t>jeminise.com+custom-football-helmet-with-flaming-football-comforter-07ad417afe-07ad417afe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IF(B48="I1",AVERAGEIF('QA_Images'!$A$2:$A$61,A48,'QA_Images'!$T$2:$T$61)/100,IF(D48="FULL",1,IF(D48="PARTIAL",0.5,IF(D48="FAIL",0,""))))</f>
        <v/>
      </c>
      <c r="F48" s="5">
        <f>IF(E48="",0,C48*E48)</f>
        <v/>
      </c>
      <c r="G48" s="5">
        <f>IF(B48="I1",20*AVERAGEIF('QA_Images'!$A$2:$A$61,A48,'QA_Images'!$U$2:$U$61)/100,IF(D48="NOT_CHECKED",0,C48))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["evidence_batch_007_065", "https://jeminise.com/products/custom-football-helmet-with-flaming-football-comforter-07ad417afe-07ad417afe", "serp_qa_065", "customizer_audit.json"]</t>
        </is>
      </c>
      <c r="J48" s="2" t="inlineStr">
        <is>
          <t>["ISS-065-IMG-04", "ISS-065-IMG-05", "ISS-065-DESC", "ISS-065-CUSTOMIZER", "ISS-065-CANN", "ISS-065-META"]</t>
        </is>
      </c>
    </row>
    <row r="49" ht="42" customHeight="1">
      <c r="A49" s="3" t="inlineStr">
        <is>
          <t>jeminise.com+custom-football-helmet-with-flaming-football-comforter-07ad417afe-07ad417afe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IF(B49="I1",AVERAGEIF('QA_Images'!$A$2:$A$61,A49,'QA_Images'!$T$2:$T$61)/100,IF(D49="FULL",1,IF(D49="PARTIAL",0.5,IF(D49="FAIL",0,""))))</f>
        <v/>
      </c>
      <c r="F49" s="7">
        <f>IF(E49="",0,C49*E49)</f>
        <v/>
      </c>
      <c r="G49" s="7">
        <f>IF(B49="I1",20*AVERAGEIF('QA_Images'!$A$2:$A$61,A49,'QA_Images'!$U$2:$U$61)/100,IF(D49="NOT_CHECKED",0,C49))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["evidence_batch_007_065", "https://jeminise.com/products/custom-football-helmet-with-flaming-football-comforter-07ad417afe-07ad417afe", "serp_qa_065", "customizer_audit.json"]</t>
        </is>
      </c>
      <c r="J49" s="3" t="inlineStr">
        <is>
          <t>["ISS-065-IMG-04", "ISS-065-IMG-05", "ISS-065-DESC", "ISS-065-CUSTOMIZER", "ISS-065-CANN", "ISS-065-META"]</t>
        </is>
      </c>
    </row>
    <row r="50" ht="42" customHeight="1">
      <c r="A50" s="2" t="inlineStr">
        <is>
          <t>jeminise.com+custom-football-helmet-with-flaming-football-comforter-07ad417afe-07ad417afe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IF(B50="I1",AVERAGEIF('QA_Images'!$A$2:$A$61,A50,'QA_Images'!$T$2:$T$61)/100,IF(D50="FULL",1,IF(D50="PARTIAL",0.5,IF(D50="FAIL",0,""))))</f>
        <v/>
      </c>
      <c r="F50" s="5">
        <f>IF(E50="",0,C50*E50)</f>
        <v/>
      </c>
      <c r="G50" s="5">
        <f>IF(B50="I1",20*AVERAGEIF('QA_Images'!$A$2:$A$61,A50,'QA_Images'!$U$2:$U$61)/100,IF(D50="NOT_CHECKED",0,C50))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["evidence_batch_007_065", "https://jeminise.com/products/custom-football-helmet-with-flaming-football-comforter-07ad417afe-07ad417afe", "serp_qa_065", "customizer_audit.json"]</t>
        </is>
      </c>
      <c r="J50" s="2" t="inlineStr">
        <is>
          <t>["ISS-065-IMG-04", "ISS-065-IMG-05", "ISS-065-DESC", "ISS-065-CUSTOMIZER", "ISS-065-CANN", "ISS-065-META"]</t>
        </is>
      </c>
    </row>
    <row r="51" ht="42" customHeight="1">
      <c r="A51" s="3" t="inlineStr">
        <is>
          <t>jeminise.com+custom-football-helmet-with-flaming-football-comforter-07ad417afe-07ad417afe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IF(B51="I1",AVERAGEIF('QA_Images'!$A$2:$A$61,A51,'QA_Images'!$T$2:$T$61)/100,IF(D51="FULL",1,IF(D51="PARTIAL",0.5,IF(D51="FAIL",0,""))))</f>
        <v/>
      </c>
      <c r="F51" s="7">
        <f>IF(E51="",0,C51*E51)</f>
        <v/>
      </c>
      <c r="G51" s="7">
        <f>IF(B51="I1",20*AVERAGEIF('QA_Images'!$A$2:$A$61,A51,'QA_Images'!$U$2:$U$61)/100,IF(D51="NOT_CHECKED",0,C51))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["evidence_batch_007_065", "https://jeminise.com/products/custom-football-helmet-with-flaming-football-comforter-07ad417afe-07ad417afe", "serp_qa_065", "customizer_audit.json"]</t>
        </is>
      </c>
      <c r="J51" s="3" t="inlineStr">
        <is>
          <t>["ISS-065-IMG-04", "ISS-065-IMG-05", "ISS-065-DESC", "ISS-065-CUSTOMIZER", "ISS-065-CANN", "ISS-065-META"]</t>
        </is>
      </c>
    </row>
    <row r="52" ht="42" customHeight="1">
      <c r="A52" s="2" t="inlineStr">
        <is>
          <t>jeminise.com+custom-football-helmet-with-flaming-football-comforter-07ad417afe-07ad417afe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IF(B52="I1",AVERAGEIF('QA_Images'!$A$2:$A$61,A52,'QA_Images'!$T$2:$T$61)/100,IF(D52="FULL",1,IF(D52="PARTIAL",0.5,IF(D52="FAIL",0,""))))</f>
        <v/>
      </c>
      <c r="F52" s="5">
        <f>IF(E52="",0,C52*E52)</f>
        <v/>
      </c>
      <c r="G52" s="5">
        <f>IF(B52="I1",20*AVERAGEIF('QA_Images'!$A$2:$A$61,A52,'QA_Images'!$U$2:$U$61)/100,IF(D52="NOT_CHECKED",0,C52))</f>
        <v/>
      </c>
      <c r="H52" s="2" t="inlineStr">
        <is>
          <t>Meta đúng motif nhưng quá dài và chưa diễn đạt cơ chế Customize gọn, rõ.</t>
        </is>
      </c>
      <c r="I52" s="2" t="inlineStr">
        <is>
          <t>["evidence_batch_007_065", "https://jeminise.com/products/custom-football-helmet-with-flaming-football-comforter-07ad417afe-07ad417afe", "serp_qa_065", "customizer_audit.json"]</t>
        </is>
      </c>
      <c r="J52" s="2" t="inlineStr">
        <is>
          <t>["ISS-065-IMG-04", "ISS-065-IMG-05", "ISS-065-DESC", "ISS-065-CUSTOMIZER", "ISS-065-CANN", "ISS-065-META"]</t>
        </is>
      </c>
    </row>
    <row r="53" ht="42" customHeight="1">
      <c r="A53" s="3" t="inlineStr">
        <is>
          <t>jeminise.com+custom-football-helmet-with-flaming-football-comforter-07ad417afe-07ad417afe</t>
        </is>
      </c>
      <c r="B53" s="3" t="inlineStr">
        <is>
          <t>D1</t>
        </is>
      </c>
      <c r="C53" s="3" t="n">
        <v>5</v>
      </c>
      <c r="D53" s="3" t="inlineStr">
        <is>
          <t>PARTIAL</t>
        </is>
      </c>
      <c r="E53" s="7">
        <f>IF(B53="I1",AVERAGEIF('QA_Images'!$A$2:$A$61,A53,'QA_Images'!$T$2:$T$61)/100,IF(D53="FULL",1,IF(D53="PARTIAL",0.5,IF(D53="FAIL",0,""))))</f>
        <v/>
      </c>
      <c r="F53" s="7">
        <f>IF(E53="",0,C53*E53)</f>
        <v/>
      </c>
      <c r="G53" s="7">
        <f>IF(B53="I1",20*AVERAGEIF('QA_Images'!$A$2:$A$61,A53,'QA_Images'!$U$2:$U$61)/100,IF(D53="NOT_CHECKED",0,C53))</f>
        <v/>
      </c>
      <c r="H53" s="3" t="inlineStr">
        <is>
          <t>Bản r2 đã bỏ nội dung QA/import nhưng description vẫn là mẫu chung, lặp từ và thiếu dữ kiện cần thiết.</t>
        </is>
      </c>
      <c r="I53" s="3" t="inlineStr">
        <is>
          <t>["evidence_batch_007_065", "https://jeminise.com/products/custom-football-helmet-with-flaming-football-comforter-07ad417afe-07ad417afe", "serp_qa_065", "customizer_audit.json"]</t>
        </is>
      </c>
      <c r="J53" s="3" t="inlineStr">
        <is>
          <t>["ISS-065-IMG-04", "ISS-065-IMG-05", "ISS-065-DESC", "ISS-065-CUSTOMIZER", "ISS-065-CANN", "ISS-065-META"]</t>
        </is>
      </c>
    </row>
    <row r="54" ht="42" customHeight="1">
      <c r="A54" s="2" t="inlineStr">
        <is>
          <t>jeminise.com+custom-football-helmet-with-flaming-football-comforter-07ad417afe-07ad417afe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IF(B54="I1",AVERAGEIF('QA_Images'!$A$2:$A$61,A54,'QA_Images'!$T$2:$T$61)/100,IF(D54="FULL",1,IF(D54="PARTIAL",0.5,IF(D54="FAIL",0,""))))</f>
        <v/>
      </c>
      <c r="F54" s="5">
        <f>IF(E54="",0,C54*E54)</f>
        <v/>
      </c>
      <c r="G54" s="5">
        <f>IF(B54="I1",20*AVERAGEIF('QA_Images'!$A$2:$A$61,A54,'QA_Images'!$U$2:$U$61)/100,IF(D54="NOT_CHECKED",0,C54))</f>
        <v/>
      </c>
      <c r="H54" s="2" t="inlineStr">
        <is>
          <t>Facts hình ảnh khớp, nhưng copy chưa nêu material/care/contents và quy tắc Name bắt buộc, Number tùy chọn.</t>
        </is>
      </c>
      <c r="I54" s="2" t="inlineStr">
        <is>
          <t>["evidence_batch_007_065", "https://jeminise.com/products/custom-football-helmet-with-flaming-football-comforter-07ad417afe-07ad417afe", "serp_qa_065", "customizer_audit.json"]</t>
        </is>
      </c>
      <c r="J54" s="2" t="inlineStr">
        <is>
          <t>["ISS-065-IMG-04", "ISS-065-IMG-05", "ISS-065-DESC", "ISS-065-CUSTOMIZER", "ISS-065-CANN", "ISS-065-META"]</t>
        </is>
      </c>
    </row>
    <row r="55" ht="42" customHeight="1">
      <c r="A55" s="3" t="inlineStr">
        <is>
          <t>jeminise.com+custom-football-helmet-with-flaming-football-comforter-07ad417afe-07ad417afe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IF(B55="I1",AVERAGEIF('QA_Images'!$A$2:$A$61,A55,'QA_Images'!$T$2:$T$61)/100,IF(D55="FULL",1,IF(D55="PARTIAL",0.5,IF(D55="FAIL",0,""))))</f>
        <v/>
      </c>
      <c r="F55" s="7">
        <f>IF(E55="",0,C55*E55)</f>
        <v/>
      </c>
      <c r="G55" s="7">
        <f>IF(B55="I1",20*AVERAGEIF('QA_Images'!$A$2:$A$61,A55,'QA_Images'!$U$2:$U$61)/100,IF(D55="NOT_CHECKED",0,C55))</f>
        <v/>
      </c>
      <c r="H55" s="3" t="inlineStr">
        <is>
          <t>Tính từ trung bình 6 ảnh: 83.3333/100.</t>
        </is>
      </c>
      <c r="I55" s="3" t="inlineStr">
        <is>
          <t>["evidence_batch_007_065", "https://jeminise.com/products/custom-football-helmet-with-flaming-football-comforter-07ad417afe-07ad417afe", "serp_qa_065", "customizer_audit.json"]</t>
        </is>
      </c>
      <c r="J55" s="3" t="inlineStr">
        <is>
          <t>["ISS-065-IMG-04", "ISS-065-IMG-05", "ISS-065-DESC", "ISS-065-CUSTOMIZER", "ISS-065-CANN", "ISS-065-META"]</t>
        </is>
      </c>
    </row>
    <row r="56" ht="42" customHeight="1">
      <c r="A56" s="2" t="inlineStr">
        <is>
          <t>jeminise.com+custom-football-helmet-with-flaming-football-comforter-07ad417afe-07ad417afe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IF(B56="I1",AVERAGEIF('QA_Images'!$A$2:$A$61,A56,'QA_Images'!$T$2:$T$61)/100,IF(D56="FULL",1,IF(D56="PARTIAL",0.5,IF(D56="FAIL",0,""))))</f>
        <v/>
      </c>
      <c r="F56" s="5">
        <f>IF(E56="",0,C56*E56)</f>
        <v/>
      </c>
      <c r="G56" s="5">
        <f>IF(B56="I1",20*AVERAGEIF('QA_Images'!$A$2:$A$61,A56,'QA_Images'!$U$2:$U$61)/100,IF(D56="NOT_CHECKED",0,C56))</f>
        <v/>
      </c>
      <c r="H56" s="2" t="inlineStr">
        <is>
          <t>Chuỗi evidence được kiểm tra; thiếu admin export và chưa chạy cart persistence.</t>
        </is>
      </c>
      <c r="I56" s="2" t="inlineStr">
        <is>
          <t>["evidence_batch_007_065", "https://jeminise.com/products/custom-football-helmet-with-flaming-football-comforter-07ad417afe-07ad417afe", "serp_qa_065", "customizer_audit.json"]</t>
        </is>
      </c>
      <c r="J56" s="2" t="inlineStr">
        <is>
          <t>["ISS-065-IMG-04", "ISS-065-IMG-05", "ISS-065-DESC", "ISS-065-CUSTOMIZER", "ISS-065-CANN", "ISS-065-META"]</t>
        </is>
      </c>
    </row>
    <row r="57" ht="42" customHeight="1">
      <c r="A57" s="3" t="inlineStr">
        <is>
          <t>jeminise.com+custom-football-over-american-flag-background-comforter-ed07da9f1f-ed07da9f1f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IF(B57="I1",AVERAGEIF('QA_Images'!$A$2:$A$61,A57,'QA_Images'!$T$2:$T$61)/100,IF(D57="FULL",1,IF(D57="PARTIAL",0.5,IF(D57="FAIL",0,""))))</f>
        <v/>
      </c>
      <c r="F57" s="7">
        <f>IF(E57="",0,C57*E57)</f>
        <v/>
      </c>
      <c r="G57" s="7">
        <f>IF(B57="I1",20*AVERAGEIF('QA_Images'!$A$2:$A$61,A57,'QA_Images'!$U$2:$U$61)/100,IF(D57="NOT_CHECKED",0,C57))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["evidence_batch_007_066", "https://jeminise.com/products/custom-football-over-american-flag-background-comforter-ed07da9f1f-ed07da9f1f", "serp_qa_066", "customizer_audit.json"]</t>
        </is>
      </c>
      <c r="J57" s="3" t="inlineStr">
        <is>
          <t>["ISS-066-IMG-04", "ISS-066-DESC", "ISS-066-CUSTOMIZER", "ISS-066-CANN", "ISS-066-META"]</t>
        </is>
      </c>
    </row>
    <row r="58" ht="42" customHeight="1">
      <c r="A58" s="2" t="inlineStr">
        <is>
          <t>jeminise.com+custom-football-over-american-flag-background-comforter-ed07da9f1f-ed07da9f1f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IF(B58="I1",AVERAGEIF('QA_Images'!$A$2:$A$61,A58,'QA_Images'!$T$2:$T$61)/100,IF(D58="FULL",1,IF(D58="PARTIAL",0.5,IF(D58="FAIL",0,""))))</f>
        <v/>
      </c>
      <c r="F58" s="5">
        <f>IF(E58="",0,C58*E58)</f>
        <v/>
      </c>
      <c r="G58" s="5">
        <f>IF(B58="I1",20*AVERAGEIF('QA_Images'!$A$2:$A$61,A58,'QA_Images'!$U$2:$U$61)/100,IF(D58="NOT_CHECKED",0,C58))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["evidence_batch_007_066", "https://jeminise.com/products/custom-football-over-american-flag-background-comforter-ed07da9f1f-ed07da9f1f", "serp_qa_066", "customizer_audit.json"]</t>
        </is>
      </c>
      <c r="J58" s="2" t="inlineStr">
        <is>
          <t>["ISS-066-IMG-04", "ISS-066-DESC", "ISS-066-CUSTOMIZER", "ISS-066-CANN", "ISS-066-META"]</t>
        </is>
      </c>
    </row>
    <row r="59" ht="42" customHeight="1">
      <c r="A59" s="3" t="inlineStr">
        <is>
          <t>jeminise.com+custom-football-over-american-flag-background-comforter-ed07da9f1f-ed07da9f1f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IF(B59="I1",AVERAGEIF('QA_Images'!$A$2:$A$61,A59,'QA_Images'!$T$2:$T$61)/100,IF(D59="FULL",1,IF(D59="PARTIAL",0.5,IF(D59="FAIL",0,""))))</f>
        <v/>
      </c>
      <c r="F59" s="7">
        <f>IF(E59="",0,C59*E59)</f>
        <v/>
      </c>
      <c r="G59" s="7">
        <f>IF(B59="I1",20*AVERAGEIF('QA_Images'!$A$2:$A$61,A59,'QA_Images'!$U$2:$U$61)/100,IF(D59="NOT_CHECKED",0,C59))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["evidence_batch_007_066", "https://jeminise.com/products/custom-football-over-american-flag-background-comforter-ed07da9f1f-ed07da9f1f", "serp_qa_066", "customizer_audit.json"]</t>
        </is>
      </c>
      <c r="J59" s="3" t="inlineStr">
        <is>
          <t>["ISS-066-IMG-04", "ISS-066-DESC", "ISS-066-CUSTOMIZER", "ISS-066-CANN", "ISS-066-META"]</t>
        </is>
      </c>
    </row>
    <row r="60" ht="42" customHeight="1">
      <c r="A60" s="2" t="inlineStr">
        <is>
          <t>jeminise.com+custom-football-over-american-flag-background-comforter-ed07da9f1f-ed07da9f1f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IF(B60="I1",AVERAGEIF('QA_Images'!$A$2:$A$61,A60,'QA_Images'!$T$2:$T$61)/100,IF(D60="FULL",1,IF(D60="PARTIAL",0.5,IF(D60="FAIL",0,""))))</f>
        <v/>
      </c>
      <c r="F60" s="5">
        <f>IF(E60="",0,C60*E60)</f>
        <v/>
      </c>
      <c r="G60" s="5">
        <f>IF(B60="I1",20*AVERAGEIF('QA_Images'!$A$2:$A$61,A60,'QA_Images'!$U$2:$U$61)/100,IF(D60="NOT_CHECKED",0,C60))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["evidence_batch_007_066", "https://jeminise.com/products/custom-football-over-american-flag-background-comforter-ed07da9f1f-ed07da9f1f", "serp_qa_066", "customizer_audit.json"]</t>
        </is>
      </c>
      <c r="J60" s="2" t="inlineStr">
        <is>
          <t>["ISS-066-IMG-04", "ISS-066-DESC", "ISS-066-CUSTOMIZER", "ISS-066-CANN", "ISS-066-META"]</t>
        </is>
      </c>
    </row>
    <row r="61" ht="42" customHeight="1">
      <c r="A61" s="3" t="inlineStr">
        <is>
          <t>jeminise.com+custom-football-over-american-flag-background-comforter-ed07da9f1f-ed07da9f1f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IF(B61="I1",AVERAGEIF('QA_Images'!$A$2:$A$61,A61,'QA_Images'!$T$2:$T$61)/100,IF(D61="FULL",1,IF(D61="PARTIAL",0.5,IF(D61="FAIL",0,""))))</f>
        <v/>
      </c>
      <c r="F61" s="7">
        <f>IF(E61="",0,C61*E61)</f>
        <v/>
      </c>
      <c r="G61" s="7">
        <f>IF(B61="I1",20*AVERAGEIF('QA_Images'!$A$2:$A$61,A61,'QA_Images'!$U$2:$U$61)/100,IF(D61="NOT_CHECKED",0,C61))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["evidence_batch_007_066", "https://jeminise.com/products/custom-football-over-american-flag-background-comforter-ed07da9f1f-ed07da9f1f", "serp_qa_066", "customizer_audit.json"]</t>
        </is>
      </c>
      <c r="J61" s="3" t="inlineStr">
        <is>
          <t>["ISS-066-IMG-04", "ISS-066-DESC", "ISS-066-CUSTOMIZER", "ISS-066-CANN", "ISS-066-META"]</t>
        </is>
      </c>
    </row>
    <row r="62" ht="42" customHeight="1">
      <c r="A62" s="2" t="inlineStr">
        <is>
          <t>jeminise.com+custom-football-over-american-flag-background-comforter-ed07da9f1f-ed07da9f1f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IF(B62="I1",AVERAGEIF('QA_Images'!$A$2:$A$61,A62,'QA_Images'!$T$2:$T$61)/100,IF(D62="FULL",1,IF(D62="PARTIAL",0.5,IF(D62="FAIL",0,""))))</f>
        <v/>
      </c>
      <c r="F62" s="5">
        <f>IF(E62="",0,C62*E62)</f>
        <v/>
      </c>
      <c r="G62" s="5">
        <f>IF(B62="I1",20*AVERAGEIF('QA_Images'!$A$2:$A$61,A62,'QA_Images'!$U$2:$U$61)/100,IF(D62="NOT_CHECKED",0,C62))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["evidence_batch_007_066", "https://jeminise.com/products/custom-football-over-american-flag-background-comforter-ed07da9f1f-ed07da9f1f", "serp_qa_066", "customizer_audit.json"]</t>
        </is>
      </c>
      <c r="J62" s="2" t="inlineStr">
        <is>
          <t>["ISS-066-IMG-04", "ISS-066-DESC", "ISS-066-CUSTOMIZER", "ISS-066-CANN", "ISS-066-META"]</t>
        </is>
      </c>
    </row>
    <row r="63" ht="42" customHeight="1">
      <c r="A63" s="3" t="inlineStr">
        <is>
          <t>jeminise.com+custom-football-over-american-flag-background-comforter-ed07da9f1f-ed07da9f1f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IF(B63="I1",AVERAGEIF('QA_Images'!$A$2:$A$61,A63,'QA_Images'!$T$2:$T$61)/100,IF(D63="FULL",1,IF(D63="PARTIAL",0.5,IF(D63="FAIL",0,""))))</f>
        <v/>
      </c>
      <c r="F63" s="7">
        <f>IF(E63="",0,C63*E63)</f>
        <v/>
      </c>
      <c r="G63" s="7">
        <f>IF(B63="I1",20*AVERAGEIF('QA_Images'!$A$2:$A$61,A63,'QA_Images'!$U$2:$U$61)/100,IF(D63="NOT_CHECKED",0,C63))</f>
        <v/>
      </c>
      <c r="H63" s="3" t="inlineStr">
        <is>
          <t>Meta đúng motif nhưng quá dài và chưa diễn đạt cơ chế Customize gọn, rõ.</t>
        </is>
      </c>
      <c r="I63" s="3" t="inlineStr">
        <is>
          <t>["evidence_batch_007_066", "https://jeminise.com/products/custom-football-over-american-flag-background-comforter-ed07da9f1f-ed07da9f1f", "serp_qa_066", "customizer_audit.json"]</t>
        </is>
      </c>
      <c r="J63" s="3" t="inlineStr">
        <is>
          <t>["ISS-066-IMG-04", "ISS-066-DESC", "ISS-066-CUSTOMIZER", "ISS-066-CANN", "ISS-066-META"]</t>
        </is>
      </c>
    </row>
    <row r="64" ht="42" customHeight="1">
      <c r="A64" s="2" t="inlineStr">
        <is>
          <t>jeminise.com+custom-football-over-american-flag-background-comforter-ed07da9f1f-ed07da9f1f</t>
        </is>
      </c>
      <c r="B64" s="2" t="inlineStr">
        <is>
          <t>D1</t>
        </is>
      </c>
      <c r="C64" s="2" t="n">
        <v>5</v>
      </c>
      <c r="D64" s="2" t="inlineStr">
        <is>
          <t>PARTIAL</t>
        </is>
      </c>
      <c r="E64" s="5">
        <f>IF(B64="I1",AVERAGEIF('QA_Images'!$A$2:$A$61,A64,'QA_Images'!$T$2:$T$61)/100,IF(D64="FULL",1,IF(D64="PARTIAL",0.5,IF(D64="FAIL",0,""))))</f>
        <v/>
      </c>
      <c r="F64" s="5">
        <f>IF(E64="",0,C64*E64)</f>
        <v/>
      </c>
      <c r="G64" s="5">
        <f>IF(B64="I1",20*AVERAGEIF('QA_Images'!$A$2:$A$61,A64,'QA_Images'!$U$2:$U$61)/100,IF(D64="NOT_CHECKED",0,C64))</f>
        <v/>
      </c>
      <c r="H64" s="2" t="inlineStr">
        <is>
          <t>Bản r2 đã bỏ nội dung QA/import nhưng description vẫn là mẫu chung, lặp từ và thiếu dữ kiện cần thiết.</t>
        </is>
      </c>
      <c r="I64" s="2" t="inlineStr">
        <is>
          <t>["evidence_batch_007_066", "https://jeminise.com/products/custom-football-over-american-flag-background-comforter-ed07da9f1f-ed07da9f1f", "serp_qa_066", "customizer_audit.json"]</t>
        </is>
      </c>
      <c r="J64" s="2" t="inlineStr">
        <is>
          <t>["ISS-066-IMG-04", "ISS-066-DESC", "ISS-066-CUSTOMIZER", "ISS-066-CANN", "ISS-066-META"]</t>
        </is>
      </c>
    </row>
    <row r="65" ht="42" customHeight="1">
      <c r="A65" s="3" t="inlineStr">
        <is>
          <t>jeminise.com+custom-football-over-american-flag-background-comforter-ed07da9f1f-ed07da9f1f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IF(B65="I1",AVERAGEIF('QA_Images'!$A$2:$A$61,A65,'QA_Images'!$T$2:$T$61)/100,IF(D65="FULL",1,IF(D65="PARTIAL",0.5,IF(D65="FAIL",0,""))))</f>
        <v/>
      </c>
      <c r="F65" s="7">
        <f>IF(E65="",0,C65*E65)</f>
        <v/>
      </c>
      <c r="G65" s="7">
        <f>IF(B65="I1",20*AVERAGEIF('QA_Images'!$A$2:$A$61,A65,'QA_Images'!$U$2:$U$61)/100,IF(D65="NOT_CHECKED",0,C65))</f>
        <v/>
      </c>
      <c r="H65" s="3" t="inlineStr">
        <is>
          <t>Facts hình ảnh khớp, nhưng copy chưa nêu material/care/contents và quy tắc Name bắt buộc, Number tùy chọn.</t>
        </is>
      </c>
      <c r="I65" s="3" t="inlineStr">
        <is>
          <t>["evidence_batch_007_066", "https://jeminise.com/products/custom-football-over-american-flag-background-comforter-ed07da9f1f-ed07da9f1f", "serp_qa_066", "customizer_audit.json"]</t>
        </is>
      </c>
      <c r="J65" s="3" t="inlineStr">
        <is>
          <t>["ISS-066-IMG-04", "ISS-066-DESC", "ISS-066-CUSTOMIZER", "ISS-066-CANN", "ISS-066-META"]</t>
        </is>
      </c>
    </row>
    <row r="66" ht="42" customHeight="1">
      <c r="A66" s="2" t="inlineStr">
        <is>
          <t>jeminise.com+custom-football-over-american-flag-background-comforter-ed07da9f1f-ed07da9f1f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IF(B66="I1",AVERAGEIF('QA_Images'!$A$2:$A$61,A66,'QA_Images'!$T$2:$T$61)/100,IF(D66="FULL",1,IF(D66="PARTIAL",0.5,IF(D66="FAIL",0,""))))</f>
        <v/>
      </c>
      <c r="F66" s="5">
        <f>IF(E66="",0,C66*E66)</f>
        <v/>
      </c>
      <c r="G66" s="5">
        <f>IF(B66="I1",20*AVERAGEIF('QA_Images'!$A$2:$A$61,A66,'QA_Images'!$U$2:$U$61)/100,IF(D66="NOT_CHECKED",0,C66))</f>
        <v/>
      </c>
      <c r="H66" s="2" t="inlineStr">
        <is>
          <t>Tính từ trung bình 6 ảnh: 98.3333/100.</t>
        </is>
      </c>
      <c r="I66" s="2" t="inlineStr">
        <is>
          <t>["evidence_batch_007_066", "https://jeminise.com/products/custom-football-over-american-flag-background-comforter-ed07da9f1f-ed07da9f1f", "serp_qa_066", "customizer_audit.json"]</t>
        </is>
      </c>
      <c r="J66" s="2" t="inlineStr">
        <is>
          <t>["ISS-066-IMG-04", "ISS-066-DESC", "ISS-066-CUSTOMIZER", "ISS-066-CANN", "ISS-066-META"]</t>
        </is>
      </c>
    </row>
    <row r="67" ht="42" customHeight="1">
      <c r="A67" s="3" t="inlineStr">
        <is>
          <t>jeminise.com+custom-football-over-american-flag-background-comforter-ed07da9f1f-ed07da9f1f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IF(B67="I1",AVERAGEIF('QA_Images'!$A$2:$A$61,A67,'QA_Images'!$T$2:$T$61)/100,IF(D67="FULL",1,IF(D67="PARTIAL",0.5,IF(D67="FAIL",0,""))))</f>
        <v/>
      </c>
      <c r="F67" s="7">
        <f>IF(E67="",0,C67*E67)</f>
        <v/>
      </c>
      <c r="G67" s="7">
        <f>IF(B67="I1",20*AVERAGEIF('QA_Images'!$A$2:$A$61,A67,'QA_Images'!$U$2:$U$61)/100,IF(D67="NOT_CHECKED",0,C67))</f>
        <v/>
      </c>
      <c r="H67" s="3" t="inlineStr">
        <is>
          <t>Chuỗi evidence được kiểm tra; thiếu admin export và chưa chạy cart persistence.</t>
        </is>
      </c>
      <c r="I67" s="3" t="inlineStr">
        <is>
          <t>["evidence_batch_007_066", "https://jeminise.com/products/custom-football-over-american-flag-background-comforter-ed07da9f1f-ed07da9f1f", "serp_qa_066", "customizer_audit.json"]</t>
        </is>
      </c>
      <c r="J67" s="3" t="inlineStr">
        <is>
          <t>["ISS-066-IMG-04", "ISS-066-DESC", "ISS-066-CUSTOMIZER", "ISS-066-CANN", "ISS-066-META"]</t>
        </is>
      </c>
    </row>
    <row r="68" ht="42" customHeight="1">
      <c r="A68" s="2" t="inlineStr">
        <is>
          <t>jeminise.com+custom-football-player-holding-ball-close-up-comforter-d5b47c0ee0-d5b47c0ee0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IF(B68="I1",AVERAGEIF('QA_Images'!$A$2:$A$61,A68,'QA_Images'!$T$2:$T$61)/100,IF(D68="FULL",1,IF(D68="PARTIAL",0.5,IF(D68="FAIL",0,""))))</f>
        <v/>
      </c>
      <c r="F68" s="5">
        <f>IF(E68="",0,C68*E68)</f>
        <v/>
      </c>
      <c r="G68" s="5">
        <f>IF(B68="I1",20*AVERAGEIF('QA_Images'!$A$2:$A$61,A68,'QA_Images'!$U$2:$U$61)/100,IF(D68="NOT_CHECKED",0,C68))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["evidence_batch_007_067", "https://jeminise.com/products/custom-football-player-holding-ball-close-up-comforter-d5b47c0ee0-d5b47c0ee0", "serp_qa_067", "customizer_audit.json"]</t>
        </is>
      </c>
      <c r="J68" s="2" t="inlineStr">
        <is>
          <t>["ISS-067-IMG-04", "ISS-067-DESC", "ISS-067-CUSTOMIZER", "ISS-067-CANN", "ISS-067-META"]</t>
        </is>
      </c>
    </row>
    <row r="69" ht="42" customHeight="1">
      <c r="A69" s="3" t="inlineStr">
        <is>
          <t>jeminise.com+custom-football-player-holding-ball-close-up-comforter-d5b47c0ee0-d5b47c0ee0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IF(B69="I1",AVERAGEIF('QA_Images'!$A$2:$A$61,A69,'QA_Images'!$T$2:$T$61)/100,IF(D69="FULL",1,IF(D69="PARTIAL",0.5,IF(D69="FAIL",0,""))))</f>
        <v/>
      </c>
      <c r="F69" s="7">
        <f>IF(E69="",0,C69*E69)</f>
        <v/>
      </c>
      <c r="G69" s="7">
        <f>IF(B69="I1",20*AVERAGEIF('QA_Images'!$A$2:$A$61,A69,'QA_Images'!$U$2:$U$61)/100,IF(D69="NOT_CHECKED",0,C69))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["evidence_batch_007_067", "https://jeminise.com/products/custom-football-player-holding-ball-close-up-comforter-d5b47c0ee0-d5b47c0ee0", "serp_qa_067", "customizer_audit.json"]</t>
        </is>
      </c>
      <c r="J69" s="3" t="inlineStr">
        <is>
          <t>["ISS-067-IMG-04", "ISS-067-DESC", "ISS-067-CUSTOMIZER", "ISS-067-CANN", "ISS-067-META"]</t>
        </is>
      </c>
    </row>
    <row r="70" ht="42" customHeight="1">
      <c r="A70" s="2" t="inlineStr">
        <is>
          <t>jeminise.com+custom-football-player-holding-ball-close-up-comforter-d5b47c0ee0-d5b47c0ee0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IF(B70="I1",AVERAGEIF('QA_Images'!$A$2:$A$61,A70,'QA_Images'!$T$2:$T$61)/100,IF(D70="FULL",1,IF(D70="PARTIAL",0.5,IF(D70="FAIL",0,""))))</f>
        <v/>
      </c>
      <c r="F70" s="5">
        <f>IF(E70="",0,C70*E70)</f>
        <v/>
      </c>
      <c r="G70" s="5">
        <f>IF(B70="I1",20*AVERAGEIF('QA_Images'!$A$2:$A$61,A70,'QA_Images'!$U$2:$U$61)/100,IF(D70="NOT_CHECKED",0,C70))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["evidence_batch_007_067", "https://jeminise.com/products/custom-football-player-holding-ball-close-up-comforter-d5b47c0ee0-d5b47c0ee0", "serp_qa_067", "customizer_audit.json"]</t>
        </is>
      </c>
      <c r="J70" s="2" t="inlineStr">
        <is>
          <t>["ISS-067-IMG-04", "ISS-067-DESC", "ISS-067-CUSTOMIZER", "ISS-067-CANN", "ISS-067-META"]</t>
        </is>
      </c>
    </row>
    <row r="71" ht="42" customHeight="1">
      <c r="A71" s="3" t="inlineStr">
        <is>
          <t>jeminise.com+custom-football-player-holding-ball-close-up-comforter-d5b47c0ee0-d5b47c0ee0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IF(B71="I1",AVERAGEIF('QA_Images'!$A$2:$A$61,A71,'QA_Images'!$T$2:$T$61)/100,IF(D71="FULL",1,IF(D71="PARTIAL",0.5,IF(D71="FAIL",0,""))))</f>
        <v/>
      </c>
      <c r="F71" s="7">
        <f>IF(E71="",0,C71*E71)</f>
        <v/>
      </c>
      <c r="G71" s="7">
        <f>IF(B71="I1",20*AVERAGEIF('QA_Images'!$A$2:$A$61,A71,'QA_Images'!$U$2:$U$61)/100,IF(D71="NOT_CHECKED",0,C71))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["evidence_batch_007_067", "https://jeminise.com/products/custom-football-player-holding-ball-close-up-comforter-d5b47c0ee0-d5b47c0ee0", "serp_qa_067", "customizer_audit.json"]</t>
        </is>
      </c>
      <c r="J71" s="3" t="inlineStr">
        <is>
          <t>["ISS-067-IMG-04", "ISS-067-DESC", "ISS-067-CUSTOMIZER", "ISS-067-CANN", "ISS-067-META"]</t>
        </is>
      </c>
    </row>
    <row r="72" ht="42" customHeight="1">
      <c r="A72" s="2" t="inlineStr">
        <is>
          <t>jeminise.com+custom-football-player-holding-ball-close-up-comforter-d5b47c0ee0-d5b47c0ee0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IF(B72="I1",AVERAGEIF('QA_Images'!$A$2:$A$61,A72,'QA_Images'!$T$2:$T$61)/100,IF(D72="FULL",1,IF(D72="PARTIAL",0.5,IF(D72="FAIL",0,""))))</f>
        <v/>
      </c>
      <c r="F72" s="5">
        <f>IF(E72="",0,C72*E72)</f>
        <v/>
      </c>
      <c r="G72" s="5">
        <f>IF(B72="I1",20*AVERAGEIF('QA_Images'!$A$2:$A$61,A72,'QA_Images'!$U$2:$U$61)/100,IF(D72="NOT_CHECKED",0,C72))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["evidence_batch_007_067", "https://jeminise.com/products/custom-football-player-holding-ball-close-up-comforter-d5b47c0ee0-d5b47c0ee0", "serp_qa_067", "customizer_audit.json"]</t>
        </is>
      </c>
      <c r="J72" s="2" t="inlineStr">
        <is>
          <t>["ISS-067-IMG-04", "ISS-067-DESC", "ISS-067-CUSTOMIZER", "ISS-067-CANN", "ISS-067-META"]</t>
        </is>
      </c>
    </row>
    <row r="73" ht="42" customHeight="1">
      <c r="A73" s="3" t="inlineStr">
        <is>
          <t>jeminise.com+custom-football-player-holding-ball-close-up-comforter-d5b47c0ee0-d5b47c0ee0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IF(B73="I1",AVERAGEIF('QA_Images'!$A$2:$A$61,A73,'QA_Images'!$T$2:$T$61)/100,IF(D73="FULL",1,IF(D73="PARTIAL",0.5,IF(D73="FAIL",0,""))))</f>
        <v/>
      </c>
      <c r="F73" s="7">
        <f>IF(E73="",0,C73*E73)</f>
        <v/>
      </c>
      <c r="G73" s="7">
        <f>IF(B73="I1",20*AVERAGEIF('QA_Images'!$A$2:$A$61,A73,'QA_Images'!$U$2:$U$61)/100,IF(D73="NOT_CHECKED",0,C73))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["evidence_batch_007_067", "https://jeminise.com/products/custom-football-player-holding-ball-close-up-comforter-d5b47c0ee0-d5b47c0ee0", "serp_qa_067", "customizer_audit.json"]</t>
        </is>
      </c>
      <c r="J73" s="3" t="inlineStr">
        <is>
          <t>["ISS-067-IMG-04", "ISS-067-DESC", "ISS-067-CUSTOMIZER", "ISS-067-CANN", "ISS-067-META"]</t>
        </is>
      </c>
    </row>
    <row r="74" ht="42" customHeight="1">
      <c r="A74" s="2" t="inlineStr">
        <is>
          <t>jeminise.com+custom-football-player-holding-ball-close-up-comforter-d5b47c0ee0-d5b47c0ee0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5">
        <f>IF(B74="I1",AVERAGEIF('QA_Images'!$A$2:$A$61,A74,'QA_Images'!$T$2:$T$61)/100,IF(D74="FULL",1,IF(D74="PARTIAL",0.5,IF(D74="FAIL",0,""))))</f>
        <v/>
      </c>
      <c r="F74" s="5">
        <f>IF(E74="",0,C74*E74)</f>
        <v/>
      </c>
      <c r="G74" s="5">
        <f>IF(B74="I1",20*AVERAGEIF('QA_Images'!$A$2:$A$61,A74,'QA_Images'!$U$2:$U$61)/100,IF(D74="NOT_CHECKED",0,C74))</f>
        <v/>
      </c>
      <c r="H74" s="2" t="inlineStr">
        <is>
          <t>Meta đúng motif nhưng quá dài và chưa diễn đạt cơ chế Customize gọn, rõ.</t>
        </is>
      </c>
      <c r="I74" s="2" t="inlineStr">
        <is>
          <t>["evidence_batch_007_067", "https://jeminise.com/products/custom-football-player-holding-ball-close-up-comforter-d5b47c0ee0-d5b47c0ee0", "serp_qa_067", "customizer_audit.json"]</t>
        </is>
      </c>
      <c r="J74" s="2" t="inlineStr">
        <is>
          <t>["ISS-067-IMG-04", "ISS-067-DESC", "ISS-067-CUSTOMIZER", "ISS-067-CANN", "ISS-067-META"]</t>
        </is>
      </c>
    </row>
    <row r="75" ht="42" customHeight="1">
      <c r="A75" s="3" t="inlineStr">
        <is>
          <t>jeminise.com+custom-football-player-holding-ball-close-up-comforter-d5b47c0ee0-d5b47c0ee0</t>
        </is>
      </c>
      <c r="B75" s="3" t="inlineStr">
        <is>
          <t>D1</t>
        </is>
      </c>
      <c r="C75" s="3" t="n">
        <v>5</v>
      </c>
      <c r="D75" s="3" t="inlineStr">
        <is>
          <t>PARTIAL</t>
        </is>
      </c>
      <c r="E75" s="7">
        <f>IF(B75="I1",AVERAGEIF('QA_Images'!$A$2:$A$61,A75,'QA_Images'!$T$2:$T$61)/100,IF(D75="FULL",1,IF(D75="PARTIAL",0.5,IF(D75="FAIL",0,""))))</f>
        <v/>
      </c>
      <c r="F75" s="7">
        <f>IF(E75="",0,C75*E75)</f>
        <v/>
      </c>
      <c r="G75" s="7">
        <f>IF(B75="I1",20*AVERAGEIF('QA_Images'!$A$2:$A$61,A75,'QA_Images'!$U$2:$U$61)/100,IF(D75="NOT_CHECKED",0,C75))</f>
        <v/>
      </c>
      <c r="H75" s="3" t="inlineStr">
        <is>
          <t>Bản r2 đã bỏ nội dung QA/import nhưng description vẫn là mẫu chung, lặp từ và thiếu dữ kiện cần thiết.</t>
        </is>
      </c>
      <c r="I75" s="3" t="inlineStr">
        <is>
          <t>["evidence_batch_007_067", "https://jeminise.com/products/custom-football-player-holding-ball-close-up-comforter-d5b47c0ee0-d5b47c0ee0", "serp_qa_067", "customizer_audit.json"]</t>
        </is>
      </c>
      <c r="J75" s="3" t="inlineStr">
        <is>
          <t>["ISS-067-IMG-04", "ISS-067-DESC", "ISS-067-CUSTOMIZER", "ISS-067-CANN", "ISS-067-META"]</t>
        </is>
      </c>
    </row>
    <row r="76" ht="42" customHeight="1">
      <c r="A76" s="2" t="inlineStr">
        <is>
          <t>jeminise.com+custom-football-player-holding-ball-close-up-comforter-d5b47c0ee0-d5b47c0ee0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IF(B76="I1",AVERAGEIF('QA_Images'!$A$2:$A$61,A76,'QA_Images'!$T$2:$T$61)/100,IF(D76="FULL",1,IF(D76="PARTIAL",0.5,IF(D76="FAIL",0,""))))</f>
        <v/>
      </c>
      <c r="F76" s="5">
        <f>IF(E76="",0,C76*E76)</f>
        <v/>
      </c>
      <c r="G76" s="5">
        <f>IF(B76="I1",20*AVERAGEIF('QA_Images'!$A$2:$A$61,A76,'QA_Images'!$U$2:$U$61)/100,IF(D76="NOT_CHECKED",0,C76))</f>
        <v/>
      </c>
      <c r="H76" s="2" t="inlineStr">
        <is>
          <t>Facts hình ảnh khớp, nhưng copy chưa nêu material/care/contents và quy tắc Name bắt buộc, Number tùy chọn.</t>
        </is>
      </c>
      <c r="I76" s="2" t="inlineStr">
        <is>
          <t>["evidence_batch_007_067", "https://jeminise.com/products/custom-football-player-holding-ball-close-up-comforter-d5b47c0ee0-d5b47c0ee0", "serp_qa_067", "customizer_audit.json"]</t>
        </is>
      </c>
      <c r="J76" s="2" t="inlineStr">
        <is>
          <t>["ISS-067-IMG-04", "ISS-067-DESC", "ISS-067-CUSTOMIZER", "ISS-067-CANN", "ISS-067-META"]</t>
        </is>
      </c>
    </row>
    <row r="77" ht="42" customHeight="1">
      <c r="A77" s="3" t="inlineStr">
        <is>
          <t>jeminise.com+custom-football-player-holding-ball-close-up-comforter-d5b47c0ee0-d5b47c0ee0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IF(B77="I1",AVERAGEIF('QA_Images'!$A$2:$A$61,A77,'QA_Images'!$T$2:$T$61)/100,IF(D77="FULL",1,IF(D77="PARTIAL",0.5,IF(D77="FAIL",0,""))))</f>
        <v/>
      </c>
      <c r="F77" s="7">
        <f>IF(E77="",0,C77*E77)</f>
        <v/>
      </c>
      <c r="G77" s="7">
        <f>IF(B77="I1",20*AVERAGEIF('QA_Images'!$A$2:$A$61,A77,'QA_Images'!$U$2:$U$61)/100,IF(D77="NOT_CHECKED",0,C77))</f>
        <v/>
      </c>
      <c r="H77" s="3" t="inlineStr">
        <is>
          <t>Tính từ trung bình 6 ảnh: 98.3333/100.</t>
        </is>
      </c>
      <c r="I77" s="3" t="inlineStr">
        <is>
          <t>["evidence_batch_007_067", "https://jeminise.com/products/custom-football-player-holding-ball-close-up-comforter-d5b47c0ee0-d5b47c0ee0", "serp_qa_067", "customizer_audit.json"]</t>
        </is>
      </c>
      <c r="J77" s="3" t="inlineStr">
        <is>
          <t>["ISS-067-IMG-04", "ISS-067-DESC", "ISS-067-CUSTOMIZER", "ISS-067-CANN", "ISS-067-META"]</t>
        </is>
      </c>
    </row>
    <row r="78" ht="42" customHeight="1">
      <c r="A78" s="2" t="inlineStr">
        <is>
          <t>jeminise.com+custom-football-player-holding-ball-close-up-comforter-d5b47c0ee0-d5b47c0ee0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IF(B78="I1",AVERAGEIF('QA_Images'!$A$2:$A$61,A78,'QA_Images'!$T$2:$T$61)/100,IF(D78="FULL",1,IF(D78="PARTIAL",0.5,IF(D78="FAIL",0,""))))</f>
        <v/>
      </c>
      <c r="F78" s="5">
        <f>IF(E78="",0,C78*E78)</f>
        <v/>
      </c>
      <c r="G78" s="5">
        <f>IF(B78="I1",20*AVERAGEIF('QA_Images'!$A$2:$A$61,A78,'QA_Images'!$U$2:$U$61)/100,IF(D78="NOT_CHECKED",0,C78))</f>
        <v/>
      </c>
      <c r="H78" s="2" t="inlineStr">
        <is>
          <t>Chuỗi evidence được kiểm tra; thiếu admin export và chưa chạy cart persistence.</t>
        </is>
      </c>
      <c r="I78" s="2" t="inlineStr">
        <is>
          <t>["evidence_batch_007_067", "https://jeminise.com/products/custom-football-player-holding-ball-close-up-comforter-d5b47c0ee0-d5b47c0ee0", "serp_qa_067", "customizer_audit.json"]</t>
        </is>
      </c>
      <c r="J78" s="2" t="inlineStr">
        <is>
          <t>["ISS-067-IMG-04", "ISS-067-DESC", "ISS-067-CUSTOMIZER", "ISS-067-CANN", "ISS-067-META"]</t>
        </is>
      </c>
    </row>
    <row r="79" ht="42" customHeight="1">
      <c r="A79" s="3" t="inlineStr">
        <is>
          <t>jeminise.com+custom-football-player-holding-ball-close-up-comforter-with-football-helmet-da6d035722-da6d035722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IF(B79="I1",AVERAGEIF('QA_Images'!$A$2:$A$61,A79,'QA_Images'!$T$2:$T$61)/100,IF(D79="FULL",1,IF(D79="PARTIAL",0.5,IF(D79="FAIL",0,""))))</f>
        <v/>
      </c>
      <c r="F79" s="7">
        <f>IF(E79="",0,C79*E79)</f>
        <v/>
      </c>
      <c r="G79" s="7">
        <f>IF(B79="I1",20*AVERAGEIF('QA_Images'!$A$2:$A$61,A79,'QA_Images'!$U$2:$U$61)/100,IF(D79="NOT_CHECKED",0,C79))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79" s="3" t="inlineStr">
        <is>
          <t>["ISS-068-IMG-04", "ISS-068-DESC", "ISS-068-CUSTOMIZER", "ISS-068-CANN", "ISS-068-META"]</t>
        </is>
      </c>
    </row>
    <row r="80" ht="42" customHeight="1">
      <c r="A80" s="2" t="inlineStr">
        <is>
          <t>jeminise.com+custom-football-player-holding-ball-close-up-comforter-with-football-helmet-da6d035722-da6d035722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IF(B80="I1",AVERAGEIF('QA_Images'!$A$2:$A$61,A80,'QA_Images'!$T$2:$T$61)/100,IF(D80="FULL",1,IF(D80="PARTIAL",0.5,IF(D80="FAIL",0,""))))</f>
        <v/>
      </c>
      <c r="F80" s="5">
        <f>IF(E80="",0,C80*E80)</f>
        <v/>
      </c>
      <c r="G80" s="5">
        <f>IF(B80="I1",20*AVERAGEIF('QA_Images'!$A$2:$A$61,A80,'QA_Images'!$U$2:$U$61)/100,IF(D80="NOT_CHECKED",0,C80))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0" s="2" t="inlineStr">
        <is>
          <t>["ISS-068-IMG-04", "ISS-068-DESC", "ISS-068-CUSTOMIZER", "ISS-068-CANN", "ISS-068-META"]</t>
        </is>
      </c>
    </row>
    <row r="81" ht="42" customHeight="1">
      <c r="A81" s="3" t="inlineStr">
        <is>
          <t>jeminise.com+custom-football-player-holding-ball-close-up-comforter-with-football-helmet-da6d035722-da6d035722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IF(B81="I1",AVERAGEIF('QA_Images'!$A$2:$A$61,A81,'QA_Images'!$T$2:$T$61)/100,IF(D81="FULL",1,IF(D81="PARTIAL",0.5,IF(D81="FAIL",0,""))))</f>
        <v/>
      </c>
      <c r="F81" s="7">
        <f>IF(E81="",0,C81*E81)</f>
        <v/>
      </c>
      <c r="G81" s="7">
        <f>IF(B81="I1",20*AVERAGEIF('QA_Images'!$A$2:$A$61,A81,'QA_Images'!$U$2:$U$61)/100,IF(D81="NOT_CHECKED",0,C81))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1" s="3" t="inlineStr">
        <is>
          <t>["ISS-068-IMG-04", "ISS-068-DESC", "ISS-068-CUSTOMIZER", "ISS-068-CANN", "ISS-068-META"]</t>
        </is>
      </c>
    </row>
    <row r="82" ht="42" customHeight="1">
      <c r="A82" s="2" t="inlineStr">
        <is>
          <t>jeminise.com+custom-football-player-holding-ball-close-up-comforter-with-football-helmet-da6d035722-da6d035722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IF(B82="I1",AVERAGEIF('QA_Images'!$A$2:$A$61,A82,'QA_Images'!$T$2:$T$61)/100,IF(D82="FULL",1,IF(D82="PARTIAL",0.5,IF(D82="FAIL",0,""))))</f>
        <v/>
      </c>
      <c r="F82" s="5">
        <f>IF(E82="",0,C82*E82)</f>
        <v/>
      </c>
      <c r="G82" s="5">
        <f>IF(B82="I1",20*AVERAGEIF('QA_Images'!$A$2:$A$61,A82,'QA_Images'!$U$2:$U$61)/100,IF(D82="NOT_CHECKED",0,C82))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2" s="2" t="inlineStr">
        <is>
          <t>["ISS-068-IMG-04", "ISS-068-DESC", "ISS-068-CUSTOMIZER", "ISS-068-CANN", "ISS-068-META"]</t>
        </is>
      </c>
    </row>
    <row r="83" ht="42" customHeight="1">
      <c r="A83" s="3" t="inlineStr">
        <is>
          <t>jeminise.com+custom-football-player-holding-ball-close-up-comforter-with-football-helmet-da6d035722-da6d035722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IF(B83="I1",AVERAGEIF('QA_Images'!$A$2:$A$61,A83,'QA_Images'!$T$2:$T$61)/100,IF(D83="FULL",1,IF(D83="PARTIAL",0.5,IF(D83="FAIL",0,""))))</f>
        <v/>
      </c>
      <c r="F83" s="7">
        <f>IF(E83="",0,C83*E83)</f>
        <v/>
      </c>
      <c r="G83" s="7">
        <f>IF(B83="I1",20*AVERAGEIF('QA_Images'!$A$2:$A$61,A83,'QA_Images'!$U$2:$U$61)/100,IF(D83="NOT_CHECKED",0,C83))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3" s="3" t="inlineStr">
        <is>
          <t>["ISS-068-IMG-04", "ISS-068-DESC", "ISS-068-CUSTOMIZER", "ISS-068-CANN", "ISS-068-META"]</t>
        </is>
      </c>
    </row>
    <row r="84" ht="42" customHeight="1">
      <c r="A84" s="2" t="inlineStr">
        <is>
          <t>jeminise.com+custom-football-player-holding-ball-close-up-comforter-with-football-helmet-da6d035722-da6d035722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IF(B84="I1",AVERAGEIF('QA_Images'!$A$2:$A$61,A84,'QA_Images'!$T$2:$T$61)/100,IF(D84="FULL",1,IF(D84="PARTIAL",0.5,IF(D84="FAIL",0,""))))</f>
        <v/>
      </c>
      <c r="F84" s="5">
        <f>IF(E84="",0,C84*E84)</f>
        <v/>
      </c>
      <c r="G84" s="5">
        <f>IF(B84="I1",20*AVERAGEIF('QA_Images'!$A$2:$A$61,A84,'QA_Images'!$U$2:$U$61)/100,IF(D84="NOT_CHECKED",0,C84))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4" s="2" t="inlineStr">
        <is>
          <t>["ISS-068-IMG-04", "ISS-068-DESC", "ISS-068-CUSTOMIZER", "ISS-068-CANN", "ISS-068-META"]</t>
        </is>
      </c>
    </row>
    <row r="85" ht="42" customHeight="1">
      <c r="A85" s="3" t="inlineStr">
        <is>
          <t>jeminise.com+custom-football-player-holding-ball-close-up-comforter-with-football-helmet-da6d035722-da6d035722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IF(B85="I1",AVERAGEIF('QA_Images'!$A$2:$A$61,A85,'QA_Images'!$T$2:$T$61)/100,IF(D85="FULL",1,IF(D85="PARTIAL",0.5,IF(D85="FAIL",0,""))))</f>
        <v/>
      </c>
      <c r="F85" s="7">
        <f>IF(E85="",0,C85*E85)</f>
        <v/>
      </c>
      <c r="G85" s="7">
        <f>IF(B85="I1",20*AVERAGEIF('QA_Images'!$A$2:$A$61,A85,'QA_Images'!$U$2:$U$61)/100,IF(D85="NOT_CHECKED",0,C85))</f>
        <v/>
      </c>
      <c r="H85" s="3" t="inlineStr">
        <is>
          <t>Meta đúng motif nhưng quá dài và chưa diễn đạt cơ chế Customize gọn, rõ.</t>
        </is>
      </c>
      <c r="I85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5" s="3" t="inlineStr">
        <is>
          <t>["ISS-068-IMG-04", "ISS-068-DESC", "ISS-068-CUSTOMIZER", "ISS-068-CANN", "ISS-068-META"]</t>
        </is>
      </c>
    </row>
    <row r="86" ht="42" customHeight="1">
      <c r="A86" s="2" t="inlineStr">
        <is>
          <t>jeminise.com+custom-football-player-holding-ball-close-up-comforter-with-football-helmet-da6d035722-da6d035722</t>
        </is>
      </c>
      <c r="B86" s="2" t="inlineStr">
        <is>
          <t>D1</t>
        </is>
      </c>
      <c r="C86" s="2" t="n">
        <v>5</v>
      </c>
      <c r="D86" s="2" t="inlineStr">
        <is>
          <t>PARTIAL</t>
        </is>
      </c>
      <c r="E86" s="5">
        <f>IF(B86="I1",AVERAGEIF('QA_Images'!$A$2:$A$61,A86,'QA_Images'!$T$2:$T$61)/100,IF(D86="FULL",1,IF(D86="PARTIAL",0.5,IF(D86="FAIL",0,""))))</f>
        <v/>
      </c>
      <c r="F86" s="5">
        <f>IF(E86="",0,C86*E86)</f>
        <v/>
      </c>
      <c r="G86" s="5">
        <f>IF(B86="I1",20*AVERAGEIF('QA_Images'!$A$2:$A$61,A86,'QA_Images'!$U$2:$U$61)/100,IF(D86="NOT_CHECKED",0,C86))</f>
        <v/>
      </c>
      <c r="H86" s="2" t="inlineStr">
        <is>
          <t>Bản r2 đã bỏ nội dung QA/import nhưng description vẫn là mẫu chung, lặp từ và thiếu dữ kiện cần thiết.</t>
        </is>
      </c>
      <c r="I86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6" s="2" t="inlineStr">
        <is>
          <t>["ISS-068-IMG-04", "ISS-068-DESC", "ISS-068-CUSTOMIZER", "ISS-068-CANN", "ISS-068-META"]</t>
        </is>
      </c>
    </row>
    <row r="87" ht="42" customHeight="1">
      <c r="A87" s="3" t="inlineStr">
        <is>
          <t>jeminise.com+custom-football-player-holding-ball-close-up-comforter-with-football-helmet-da6d035722-da6d035722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IF(B87="I1",AVERAGEIF('QA_Images'!$A$2:$A$61,A87,'QA_Images'!$T$2:$T$61)/100,IF(D87="FULL",1,IF(D87="PARTIAL",0.5,IF(D87="FAIL",0,""))))</f>
        <v/>
      </c>
      <c r="F87" s="7">
        <f>IF(E87="",0,C87*E87)</f>
        <v/>
      </c>
      <c r="G87" s="7">
        <f>IF(B87="I1",20*AVERAGEIF('QA_Images'!$A$2:$A$61,A87,'QA_Images'!$U$2:$U$61)/100,IF(D87="NOT_CHECKED",0,C87))</f>
        <v/>
      </c>
      <c r="H87" s="3" t="inlineStr">
        <is>
          <t>Facts hình ảnh khớp, nhưng copy chưa nêu material/care/contents và quy tắc Name bắt buộc, Number tùy chọn.</t>
        </is>
      </c>
      <c r="I87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7" s="3" t="inlineStr">
        <is>
          <t>["ISS-068-IMG-04", "ISS-068-DESC", "ISS-068-CUSTOMIZER", "ISS-068-CANN", "ISS-068-META"]</t>
        </is>
      </c>
    </row>
    <row r="88" ht="42" customHeight="1">
      <c r="A88" s="2" t="inlineStr">
        <is>
          <t>jeminise.com+custom-football-player-holding-ball-close-up-comforter-with-football-helmet-da6d035722-da6d035722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IF(B88="I1",AVERAGEIF('QA_Images'!$A$2:$A$61,A88,'QA_Images'!$T$2:$T$61)/100,IF(D88="FULL",1,IF(D88="PARTIAL",0.5,IF(D88="FAIL",0,""))))</f>
        <v/>
      </c>
      <c r="F88" s="5">
        <f>IF(E88="",0,C88*E88)</f>
        <v/>
      </c>
      <c r="G88" s="5">
        <f>IF(B88="I1",20*AVERAGEIF('QA_Images'!$A$2:$A$61,A88,'QA_Images'!$U$2:$U$61)/100,IF(D88="NOT_CHECKED",0,C88))</f>
        <v/>
      </c>
      <c r="H88" s="2" t="inlineStr">
        <is>
          <t>Tính từ trung bình 6 ảnh: 98.3333/100.</t>
        </is>
      </c>
      <c r="I88" s="2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8" s="2" t="inlineStr">
        <is>
          <t>["ISS-068-IMG-04", "ISS-068-DESC", "ISS-068-CUSTOMIZER", "ISS-068-CANN", "ISS-068-META"]</t>
        </is>
      </c>
    </row>
    <row r="89" ht="42" customHeight="1">
      <c r="A89" s="3" t="inlineStr">
        <is>
          <t>jeminise.com+custom-football-player-holding-ball-close-up-comforter-with-football-helmet-da6d035722-da6d035722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IF(B89="I1",AVERAGEIF('QA_Images'!$A$2:$A$61,A89,'QA_Images'!$T$2:$T$61)/100,IF(D89="FULL",1,IF(D89="PARTIAL",0.5,IF(D89="FAIL",0,""))))</f>
        <v/>
      </c>
      <c r="F89" s="7">
        <f>IF(E89="",0,C89*E89)</f>
        <v/>
      </c>
      <c r="G89" s="7">
        <f>IF(B89="I1",20*AVERAGEIF('QA_Images'!$A$2:$A$61,A89,'QA_Images'!$U$2:$U$61)/100,IF(D89="NOT_CHECKED",0,C89))</f>
        <v/>
      </c>
      <c r="H89" s="3" t="inlineStr">
        <is>
          <t>Chuỗi evidence được kiểm tra; thiếu admin export và chưa chạy cart persistence.</t>
        </is>
      </c>
      <c r="I89" s="3" t="inlineStr">
        <is>
          <t>["evidence_batch_007_068", "https://jeminise.com/products/custom-football-player-holding-ball-close-up-comforter-with-football-helmet-da6d035722-da6d035722", "serp_qa_068", "customizer_audit.json"]</t>
        </is>
      </c>
      <c r="J89" s="3" t="inlineStr">
        <is>
          <t>["ISS-068-IMG-04", "ISS-068-DESC", "ISS-068-CUSTOMIZER", "ISS-068-CANN", "ISS-068-META"]</t>
        </is>
      </c>
    </row>
    <row r="90" ht="42" customHeight="1">
      <c r="A90" s="2" t="inlineStr">
        <is>
          <t>jeminise.com+custom-football-player-holding-ball-collage-comforter-with-football-helmet-08a49e7d2b-08a49e7d2b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IF(B90="I1",AVERAGEIF('QA_Images'!$A$2:$A$61,A90,'QA_Images'!$T$2:$T$61)/100,IF(D90="FULL",1,IF(D90="PARTIAL",0.5,IF(D90="FAIL",0,""))))</f>
        <v/>
      </c>
      <c r="F90" s="5">
        <f>IF(E90="",0,C90*E90)</f>
        <v/>
      </c>
      <c r="G90" s="5">
        <f>IF(B90="I1",20*AVERAGEIF('QA_Images'!$A$2:$A$61,A90,'QA_Images'!$U$2:$U$61)/100,IF(D90="NOT_CHECKED",0,C90))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0" s="2" t="inlineStr">
        <is>
          <t>["ISS-069-IMG-04", "ISS-069-DESC", "ISS-069-CUSTOMIZER", "ISS-069-CANN", "ISS-069-META"]</t>
        </is>
      </c>
    </row>
    <row r="91" ht="42" customHeight="1">
      <c r="A91" s="3" t="inlineStr">
        <is>
          <t>jeminise.com+custom-football-player-holding-ball-collage-comforter-with-football-helmet-08a49e7d2b-08a49e7d2b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IF(B91="I1",AVERAGEIF('QA_Images'!$A$2:$A$61,A91,'QA_Images'!$T$2:$T$61)/100,IF(D91="FULL",1,IF(D91="PARTIAL",0.5,IF(D91="FAIL",0,""))))</f>
        <v/>
      </c>
      <c r="F91" s="7">
        <f>IF(E91="",0,C91*E91)</f>
        <v/>
      </c>
      <c r="G91" s="7">
        <f>IF(B91="I1",20*AVERAGEIF('QA_Images'!$A$2:$A$61,A91,'QA_Images'!$U$2:$U$61)/100,IF(D91="NOT_CHECKED",0,C91))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1" s="3" t="inlineStr">
        <is>
          <t>["ISS-069-IMG-04", "ISS-069-DESC", "ISS-069-CUSTOMIZER", "ISS-069-CANN", "ISS-069-META"]</t>
        </is>
      </c>
    </row>
    <row r="92" ht="42" customHeight="1">
      <c r="A92" s="2" t="inlineStr">
        <is>
          <t>jeminise.com+custom-football-player-holding-ball-collage-comforter-with-football-helmet-08a49e7d2b-08a49e7d2b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IF(B92="I1",AVERAGEIF('QA_Images'!$A$2:$A$61,A92,'QA_Images'!$T$2:$T$61)/100,IF(D92="FULL",1,IF(D92="PARTIAL",0.5,IF(D92="FAIL",0,""))))</f>
        <v/>
      </c>
      <c r="F92" s="5">
        <f>IF(E92="",0,C92*E92)</f>
        <v/>
      </c>
      <c r="G92" s="5">
        <f>IF(B92="I1",20*AVERAGEIF('QA_Images'!$A$2:$A$61,A92,'QA_Images'!$U$2:$U$61)/100,IF(D92="NOT_CHECKED",0,C92))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2" s="2" t="inlineStr">
        <is>
          <t>["ISS-069-IMG-04", "ISS-069-DESC", "ISS-069-CUSTOMIZER", "ISS-069-CANN", "ISS-069-META"]</t>
        </is>
      </c>
    </row>
    <row r="93" ht="42" customHeight="1">
      <c r="A93" s="3" t="inlineStr">
        <is>
          <t>jeminise.com+custom-football-player-holding-ball-collage-comforter-with-football-helmet-08a49e7d2b-08a49e7d2b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IF(B93="I1",AVERAGEIF('QA_Images'!$A$2:$A$61,A93,'QA_Images'!$T$2:$T$61)/100,IF(D93="FULL",1,IF(D93="PARTIAL",0.5,IF(D93="FAIL",0,""))))</f>
        <v/>
      </c>
      <c r="F93" s="7">
        <f>IF(E93="",0,C93*E93)</f>
        <v/>
      </c>
      <c r="G93" s="7">
        <f>IF(B93="I1",20*AVERAGEIF('QA_Images'!$A$2:$A$61,A93,'QA_Images'!$U$2:$U$61)/100,IF(D93="NOT_CHECKED",0,C93))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3" s="3" t="inlineStr">
        <is>
          <t>["ISS-069-IMG-04", "ISS-069-DESC", "ISS-069-CUSTOMIZER", "ISS-069-CANN", "ISS-069-META"]</t>
        </is>
      </c>
    </row>
    <row r="94" ht="42" customHeight="1">
      <c r="A94" s="2" t="inlineStr">
        <is>
          <t>jeminise.com+custom-football-player-holding-ball-collage-comforter-with-football-helmet-08a49e7d2b-08a49e7d2b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IF(B94="I1",AVERAGEIF('QA_Images'!$A$2:$A$61,A94,'QA_Images'!$T$2:$T$61)/100,IF(D94="FULL",1,IF(D94="PARTIAL",0.5,IF(D94="FAIL",0,""))))</f>
        <v/>
      </c>
      <c r="F94" s="5">
        <f>IF(E94="",0,C94*E94)</f>
        <v/>
      </c>
      <c r="G94" s="5">
        <f>IF(B94="I1",20*AVERAGEIF('QA_Images'!$A$2:$A$61,A94,'QA_Images'!$U$2:$U$61)/100,IF(D94="NOT_CHECKED",0,C94))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4" s="2" t="inlineStr">
        <is>
          <t>["ISS-069-IMG-04", "ISS-069-DESC", "ISS-069-CUSTOMIZER", "ISS-069-CANN", "ISS-069-META"]</t>
        </is>
      </c>
    </row>
    <row r="95" ht="42" customHeight="1">
      <c r="A95" s="3" t="inlineStr">
        <is>
          <t>jeminise.com+custom-football-player-holding-ball-collage-comforter-with-football-helmet-08a49e7d2b-08a49e7d2b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IF(B95="I1",AVERAGEIF('QA_Images'!$A$2:$A$61,A95,'QA_Images'!$T$2:$T$61)/100,IF(D95="FULL",1,IF(D95="PARTIAL",0.5,IF(D95="FAIL",0,""))))</f>
        <v/>
      </c>
      <c r="F95" s="7">
        <f>IF(E95="",0,C95*E95)</f>
        <v/>
      </c>
      <c r="G95" s="7">
        <f>IF(B95="I1",20*AVERAGEIF('QA_Images'!$A$2:$A$61,A95,'QA_Images'!$U$2:$U$61)/100,IF(D95="NOT_CHECKED",0,C95))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5" s="3" t="inlineStr">
        <is>
          <t>["ISS-069-IMG-04", "ISS-069-DESC", "ISS-069-CUSTOMIZER", "ISS-069-CANN", "ISS-069-META"]</t>
        </is>
      </c>
    </row>
    <row r="96" ht="42" customHeight="1">
      <c r="A96" s="2" t="inlineStr">
        <is>
          <t>jeminise.com+custom-football-player-holding-ball-collage-comforter-with-football-helmet-08a49e7d2b-08a49e7d2b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IF(B96="I1",AVERAGEIF('QA_Images'!$A$2:$A$61,A96,'QA_Images'!$T$2:$T$61)/100,IF(D96="FULL",1,IF(D96="PARTIAL",0.5,IF(D96="FAIL",0,""))))</f>
        <v/>
      </c>
      <c r="F96" s="5">
        <f>IF(E96="",0,C96*E96)</f>
        <v/>
      </c>
      <c r="G96" s="5">
        <f>IF(B96="I1",20*AVERAGEIF('QA_Images'!$A$2:$A$61,A96,'QA_Images'!$U$2:$U$61)/100,IF(D96="NOT_CHECKED",0,C96))</f>
        <v/>
      </c>
      <c r="H96" s="2" t="inlineStr">
        <is>
          <t>Meta đúng motif nhưng quá dài và chưa diễn đạt cơ chế Customize gọn, rõ.</t>
        </is>
      </c>
      <c r="I96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6" s="2" t="inlineStr">
        <is>
          <t>["ISS-069-IMG-04", "ISS-069-DESC", "ISS-069-CUSTOMIZER", "ISS-069-CANN", "ISS-069-META"]</t>
        </is>
      </c>
    </row>
    <row r="97" ht="42" customHeight="1">
      <c r="A97" s="3" t="inlineStr">
        <is>
          <t>jeminise.com+custom-football-player-holding-ball-collage-comforter-with-football-helmet-08a49e7d2b-08a49e7d2b</t>
        </is>
      </c>
      <c r="B97" s="3" t="inlineStr">
        <is>
          <t>D1</t>
        </is>
      </c>
      <c r="C97" s="3" t="n">
        <v>5</v>
      </c>
      <c r="D97" s="3" t="inlineStr">
        <is>
          <t>PARTIAL</t>
        </is>
      </c>
      <c r="E97" s="7">
        <f>IF(B97="I1",AVERAGEIF('QA_Images'!$A$2:$A$61,A97,'QA_Images'!$T$2:$T$61)/100,IF(D97="FULL",1,IF(D97="PARTIAL",0.5,IF(D97="FAIL",0,""))))</f>
        <v/>
      </c>
      <c r="F97" s="7">
        <f>IF(E97="",0,C97*E97)</f>
        <v/>
      </c>
      <c r="G97" s="7">
        <f>IF(B97="I1",20*AVERAGEIF('QA_Images'!$A$2:$A$61,A97,'QA_Images'!$U$2:$U$61)/100,IF(D97="NOT_CHECKED",0,C97))</f>
        <v/>
      </c>
      <c r="H97" s="3" t="inlineStr">
        <is>
          <t>Bản r2 đã bỏ nội dung QA/import nhưng description vẫn là mẫu chung, lặp từ và thiếu dữ kiện cần thiết.</t>
        </is>
      </c>
      <c r="I97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7" s="3" t="inlineStr">
        <is>
          <t>["ISS-069-IMG-04", "ISS-069-DESC", "ISS-069-CUSTOMIZER", "ISS-069-CANN", "ISS-069-META"]</t>
        </is>
      </c>
    </row>
    <row r="98" ht="42" customHeight="1">
      <c r="A98" s="2" t="inlineStr">
        <is>
          <t>jeminise.com+custom-football-player-holding-ball-collage-comforter-with-football-helmet-08a49e7d2b-08a49e7d2b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IF(B98="I1",AVERAGEIF('QA_Images'!$A$2:$A$61,A98,'QA_Images'!$T$2:$T$61)/100,IF(D98="FULL",1,IF(D98="PARTIAL",0.5,IF(D98="FAIL",0,""))))</f>
        <v/>
      </c>
      <c r="F98" s="5">
        <f>IF(E98="",0,C98*E98)</f>
        <v/>
      </c>
      <c r="G98" s="5">
        <f>IF(B98="I1",20*AVERAGEIF('QA_Images'!$A$2:$A$61,A98,'QA_Images'!$U$2:$U$61)/100,IF(D98="NOT_CHECKED",0,C98))</f>
        <v/>
      </c>
      <c r="H98" s="2" t="inlineStr">
        <is>
          <t>Facts hình ảnh khớp, nhưng copy chưa nêu material/care/contents và quy tắc Name bắt buộc, Number tùy chọn.</t>
        </is>
      </c>
      <c r="I98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8" s="2" t="inlineStr">
        <is>
          <t>["ISS-069-IMG-04", "ISS-069-DESC", "ISS-069-CUSTOMIZER", "ISS-069-CANN", "ISS-069-META"]</t>
        </is>
      </c>
    </row>
    <row r="99" ht="42" customHeight="1">
      <c r="A99" s="3" t="inlineStr">
        <is>
          <t>jeminise.com+custom-football-player-holding-ball-collage-comforter-with-football-helmet-08a49e7d2b-08a49e7d2b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IF(B99="I1",AVERAGEIF('QA_Images'!$A$2:$A$61,A99,'QA_Images'!$T$2:$T$61)/100,IF(D99="FULL",1,IF(D99="PARTIAL",0.5,IF(D99="FAIL",0,""))))</f>
        <v/>
      </c>
      <c r="F99" s="7">
        <f>IF(E99="",0,C99*E99)</f>
        <v/>
      </c>
      <c r="G99" s="7">
        <f>IF(B99="I1",20*AVERAGEIF('QA_Images'!$A$2:$A$61,A99,'QA_Images'!$U$2:$U$61)/100,IF(D99="NOT_CHECKED",0,C99))</f>
        <v/>
      </c>
      <c r="H99" s="3" t="inlineStr">
        <is>
          <t>Tính từ trung bình 6 ảnh: 98.3333/100.</t>
        </is>
      </c>
      <c r="I99" s="3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99" s="3" t="inlineStr">
        <is>
          <t>["ISS-069-IMG-04", "ISS-069-DESC", "ISS-069-CUSTOMIZER", "ISS-069-CANN", "ISS-069-META"]</t>
        </is>
      </c>
    </row>
    <row r="100" ht="42" customHeight="1">
      <c r="A100" s="2" t="inlineStr">
        <is>
          <t>jeminise.com+custom-football-player-holding-ball-collage-comforter-with-football-helmet-08a49e7d2b-08a49e7d2b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IF(B100="I1",AVERAGEIF('QA_Images'!$A$2:$A$61,A100,'QA_Images'!$T$2:$T$61)/100,IF(D100="FULL",1,IF(D100="PARTIAL",0.5,IF(D100="FAIL",0,""))))</f>
        <v/>
      </c>
      <c r="F100" s="5">
        <f>IF(E100="",0,C100*E100)</f>
        <v/>
      </c>
      <c r="G100" s="5">
        <f>IF(B100="I1",20*AVERAGEIF('QA_Images'!$A$2:$A$61,A100,'QA_Images'!$U$2:$U$61)/100,IF(D100="NOT_CHECKED",0,C100))</f>
        <v/>
      </c>
      <c r="H100" s="2" t="inlineStr">
        <is>
          <t>Chuỗi evidence được kiểm tra; thiếu admin export và chưa chạy cart persistence.</t>
        </is>
      </c>
      <c r="I100" s="2" t="inlineStr">
        <is>
          <t>["evidence_batch_007_069", "https://jeminise.com/products/custom-football-player-holding-ball-collage-comforter-with-football-helmet-08a49e7d2b-08a49e7d2b", "serp_qa_069", "customizer_audit.json"]</t>
        </is>
      </c>
      <c r="J100" s="2" t="inlineStr">
        <is>
          <t>["ISS-069-IMG-04", "ISS-069-DESC", "ISS-069-CUSTOMIZER", "ISS-069-CANN", "ISS-069-META"]</t>
        </is>
      </c>
    </row>
    <row r="101" ht="42" customHeight="1">
      <c r="A101" s="3" t="inlineStr">
        <is>
          <t>jeminise.com+custom-football-player-running-on-camouflage-flag-comforter-9b84ecda23-9b84ecda23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IF(B101="I1",AVERAGEIF('QA_Images'!$A$2:$A$61,A101,'QA_Images'!$T$2:$T$61)/100,IF(D101="FULL",1,IF(D101="PARTIAL",0.5,IF(D101="FAIL",0,""))))</f>
        <v/>
      </c>
      <c r="F101" s="7">
        <f>IF(E101="",0,C101*E101)</f>
        <v/>
      </c>
      <c r="G101" s="7">
        <f>IF(B101="I1",20*AVERAGEIF('QA_Images'!$A$2:$A$61,A101,'QA_Images'!$U$2:$U$61)/100,IF(D101="NOT_CHECKED",0,C101))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["evidence_batch_007_070", "https://jeminise.com/products/custom-football-player-running-on-camouflage-flag-comforter-9b84ecda23-9b84ecda23", "serp_qa_070", "customizer_audit.json"]</t>
        </is>
      </c>
      <c r="J101" s="3" t="inlineStr">
        <is>
          <t>["ISS-070-IMG-04", "ISS-070-DESC", "ISS-070-CUSTOMIZER", "ISS-070-CANN", "ISS-070-META"]</t>
        </is>
      </c>
    </row>
    <row r="102" ht="42" customHeight="1">
      <c r="A102" s="2" t="inlineStr">
        <is>
          <t>jeminise.com+custom-football-player-running-on-camouflage-flag-comforter-9b84ecda23-9b84ecda23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IF(B102="I1",AVERAGEIF('QA_Images'!$A$2:$A$61,A102,'QA_Images'!$T$2:$T$61)/100,IF(D102="FULL",1,IF(D102="PARTIAL",0.5,IF(D102="FAIL",0,""))))</f>
        <v/>
      </c>
      <c r="F102" s="5">
        <f>IF(E102="",0,C102*E102)</f>
        <v/>
      </c>
      <c r="G102" s="5">
        <f>IF(B102="I1",20*AVERAGEIF('QA_Images'!$A$2:$A$61,A102,'QA_Images'!$U$2:$U$61)/100,IF(D102="NOT_CHECKED",0,C102))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["evidence_batch_007_070", "https://jeminise.com/products/custom-football-player-running-on-camouflage-flag-comforter-9b84ecda23-9b84ecda23", "serp_qa_070", "customizer_audit.json"]</t>
        </is>
      </c>
      <c r="J102" s="2" t="inlineStr">
        <is>
          <t>["ISS-070-IMG-04", "ISS-070-DESC", "ISS-070-CUSTOMIZER", "ISS-070-CANN", "ISS-070-META"]</t>
        </is>
      </c>
    </row>
    <row r="103" ht="42" customHeight="1">
      <c r="A103" s="3" t="inlineStr">
        <is>
          <t>jeminise.com+custom-football-player-running-on-camouflage-flag-comforter-9b84ecda23-9b84ecda23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IF(B103="I1",AVERAGEIF('QA_Images'!$A$2:$A$61,A103,'QA_Images'!$T$2:$T$61)/100,IF(D103="FULL",1,IF(D103="PARTIAL",0.5,IF(D103="FAIL",0,""))))</f>
        <v/>
      </c>
      <c r="F103" s="7">
        <f>IF(E103="",0,C103*E103)</f>
        <v/>
      </c>
      <c r="G103" s="7">
        <f>IF(B103="I1",20*AVERAGEIF('QA_Images'!$A$2:$A$61,A103,'QA_Images'!$U$2:$U$61)/100,IF(D103="NOT_CHECKED",0,C103))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["evidence_batch_007_070", "https://jeminise.com/products/custom-football-player-running-on-camouflage-flag-comforter-9b84ecda23-9b84ecda23", "serp_qa_070", "customizer_audit.json"]</t>
        </is>
      </c>
      <c r="J103" s="3" t="inlineStr">
        <is>
          <t>["ISS-070-IMG-04", "ISS-070-DESC", "ISS-070-CUSTOMIZER", "ISS-070-CANN", "ISS-070-META"]</t>
        </is>
      </c>
    </row>
    <row r="104" ht="42" customHeight="1">
      <c r="A104" s="2" t="inlineStr">
        <is>
          <t>jeminise.com+custom-football-player-running-on-camouflage-flag-comforter-9b84ecda23-9b84ecda23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IF(B104="I1",AVERAGEIF('QA_Images'!$A$2:$A$61,A104,'QA_Images'!$T$2:$T$61)/100,IF(D104="FULL",1,IF(D104="PARTIAL",0.5,IF(D104="FAIL",0,""))))</f>
        <v/>
      </c>
      <c r="F104" s="5">
        <f>IF(E104="",0,C104*E104)</f>
        <v/>
      </c>
      <c r="G104" s="5">
        <f>IF(B104="I1",20*AVERAGEIF('QA_Images'!$A$2:$A$61,A104,'QA_Images'!$U$2:$U$61)/100,IF(D104="NOT_CHECKED",0,C104))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["evidence_batch_007_070", "https://jeminise.com/products/custom-football-player-running-on-camouflage-flag-comforter-9b84ecda23-9b84ecda23", "serp_qa_070", "customizer_audit.json"]</t>
        </is>
      </c>
      <c r="J104" s="2" t="inlineStr">
        <is>
          <t>["ISS-070-IMG-04", "ISS-070-DESC", "ISS-070-CUSTOMIZER", "ISS-070-CANN", "ISS-070-META"]</t>
        </is>
      </c>
    </row>
    <row r="105" ht="42" customHeight="1">
      <c r="A105" s="3" t="inlineStr">
        <is>
          <t>jeminise.com+custom-football-player-running-on-camouflage-flag-comforter-9b84ecda23-9b84ecda23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IF(B105="I1",AVERAGEIF('QA_Images'!$A$2:$A$61,A105,'QA_Images'!$T$2:$T$61)/100,IF(D105="FULL",1,IF(D105="PARTIAL",0.5,IF(D105="FAIL",0,""))))</f>
        <v/>
      </c>
      <c r="F105" s="7">
        <f>IF(E105="",0,C105*E105)</f>
        <v/>
      </c>
      <c r="G105" s="7">
        <f>IF(B105="I1",20*AVERAGEIF('QA_Images'!$A$2:$A$61,A105,'QA_Images'!$U$2:$U$61)/100,IF(D105="NOT_CHECKED",0,C105))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["evidence_batch_007_070", "https://jeminise.com/products/custom-football-player-running-on-camouflage-flag-comforter-9b84ecda23-9b84ecda23", "serp_qa_070", "customizer_audit.json"]</t>
        </is>
      </c>
      <c r="J105" s="3" t="inlineStr">
        <is>
          <t>["ISS-070-IMG-04", "ISS-070-DESC", "ISS-070-CUSTOMIZER", "ISS-070-CANN", "ISS-070-META"]</t>
        </is>
      </c>
    </row>
    <row r="106" ht="42" customHeight="1">
      <c r="A106" s="2" t="inlineStr">
        <is>
          <t>jeminise.com+custom-football-player-running-on-camouflage-flag-comforter-9b84ecda23-9b84ecda23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IF(B106="I1",AVERAGEIF('QA_Images'!$A$2:$A$61,A106,'QA_Images'!$T$2:$T$61)/100,IF(D106="FULL",1,IF(D106="PARTIAL",0.5,IF(D106="FAIL",0,""))))</f>
        <v/>
      </c>
      <c r="F106" s="5">
        <f>IF(E106="",0,C106*E106)</f>
        <v/>
      </c>
      <c r="G106" s="5">
        <f>IF(B106="I1",20*AVERAGEIF('QA_Images'!$A$2:$A$61,A106,'QA_Images'!$U$2:$U$61)/100,IF(D106="NOT_CHECKED",0,C106))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["evidence_batch_007_070", "https://jeminise.com/products/custom-football-player-running-on-camouflage-flag-comforter-9b84ecda23-9b84ecda23", "serp_qa_070", "customizer_audit.json"]</t>
        </is>
      </c>
      <c r="J106" s="2" t="inlineStr">
        <is>
          <t>["ISS-070-IMG-04", "ISS-070-DESC", "ISS-070-CUSTOMIZER", "ISS-070-CANN", "ISS-070-META"]</t>
        </is>
      </c>
    </row>
    <row r="107" ht="42" customHeight="1">
      <c r="A107" s="3" t="inlineStr">
        <is>
          <t>jeminise.com+custom-football-player-running-on-camouflage-flag-comforter-9b84ecda23-9b84ecda23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IF(B107="I1",AVERAGEIF('QA_Images'!$A$2:$A$61,A107,'QA_Images'!$T$2:$T$61)/100,IF(D107="FULL",1,IF(D107="PARTIAL",0.5,IF(D107="FAIL",0,""))))</f>
        <v/>
      </c>
      <c r="F107" s="7">
        <f>IF(E107="",0,C107*E107)</f>
        <v/>
      </c>
      <c r="G107" s="7">
        <f>IF(B107="I1",20*AVERAGEIF('QA_Images'!$A$2:$A$61,A107,'QA_Images'!$U$2:$U$61)/100,IF(D107="NOT_CHECKED",0,C107))</f>
        <v/>
      </c>
      <c r="H107" s="3" t="inlineStr">
        <is>
          <t>Meta đúng motif nhưng quá dài và chưa diễn đạt cơ chế Customize gọn, rõ.</t>
        </is>
      </c>
      <c r="I107" s="3" t="inlineStr">
        <is>
          <t>["evidence_batch_007_070", "https://jeminise.com/products/custom-football-player-running-on-camouflage-flag-comforter-9b84ecda23-9b84ecda23", "serp_qa_070", "customizer_audit.json"]</t>
        </is>
      </c>
      <c r="J107" s="3" t="inlineStr">
        <is>
          <t>["ISS-070-IMG-04", "ISS-070-DESC", "ISS-070-CUSTOMIZER", "ISS-070-CANN", "ISS-070-META"]</t>
        </is>
      </c>
    </row>
    <row r="108" ht="42" customHeight="1">
      <c r="A108" s="2" t="inlineStr">
        <is>
          <t>jeminise.com+custom-football-player-running-on-camouflage-flag-comforter-9b84ecda23-9b84ecda23</t>
        </is>
      </c>
      <c r="B108" s="2" t="inlineStr">
        <is>
          <t>D1</t>
        </is>
      </c>
      <c r="C108" s="2" t="n">
        <v>5</v>
      </c>
      <c r="D108" s="2" t="inlineStr">
        <is>
          <t>PARTIAL</t>
        </is>
      </c>
      <c r="E108" s="5">
        <f>IF(B108="I1",AVERAGEIF('QA_Images'!$A$2:$A$61,A108,'QA_Images'!$T$2:$T$61)/100,IF(D108="FULL",1,IF(D108="PARTIAL",0.5,IF(D108="FAIL",0,""))))</f>
        <v/>
      </c>
      <c r="F108" s="5">
        <f>IF(E108="",0,C108*E108)</f>
        <v/>
      </c>
      <c r="G108" s="5">
        <f>IF(B108="I1",20*AVERAGEIF('QA_Images'!$A$2:$A$61,A108,'QA_Images'!$U$2:$U$61)/100,IF(D108="NOT_CHECKED",0,C108))</f>
        <v/>
      </c>
      <c r="H108" s="2" t="inlineStr">
        <is>
          <t>Bản r2 đã bỏ nội dung QA/import nhưng description vẫn là mẫu chung, lặp từ và thiếu dữ kiện cần thiết.</t>
        </is>
      </c>
      <c r="I108" s="2" t="inlineStr">
        <is>
          <t>["evidence_batch_007_070", "https://jeminise.com/products/custom-football-player-running-on-camouflage-flag-comforter-9b84ecda23-9b84ecda23", "serp_qa_070", "customizer_audit.json"]</t>
        </is>
      </c>
      <c r="J108" s="2" t="inlineStr">
        <is>
          <t>["ISS-070-IMG-04", "ISS-070-DESC", "ISS-070-CUSTOMIZER", "ISS-070-CANN", "ISS-070-META"]</t>
        </is>
      </c>
    </row>
    <row r="109" ht="42" customHeight="1">
      <c r="A109" s="3" t="inlineStr">
        <is>
          <t>jeminise.com+custom-football-player-running-on-camouflage-flag-comforter-9b84ecda23-9b84ecda23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IF(B109="I1",AVERAGEIF('QA_Images'!$A$2:$A$61,A109,'QA_Images'!$T$2:$T$61)/100,IF(D109="FULL",1,IF(D109="PARTIAL",0.5,IF(D109="FAIL",0,""))))</f>
        <v/>
      </c>
      <c r="F109" s="7">
        <f>IF(E109="",0,C109*E109)</f>
        <v/>
      </c>
      <c r="G109" s="7">
        <f>IF(B109="I1",20*AVERAGEIF('QA_Images'!$A$2:$A$61,A109,'QA_Images'!$U$2:$U$61)/100,IF(D109="NOT_CHECKED",0,C109))</f>
        <v/>
      </c>
      <c r="H109" s="3" t="inlineStr">
        <is>
          <t>Facts hình ảnh khớp, nhưng copy chưa nêu material/care/contents và quy tắc Name bắt buộc, Number tùy chọn.</t>
        </is>
      </c>
      <c r="I109" s="3" t="inlineStr">
        <is>
          <t>["evidence_batch_007_070", "https://jeminise.com/products/custom-football-player-running-on-camouflage-flag-comforter-9b84ecda23-9b84ecda23", "serp_qa_070", "customizer_audit.json"]</t>
        </is>
      </c>
      <c r="J109" s="3" t="inlineStr">
        <is>
          <t>["ISS-070-IMG-04", "ISS-070-DESC", "ISS-070-CUSTOMIZER", "ISS-070-CANN", "ISS-070-META"]</t>
        </is>
      </c>
    </row>
    <row r="110" ht="42" customHeight="1">
      <c r="A110" s="2" t="inlineStr">
        <is>
          <t>jeminise.com+custom-football-player-running-on-camouflage-flag-comforter-9b84ecda23-9b84ecda23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IF(B110="I1",AVERAGEIF('QA_Images'!$A$2:$A$61,A110,'QA_Images'!$T$2:$T$61)/100,IF(D110="FULL",1,IF(D110="PARTIAL",0.5,IF(D110="FAIL",0,""))))</f>
        <v/>
      </c>
      <c r="F110" s="5">
        <f>IF(E110="",0,C110*E110)</f>
        <v/>
      </c>
      <c r="G110" s="5">
        <f>IF(B110="I1",20*AVERAGEIF('QA_Images'!$A$2:$A$61,A110,'QA_Images'!$U$2:$U$61)/100,IF(D110="NOT_CHECKED",0,C110))</f>
        <v/>
      </c>
      <c r="H110" s="2" t="inlineStr">
        <is>
          <t>Tính từ trung bình 6 ảnh: 98.3333/100.</t>
        </is>
      </c>
      <c r="I110" s="2" t="inlineStr">
        <is>
          <t>["evidence_batch_007_070", "https://jeminise.com/products/custom-football-player-running-on-camouflage-flag-comforter-9b84ecda23-9b84ecda23", "serp_qa_070", "customizer_audit.json"]</t>
        </is>
      </c>
      <c r="J110" s="2" t="inlineStr">
        <is>
          <t>["ISS-070-IMG-04", "ISS-070-DESC", "ISS-070-CUSTOMIZER", "ISS-070-CANN", "ISS-070-META"]</t>
        </is>
      </c>
    </row>
    <row r="111" ht="42" customHeight="1">
      <c r="A111" s="3" t="inlineStr">
        <is>
          <t>jeminise.com+custom-football-player-running-on-camouflage-flag-comforter-9b84ecda23-9b84ecda23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IF(B111="I1",AVERAGEIF('QA_Images'!$A$2:$A$61,A111,'QA_Images'!$T$2:$T$61)/100,IF(D111="FULL",1,IF(D111="PARTIAL",0.5,IF(D111="FAIL",0,""))))</f>
        <v/>
      </c>
      <c r="F111" s="7">
        <f>IF(E111="",0,C111*E111)</f>
        <v/>
      </c>
      <c r="G111" s="7">
        <f>IF(B111="I1",20*AVERAGEIF('QA_Images'!$A$2:$A$61,A111,'QA_Images'!$U$2:$U$61)/100,IF(D111="NOT_CHECKED",0,C111))</f>
        <v/>
      </c>
      <c r="H111" s="3" t="inlineStr">
        <is>
          <t>Chuỗi evidence được kiểm tra; thiếu admin export và chưa chạy cart persistence.</t>
        </is>
      </c>
      <c r="I111" s="3" t="inlineStr">
        <is>
          <t>["evidence_batch_007_070", "https://jeminise.com/products/custom-football-player-running-on-camouflage-flag-comforter-9b84ecda23-9b84ecda23", "serp_qa_070", "customizer_audit.json"]</t>
        </is>
      </c>
      <c r="J111" s="3" t="inlineStr">
        <is>
          <t>["ISS-070-IMG-04", "ISS-070-DESC", "ISS-070-CUSTOMIZER", "ISS-070-CANN", "ISS-070-META"]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jeminise.com+custom-football-above-yard-lines-perspective-comforter-2c2cb25ed8-2c2cb25ed8</t>
        </is>
      </c>
      <c r="B2" s="2" t="inlineStr">
        <is>
          <t>qaimg_6d9671b839b6ad42</t>
        </is>
      </c>
      <c r="C2" s="4" t="inlineStr">
        <is>
          <t>https://cdn.shopify.com/s/files/1/0792/5098/1063/files/fabb8c116f8a69109b5b97431aba79a77114883e996d533a69bdd3e830c85aa8.jpg?v=1785102101</t>
        </is>
      </c>
      <c r="D2" s="4" t="inlineStr">
        <is>
          <t>https://cdn.shopify.com/s/files/1/0792/5098/1063/files/fabb8c116f8a69109b5b97431aba79a77114883e996d533a69bdd3e830c85aa8.jpg?v=1785102101</t>
        </is>
      </c>
      <c r="E2" s="2" t="inlineStr">
        <is>
          <t>38506874437831</t>
        </is>
      </c>
      <c r="F2" s="2" t="inlineStr">
        <is>
          <t>47540314603719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2026-09-07T17:06:29.516037+07:00</t>
        </is>
      </c>
      <c r="K2" s="2" t="inlineStr">
        <is>
          <t>Front bedroom mockup of black-and-gold yard-line football artwork with sample name DAVID and number 35.</t>
        </is>
      </c>
      <c r="L2" s="2" t="inlineStr">
        <is>
          <t>Main bed mockup showing personalized football yard line comforter with David and number 35.</t>
        </is>
      </c>
      <c r="M2" s="2" t="inlineStr">
        <is>
          <t>Custom Football Above Yard Lines Perspective Comforter</t>
        </is>
      </c>
      <c r="N2" s="2" t="inlineStr">
        <is>
          <t>SET</t>
        </is>
      </c>
      <c r="O2" s="2" t="inlineStr">
        <is>
          <t>Personalized Football Yard Line Comforter displayed on a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["seo_runs\\jeminise.com\\20260906_234129\\evidence\\images\\61_custom-football-above-yard-lines-perspective-comforter-2c2cb25ed8-2c2cb25ed8\\image_01_47540314603719.jpg;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"https://cdn.shopify.com/s/files/1/0792/5098/1063/files/fabb8c116f8a69109b5b97431aba79a77114883e996d533a69bdd3e830c85aa8.jpg?v=1785102101"]</t>
        </is>
      </c>
    </row>
    <row r="3" ht="66" customHeight="1">
      <c r="A3" s="3" t="inlineStr">
        <is>
          <t>jeminise.com+custom-football-above-yard-lines-perspective-comforter-2c2cb25ed8-2c2cb25ed8</t>
        </is>
      </c>
      <c r="B3" s="3" t="inlineStr">
        <is>
          <t>qaimg_40f134995a6b35e7</t>
        </is>
      </c>
      <c r="C3" s="4" t="inlineStr">
        <is>
          <t>https://cdn.shopify.com/s/files/1/0792/5098/1063/files/bb2b2afe73783faaecbdb311e97c954653100ac7c42259403fa2beff32bda8b3.jpg?v=1785102101</t>
        </is>
      </c>
      <c r="D3" s="4" t="inlineStr">
        <is>
          <t>https://cdn.shopify.com/s/files/1/0792/5098/1063/files/bb2b2afe73783faaecbdb311e97c954653100ac7c42259403fa2beff32bda8b3.jpg?v=1785102101</t>
        </is>
      </c>
      <c r="E3" s="3" t="inlineStr">
        <is>
          <t>38506874470599</t>
        </is>
      </c>
      <c r="F3" s="3" t="inlineStr">
        <is>
          <t>47540314636487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2026-09-07T17:06:29.516037+07:00</t>
        </is>
      </c>
      <c r="K3" s="3" t="inlineStr">
        <is>
          <t>Second bedroom mockup of black-and-gold yard-line football artwork with sample name DAVID and number 35.</t>
        </is>
      </c>
      <c r="L3" s="3" t="inlineStr">
        <is>
          <t>Angled bedroom mockup showing personalized football yard line comforter with David and number 35.</t>
        </is>
      </c>
      <c r="M3" s="3" t="inlineStr">
        <is>
          <t>Custom Football Above Yard Lines Perspective Comforter</t>
        </is>
      </c>
      <c r="N3" s="3" t="inlineStr">
        <is>
          <t>SET</t>
        </is>
      </c>
      <c r="O3" s="3" t="inlineStr">
        <is>
          <t>Angled bedroom view of Personalized Football Yard Line Comforter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["seo_runs\\jeminise.com\\20260906_234129\\evidence\\images\\61_custom-football-above-yard-lines-perspective-comforter-2c2cb25ed8-2c2cb25ed8\\image_02_47540314636487.jpg;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"https://cdn.shopify.com/s/files/1/0792/5098/1063/files/bb2b2afe73783faaecbdb311e97c954653100ac7c42259403fa2beff32bda8b3.jpg?v=1785102101"]</t>
        </is>
      </c>
    </row>
    <row r="4" ht="66" customHeight="1">
      <c r="A4" s="2" t="inlineStr">
        <is>
          <t>jeminise.com+custom-football-above-yard-lines-perspective-comforter-2c2cb25ed8-2c2cb25ed8</t>
        </is>
      </c>
      <c r="B4" s="2" t="inlineStr">
        <is>
          <t>qaimg_7e568d2ce8c30641</t>
        </is>
      </c>
      <c r="C4" s="4" t="inlineStr">
        <is>
          <t>https://cdn.shopify.com/s/files/1/0792/5098/1063/files/16f7293cbefa5743a35b2e6316a5a114e5c052d08151e367dafd26aa5e2e542b_d9f519f1-e536-4b68-9005-99ba7334bdc3.jpg?v=1785102101</t>
        </is>
      </c>
      <c r="D4" s="4" t="inlineStr">
        <is>
          <t>https://cdn.shopify.com/s/files/1/0792/5098/1063/files/16f7293cbefa5743a35b2e6316a5a114e5c052d08151e367dafd26aa5e2e542b_d9f519f1-e536-4b68-9005-99ba7334bdc3.jpg?v=1785102101</t>
        </is>
      </c>
      <c r="E4" s="2" t="inlineStr">
        <is>
          <t>38506874503367</t>
        </is>
      </c>
      <c r="F4" s="2" t="inlineStr">
        <is>
          <t>47540314669255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2026-09-07T17:06:29.516037+07:00</t>
        </is>
      </c>
      <c r="K4" s="2" t="inlineStr">
        <is>
          <t>Product-type comparison explaining that a duvet cover needs an insert while a comforter includes filling.</t>
        </is>
      </c>
      <c r="L4" s="2" t="inlineStr">
        <is>
          <t>Bedding type comparison for duvet cover set versus comforter set.</t>
        </is>
      </c>
      <c r="M4" s="2" t="inlineStr">
        <is>
          <t>Custom Football Above Yard Lines Perspective Comforter</t>
        </is>
      </c>
      <c r="N4" s="2" t="inlineStr">
        <is>
          <t>SET</t>
        </is>
      </c>
      <c r="O4" s="2" t="inlineStr">
        <is>
          <t>Duvet cover and comforter option guide for Personalized Football Yard Line Comforter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["seo_runs\\jeminise.com\\20260906_234129\\evidence\\images\\61_custom-football-above-yard-lines-perspective-comforter-2c2cb25ed8-2c2cb25ed8\\image_03_47540314669255.jpg;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"https://cdn.shopify.com/s/files/1/0792/5098/1063/files/16f7293cbefa5743a35b2e6316a5a114e5c052d08151e367dafd26aa5e2e542b_d9f519f1-e536-4b68-9005-99ba7334bdc3.jpg?v=1785102101"]</t>
        </is>
      </c>
    </row>
    <row r="5" ht="66" customHeight="1">
      <c r="A5" s="3" t="inlineStr">
        <is>
          <t>jeminise.com+custom-football-above-yard-lines-perspective-comforter-2c2cb25ed8-2c2cb25ed8</t>
        </is>
      </c>
      <c r="B5" s="3" t="inlineStr">
        <is>
          <t>qaimg_481255e64e08e882</t>
        </is>
      </c>
      <c r="C5" s="4" t="inlineStr">
        <is>
          <t>https://cdn.shopify.com/s/files/1/0792/5098/1063/files/4a9f47f7ad33573ee6920e55e7fc7230132fd822285f6a88e48a89911a823331.jpg?v=1785102101</t>
        </is>
      </c>
      <c r="D5" s="4" t="inlineStr">
        <is>
          <t>https://cdn.shopify.com/s/files/1/0792/5098/1063/files/4a9f47f7ad33573ee6920e55e7fc7230132fd822285f6a88e48a89911a823331.jpg?v=1785102101</t>
        </is>
      </c>
      <c r="E5" s="3" t="inlineStr">
        <is>
          <t>38506874536135</t>
        </is>
      </c>
      <c r="F5" s="3" t="inlineStr">
        <is>
          <t>47540314702023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2026-09-07T17:06:29.516037+07:00</t>
        </is>
      </c>
      <c r="K5" s="3" t="inlineStr">
        <is>
          <t>Close bedroom feature panel for black-and-gold yard-line football artwork with sample name DAVID and number 35, marked soft, lightweight, durable and breathable.</t>
        </is>
      </c>
      <c r="L5" s="3" t="inlineStr">
        <is>
          <t>Close room/detail image with softness, lightweight, durable and breathable icons for personalized football yard line comforter with David and number 35.</t>
        </is>
      </c>
      <c r="M5" s="3" t="inlineStr">
        <is>
          <t>Custom Football Above Yard Lines Perspective Comforter</t>
        </is>
      </c>
      <c r="N5" s="3" t="inlineStr">
        <is>
          <t>SET</t>
        </is>
      </c>
      <c r="O5" s="3" t="inlineStr">
        <is>
          <t>Close-up bedroom detail of Personalized Football Yard Line Comforter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PARTIAL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["ISS-061-IMG-04"]</t>
        </is>
      </c>
      <c r="Z5" s="3" t="inlineStr">
        <is>
          <t>["seo_runs\\jeminise.com\\20260906_234129\\evidence\\images\\61_custom-football-above-yard-lines-perspective-comforter-2c2cb25ed8-2c2cb25ed8\\image_04_47540314702023.jpg;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"https://cdn.shopify.com/s/files/1/0792/5098/1063/files/4a9f47f7ad33573ee6920e55e7fc7230132fd822285f6a88e48a89911a823331.jpg?v=1785102101"]</t>
        </is>
      </c>
    </row>
    <row r="6" ht="66" customHeight="1">
      <c r="A6" s="2" t="inlineStr">
        <is>
          <t>jeminise.com+custom-football-above-yard-lines-perspective-comforter-2c2cb25ed8-2c2cb25ed8</t>
        </is>
      </c>
      <c r="B6" s="2" t="inlineStr">
        <is>
          <t>qaimg_f9a950fb973ec77f</t>
        </is>
      </c>
      <c r="C6" s="4" t="inlineStr">
        <is>
          <t>https://cdn.shopify.com/s/files/1/0792/5098/1063/files/7c006bddc94d4763c71c8376307e195c1bbce73b8c802ec73ac5a8cef1291262_64eabeb6-ff03-4ac3-934e-929fec55c819.jpg?v=1785102101</t>
        </is>
      </c>
      <c r="D6" s="4" t="inlineStr">
        <is>
          <t>https://cdn.shopify.com/s/files/1/0792/5098/1063/files/7c006bddc94d4763c71c8376307e195c1bbce73b8c802ec73ac5a8cef1291262_64eabeb6-ff03-4ac3-934e-929fec55c819.jpg?v=1785102101</t>
        </is>
      </c>
      <c r="E6" s="2" t="inlineStr">
        <is>
          <t>38506874568903</t>
        </is>
      </c>
      <c r="F6" s="2" t="inlineStr">
        <is>
          <t>47540314734791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2026-09-07T17:06:29.516037+07:00</t>
        </is>
      </c>
      <c r="K6" s="2" t="inlineStr">
        <is>
          <t>Easy-care panel marked wrinkle-free, stain-proof, anti-pilling and resistant to fading in the wash.</t>
        </is>
      </c>
      <c r="L6" s="2" t="inlineStr">
        <is>
          <t>Stress-free easy-care image listing wrinkle-free, stain-proof, anti-pilling and wash-fade resistance.</t>
        </is>
      </c>
      <c r="M6" s="2" t="inlineStr">
        <is>
          <t>Custom Football Above Yard Lines Perspective Comforter</t>
        </is>
      </c>
      <c r="N6" s="2" t="inlineStr">
        <is>
          <t>SET</t>
        </is>
      </c>
      <c r="O6" s="2" t="inlineStr">
        <is>
          <t>Easy care information for Personalized Football Yard Line Comforter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["seo_runs\\jeminise.com\\20260906_234129\\evidence\\images\\61_custom-football-above-yard-lines-perspective-comforter-2c2cb25ed8-2c2cb25ed8\\image_05_47540314734791.jpg;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"https://cdn.shopify.com/s/files/1/0792/5098/1063/files/7c006bddc94d4763c71c8376307e195c1bbce73b8c802ec73ac5a8cef1291262_64eabeb6-ff03-4ac3-934e-929fec55c819.jpg?v=1785102101"]</t>
        </is>
      </c>
    </row>
    <row r="7" ht="66" customHeight="1">
      <c r="A7" s="3" t="inlineStr">
        <is>
          <t>jeminise.com+custom-football-above-yard-lines-perspective-comforter-2c2cb25ed8-2c2cb25ed8</t>
        </is>
      </c>
      <c r="B7" s="3" t="inlineStr">
        <is>
          <t>qaimg_53272c96a09fc022</t>
        </is>
      </c>
      <c r="C7" s="4" t="inlineStr">
        <is>
          <t>https://cdn.shopify.com/s/files/1/0792/5098/1063/files/e5cad84edb4d7bf77c48fd7c8e52eb3b73f04eba8bf177671fd8a059c59422e8_6ee1463c-88ca-4483-b00c-586c3cb108f4.jpg?v=1785102100</t>
        </is>
      </c>
      <c r="D7" s="4" t="inlineStr">
        <is>
          <t>https://cdn.shopify.com/s/files/1/0792/5098/1063/files/e5cad84edb4d7bf77c48fd7c8e52eb3b73f04eba8bf177671fd8a059c59422e8_6ee1463c-88ca-4483-b00c-586c3cb108f4.jpg?v=1785102100</t>
        </is>
      </c>
      <c r="E7" s="3" t="inlineStr">
        <is>
          <t>38506874601671</t>
        </is>
      </c>
      <c r="F7" s="3" t="inlineStr">
        <is>
          <t>47540314767559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2026-09-07T17:06:29.516037+07:00</t>
        </is>
      </c>
      <c r="K7" s="3" t="inlineStr">
        <is>
          <t>Comforter size-dimension chart for Twin 68x86, Full 79x90, Queen 90x90 and King 90x104 inches.</t>
        </is>
      </c>
      <c r="L7" s="3" t="inlineStr">
        <is>
          <t>Size dimension guide for twin, full, queen and king comforter options.</t>
        </is>
      </c>
      <c r="M7" s="3" t="inlineStr">
        <is>
          <t>Custom Football Above Yard Lines Perspective Comforter</t>
        </is>
      </c>
      <c r="N7" s="3" t="inlineStr">
        <is>
          <t>SET</t>
        </is>
      </c>
      <c r="O7" s="3" t="inlineStr">
        <is>
          <t>Size dimension guide for Personalized Football Yard Line Comforter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["seo_runs\\jeminise.com\\20260906_234129\\evidence\\images\\61_custom-football-above-yard-lines-perspective-comforter-2c2cb25ed8-2c2cb25ed8\\image_06_47540314767559.jpg; seo_runs\\jeminise.com\\20260906_234129\\evidence\\contact_sheets\\61_custom-football-above-yard-lines-perspective-comforter-2c2cb25ed8-2c2cb25ed8.jpg", "https://jeminise.com/products/custom-football-above-yard-lines-perspective-comforter-2c2cb25ed8-2c2cb25ed8", "https://cdn.shopify.com/s/files/1/0792/5098/1063/files/e5cad84edb4d7bf77c48fd7c8e52eb3b73f04eba8bf177671fd8a059c59422e8_6ee1463c-88ca-4483-b00c-586c3cb108f4.jpg?v=1785102100"]</t>
        </is>
      </c>
    </row>
    <row r="8" ht="66" customHeight="1">
      <c r="A8" s="2" t="inlineStr">
        <is>
          <t>jeminise.com+custom-football-close-up-on-american-flag-comforter-039b2d7dd4-039b2d7dd4</t>
        </is>
      </c>
      <c r="B8" s="2" t="inlineStr">
        <is>
          <t>qaimg_02459e7e73428938</t>
        </is>
      </c>
      <c r="C8" s="4" t="inlineStr">
        <is>
          <t>https://cdn.shopify.com/s/files/1/0792/5098/1063/files/1ce63baff5dac37aac0443db6cfd7edb9f71788a1cb5c5a0cfd1a3c5c9f1dbbc.jpg?v=1785100885</t>
        </is>
      </c>
      <c r="D8" s="4" t="inlineStr">
        <is>
          <t>https://cdn.shopify.com/s/files/1/0792/5098/1063/files/1ce63baff5dac37aac0443db6cfd7edb9f71788a1cb5c5a0cfd1a3c5c9f1dbbc.jpg?v=1785100885</t>
        </is>
      </c>
      <c r="E8" s="2" t="inlineStr">
        <is>
          <t>38506758340807</t>
        </is>
      </c>
      <c r="F8" s="2" t="inlineStr">
        <is>
          <t>47540197982407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2026-09-07T17:06:29.516037+07:00</t>
        </is>
      </c>
      <c r="K8" s="2" t="inlineStr">
        <is>
          <t>Front bedroom mockup of close football over a distressed American flag with sample name JOHN and number 15.</t>
        </is>
      </c>
      <c r="L8" s="2" t="inlineStr">
        <is>
          <t>Main bed mockup showing personalized American flag football comforter with John and number 15.</t>
        </is>
      </c>
      <c r="M8" s="2" t="inlineStr">
        <is>
          <t>Custom Football Close Up on American Flag Comforter</t>
        </is>
      </c>
      <c r="N8" s="2" t="inlineStr">
        <is>
          <t>SET</t>
        </is>
      </c>
      <c r="O8" s="2" t="inlineStr">
        <is>
          <t>Personalized American Flag Football Comforter displayed on a bed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["seo_runs\\jeminise.com\\20260906_234129\\evidence\\images\\62_custom-football-close-up-on-american-flag-comforter-039b2d7dd4-039b2d7dd4\\image_01_47540197982407.jpg;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"https://cdn.shopify.com/s/files/1/0792/5098/1063/files/1ce63baff5dac37aac0443db6cfd7edb9f71788a1cb5c5a0cfd1a3c5c9f1dbbc.jpg?v=1785100885"]</t>
        </is>
      </c>
    </row>
    <row r="9" ht="66" customHeight="1">
      <c r="A9" s="3" t="inlineStr">
        <is>
          <t>jeminise.com+custom-football-close-up-on-american-flag-comforter-039b2d7dd4-039b2d7dd4</t>
        </is>
      </c>
      <c r="B9" s="3" t="inlineStr">
        <is>
          <t>qaimg_177da92151a242a8</t>
        </is>
      </c>
      <c r="C9" s="4" t="inlineStr">
        <is>
          <t>https://cdn.shopify.com/s/files/1/0792/5098/1063/files/c2405f1758d7fd79680d543c62d4cbdf14b4dc35687350d9224706053a6603ec.jpg?v=1785100885</t>
        </is>
      </c>
      <c r="D9" s="4" t="inlineStr">
        <is>
          <t>https://cdn.shopify.com/s/files/1/0792/5098/1063/files/c2405f1758d7fd79680d543c62d4cbdf14b4dc35687350d9224706053a6603ec.jpg?v=1785100885</t>
        </is>
      </c>
      <c r="E9" s="3" t="inlineStr">
        <is>
          <t>38506758373575</t>
        </is>
      </c>
      <c r="F9" s="3" t="inlineStr">
        <is>
          <t>47540198015175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2026-09-07T17:06:29.516037+07:00</t>
        </is>
      </c>
      <c r="K9" s="3" t="inlineStr">
        <is>
          <t>Second bedroom mockup of close football over a distressed American flag with sample name JOHN and number 15.</t>
        </is>
      </c>
      <c r="L9" s="3" t="inlineStr">
        <is>
          <t>Angled bedroom mockup showing personalized American flag football comforter with John and number 15.</t>
        </is>
      </c>
      <c r="M9" s="3" t="inlineStr">
        <is>
          <t>Custom Football Close Up on American Flag Comforter</t>
        </is>
      </c>
      <c r="N9" s="3" t="inlineStr">
        <is>
          <t>SET</t>
        </is>
      </c>
      <c r="O9" s="3" t="inlineStr">
        <is>
          <t>Angled bedroom view of Personalized American Flag Football Comforter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["seo_runs\\jeminise.com\\20260906_234129\\evidence\\images\\62_custom-football-close-up-on-american-flag-comforter-039b2d7dd4-039b2d7dd4\\image_02_47540198015175.jpg;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"https://cdn.shopify.com/s/files/1/0792/5098/1063/files/c2405f1758d7fd79680d543c62d4cbdf14b4dc35687350d9224706053a6603ec.jpg?v=1785100885"]</t>
        </is>
      </c>
    </row>
    <row r="10" ht="66" customHeight="1">
      <c r="A10" s="2" t="inlineStr">
        <is>
          <t>jeminise.com+custom-football-close-up-on-american-flag-comforter-039b2d7dd4-039b2d7dd4</t>
        </is>
      </c>
      <c r="B10" s="2" t="inlineStr">
        <is>
          <t>qaimg_ba46af231508dcd9</t>
        </is>
      </c>
      <c r="C10" s="4" t="inlineStr">
        <is>
          <t>https://cdn.shopify.com/s/files/1/0792/5098/1063/files/16f7293cbefa5743a35b2e6316a5a114e5c052d08151e367dafd26aa5e2e542b_0b89ab1f-ea4c-49df-8c06-0677dcaabc28.jpg?v=1785100885</t>
        </is>
      </c>
      <c r="D10" s="4" t="inlineStr">
        <is>
          <t>https://cdn.shopify.com/s/files/1/0792/5098/1063/files/16f7293cbefa5743a35b2e6316a5a114e5c052d08151e367dafd26aa5e2e542b_0b89ab1f-ea4c-49df-8c06-0677dcaabc28.jpg?v=1785100885</t>
        </is>
      </c>
      <c r="E10" s="2" t="inlineStr">
        <is>
          <t>38506758406343</t>
        </is>
      </c>
      <c r="F10" s="2" t="inlineStr">
        <is>
          <t>47540198047943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2026-09-07T17:06:29.516037+07:00</t>
        </is>
      </c>
      <c r="K10" s="2" t="inlineStr">
        <is>
          <t>Product-type comparison explaining that a duvet cover needs an insert while a comforter includes filling.</t>
        </is>
      </c>
      <c r="L10" s="2" t="inlineStr">
        <is>
          <t>Bedding type comparison for duvet cover set versus comforter set.</t>
        </is>
      </c>
      <c r="M10" s="2" t="inlineStr">
        <is>
          <t>Custom Football Close Up on American Flag Comforter</t>
        </is>
      </c>
      <c r="N10" s="2" t="inlineStr">
        <is>
          <t>SET</t>
        </is>
      </c>
      <c r="O10" s="2" t="inlineStr">
        <is>
          <t>Duvet cover and comforter option guide for Personalized American Flag Football Comforter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["seo_runs\\jeminise.com\\20260906_234129\\evidence\\images\\62_custom-football-close-up-on-american-flag-comforter-039b2d7dd4-039b2d7dd4\\image_03_47540198047943.jpg;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"https://cdn.shopify.com/s/files/1/0792/5098/1063/files/16f7293cbefa5743a35b2e6316a5a114e5c052d08151e367dafd26aa5e2e542b_0b89ab1f-ea4c-49df-8c06-0677dcaabc28.jpg?v=1785100885"]</t>
        </is>
      </c>
    </row>
    <row r="11" ht="66" customHeight="1">
      <c r="A11" s="3" t="inlineStr">
        <is>
          <t>jeminise.com+custom-football-close-up-on-american-flag-comforter-039b2d7dd4-039b2d7dd4</t>
        </is>
      </c>
      <c r="B11" s="3" t="inlineStr">
        <is>
          <t>qaimg_3d8129f3cd11cce3</t>
        </is>
      </c>
      <c r="C11" s="4" t="inlineStr">
        <is>
          <t>https://cdn.shopify.com/s/files/1/0792/5098/1063/files/4914bbcfdaf08892e103dca112bcdb6b7b8b3ab540022b5045397fa0aaef491b.jpg?v=1785100885</t>
        </is>
      </c>
      <c r="D11" s="4" t="inlineStr">
        <is>
          <t>https://cdn.shopify.com/s/files/1/0792/5098/1063/files/4914bbcfdaf08892e103dca112bcdb6b7b8b3ab540022b5045397fa0aaef491b.jpg?v=1785100885</t>
        </is>
      </c>
      <c r="E11" s="3" t="inlineStr">
        <is>
          <t>38506758439111</t>
        </is>
      </c>
      <c r="F11" s="3" t="inlineStr">
        <is>
          <t>47540198080711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2026-09-07T17:06:29.516037+07:00</t>
        </is>
      </c>
      <c r="K11" s="3" t="inlineStr">
        <is>
          <t>Close bedroom feature panel for close football over a distressed American flag with sample name JOHN and number 15, marked soft, lightweight, durable and breathable.</t>
        </is>
      </c>
      <c r="L11" s="3" t="inlineStr">
        <is>
          <t>Close room/detail image with softness, lightweight, durable and breathable icons for personalized American flag football comforter with John and number 15.</t>
        </is>
      </c>
      <c r="M11" s="3" t="inlineStr">
        <is>
          <t>Custom Football Close Up on American Flag Comforter</t>
        </is>
      </c>
      <c r="N11" s="3" t="inlineStr">
        <is>
          <t>SET</t>
        </is>
      </c>
      <c r="O11" s="3" t="inlineStr">
        <is>
          <t>Close-up bedroom detail of Personalized American Flag Football Comforter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PARTIAL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["ISS-062-IMG-04"]</t>
        </is>
      </c>
      <c r="Z11" s="3" t="inlineStr">
        <is>
          <t>["seo_runs\\jeminise.com\\20260906_234129\\evidence\\images\\62_custom-football-close-up-on-american-flag-comforter-039b2d7dd4-039b2d7dd4\\image_04_47540198080711.jpg;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"https://cdn.shopify.com/s/files/1/0792/5098/1063/files/4914bbcfdaf08892e103dca112bcdb6b7b8b3ab540022b5045397fa0aaef491b.jpg?v=1785100885"]</t>
        </is>
      </c>
    </row>
    <row r="12" ht="66" customHeight="1">
      <c r="A12" s="2" t="inlineStr">
        <is>
          <t>jeminise.com+custom-football-close-up-on-american-flag-comforter-039b2d7dd4-039b2d7dd4</t>
        </is>
      </c>
      <c r="B12" s="2" t="inlineStr">
        <is>
          <t>qaimg_3aa5fa285b525153</t>
        </is>
      </c>
      <c r="C12" s="4" t="inlineStr">
        <is>
          <t>https://cdn.shopify.com/s/files/1/0792/5098/1063/files/7c006bddc94d4763c71c8376307e195c1bbce73b8c802ec73ac5a8cef1291262_d7ab3e47-c076-48c6-b457-e9f15c052795.jpg?v=1785100885</t>
        </is>
      </c>
      <c r="D12" s="4" t="inlineStr">
        <is>
          <t>https://cdn.shopify.com/s/files/1/0792/5098/1063/files/7c006bddc94d4763c71c8376307e195c1bbce73b8c802ec73ac5a8cef1291262_d7ab3e47-c076-48c6-b457-e9f15c052795.jpg?v=1785100885</t>
        </is>
      </c>
      <c r="E12" s="2" t="inlineStr">
        <is>
          <t>38506758471879</t>
        </is>
      </c>
      <c r="F12" s="2" t="inlineStr">
        <is>
          <t>47540198113479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2026-09-07T17:06:29.516037+07:00</t>
        </is>
      </c>
      <c r="K12" s="2" t="inlineStr">
        <is>
          <t>Easy-care panel marked wrinkle-free, stain-proof, anti-pilling and resistant to fading in the wash.</t>
        </is>
      </c>
      <c r="L12" s="2" t="inlineStr">
        <is>
          <t>Stress-free easy-care image listing wrinkle-free, stain-proof, anti-pilling and wash-fade resistance.</t>
        </is>
      </c>
      <c r="M12" s="2" t="inlineStr">
        <is>
          <t>Custom Football Close Up on American Flag Comforter</t>
        </is>
      </c>
      <c r="N12" s="2" t="inlineStr">
        <is>
          <t>SET</t>
        </is>
      </c>
      <c r="O12" s="2" t="inlineStr">
        <is>
          <t>Easy care information for Personalized American Flag Football Comforter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["seo_runs\\jeminise.com\\20260906_234129\\evidence\\images\\62_custom-football-close-up-on-american-flag-comforter-039b2d7dd4-039b2d7dd4\\image_05_47540198113479.jpg;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"https://cdn.shopify.com/s/files/1/0792/5098/1063/files/7c006bddc94d4763c71c8376307e195c1bbce73b8c802ec73ac5a8cef1291262_d7ab3e47-c076-48c6-b457-e9f15c052795.jpg?v=1785100885"]</t>
        </is>
      </c>
    </row>
    <row r="13" ht="66" customHeight="1">
      <c r="A13" s="3" t="inlineStr">
        <is>
          <t>jeminise.com+custom-football-close-up-on-american-flag-comforter-039b2d7dd4-039b2d7dd4</t>
        </is>
      </c>
      <c r="B13" s="3" t="inlineStr">
        <is>
          <t>qaimg_9aa4f49450272149</t>
        </is>
      </c>
      <c r="C13" s="4" t="inlineStr">
        <is>
          <t>https://cdn.shopify.com/s/files/1/0792/5098/1063/files/e5cad84edb4d7bf77c48fd7c8e52eb3b73f04eba8bf177671fd8a059c59422e8_5e56dc4e-55df-439c-8abe-942360549f85.jpg?v=1785100885</t>
        </is>
      </c>
      <c r="D13" s="4" t="inlineStr">
        <is>
          <t>https://cdn.shopify.com/s/files/1/0792/5098/1063/files/e5cad84edb4d7bf77c48fd7c8e52eb3b73f04eba8bf177671fd8a059c59422e8_5e56dc4e-55df-439c-8abe-942360549f85.jpg?v=1785100885</t>
        </is>
      </c>
      <c r="E13" s="3" t="inlineStr">
        <is>
          <t>38506758504647</t>
        </is>
      </c>
      <c r="F13" s="3" t="inlineStr">
        <is>
          <t>47540198146247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2026-09-07T17:06:29.516037+07:00</t>
        </is>
      </c>
      <c r="K13" s="3" t="inlineStr">
        <is>
          <t>Comforter size-dimension chart for Twin 68x86, Full 79x90, Queen 90x90 and King 90x104 inches.</t>
        </is>
      </c>
      <c r="L13" s="3" t="inlineStr">
        <is>
          <t>Size dimension guide for twin, full, queen and king comforter options.</t>
        </is>
      </c>
      <c r="M13" s="3" t="inlineStr">
        <is>
          <t>Custom Football Close Up on American Flag Comforter</t>
        </is>
      </c>
      <c r="N13" s="3" t="inlineStr">
        <is>
          <t>SET</t>
        </is>
      </c>
      <c r="O13" s="3" t="inlineStr">
        <is>
          <t>Size dimension guide for Personalized American Flag Football Comforter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["seo_runs\\jeminise.com\\20260906_234129\\evidence\\images\\62_custom-football-close-up-on-american-flag-comforter-039b2d7dd4-039b2d7dd4\\image_06_47540198146247.jpg; seo_runs\\jeminise.com\\20260906_234129\\evidence\\contact_sheets\\62_custom-football-close-up-on-american-flag-comforter-039b2d7dd4-039b2d7dd4.jpg", "https://jeminise.com/products/custom-football-close-up-on-american-flag-comforter-039b2d7dd4-039b2d7dd4", "https://cdn.shopify.com/s/files/1/0792/5098/1063/files/e5cad84edb4d7bf77c48fd7c8e52eb3b73f04eba8bf177671fd8a059c59422e8_5e56dc4e-55df-439c-8abe-942360549f85.jpg?v=1785100885"]</t>
        </is>
      </c>
    </row>
    <row r="14" ht="66" customHeight="1">
      <c r="A14" s="2" t="inlineStr">
        <is>
          <t>jeminise.com+custom-football-engulfed-in-flames-and-lightning-comforter-902ce338f4-902ce338f4</t>
        </is>
      </c>
      <c r="B14" s="2" t="inlineStr">
        <is>
          <t>qaimg_c520a6e63c495595</t>
        </is>
      </c>
      <c r="C14" s="4" t="inlineStr">
        <is>
          <t>https://cdn.shopify.com/s/files/1/0792/5098/1063/files/92d4facb8391174bdcd6943c4c88fcd1c1680fa071da41e7b31d86da0c093d14.jpg?v=1785101008</t>
        </is>
      </c>
      <c r="D14" s="4" t="inlineStr">
        <is>
          <t>https://cdn.shopify.com/s/files/1/0792/5098/1063/files/92d4facb8391174bdcd6943c4c88fcd1c1680fa071da41e7b31d86da0c093d14.jpg?v=1785101008</t>
        </is>
      </c>
      <c r="E14" s="2" t="inlineStr">
        <is>
          <t>38506771415239</t>
        </is>
      </c>
      <c r="F14" s="2" t="inlineStr">
        <is>
          <t>47540211056839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2026-09-07T17:06:29.516037+07:00</t>
        </is>
      </c>
      <c r="K14" s="2" t="inlineStr">
        <is>
          <t>Front bedroom mockup of football surrounded by orange flames, blue smoke and lightning with sample name ANDREW and number 33.</t>
        </is>
      </c>
      <c r="L14" s="2" t="inlineStr">
        <is>
          <t>Main bed mockup showing personalized flaming lightning football comforter with Andrew and number 33.</t>
        </is>
      </c>
      <c r="M14" s="2" t="inlineStr">
        <is>
          <t>Custom Football Engulfed in Flames and Lightning Comforter</t>
        </is>
      </c>
      <c r="N14" s="2" t="inlineStr">
        <is>
          <t>SET</t>
        </is>
      </c>
      <c r="O14" s="2" t="inlineStr">
        <is>
          <t>Personalized Flaming Lightning Football Comforter displayed on a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["seo_runs\\jeminise.com\\20260906_234129\\evidence\\images\\63_custom-football-engulfed-in-flames-and-lightning-comforter-902ce338f4-902ce338f4\\image_01_47540211056839.jpg;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"https://cdn.shopify.com/s/files/1/0792/5098/1063/files/92d4facb8391174bdcd6943c4c88fcd1c1680fa071da41e7b31d86da0c093d14.jpg?v=1785101008"]</t>
        </is>
      </c>
    </row>
    <row r="15" ht="66" customHeight="1">
      <c r="A15" s="3" t="inlineStr">
        <is>
          <t>jeminise.com+custom-football-engulfed-in-flames-and-lightning-comforter-902ce338f4-902ce338f4</t>
        </is>
      </c>
      <c r="B15" s="3" t="inlineStr">
        <is>
          <t>qaimg_36a1f90b56169334</t>
        </is>
      </c>
      <c r="C15" s="4" t="inlineStr">
        <is>
          <t>https://cdn.shopify.com/s/files/1/0792/5098/1063/files/9fe3a6e480d0f0317a5ccf9612cb427f2ddd048d738b857530837994ff285bc1.jpg?v=1785101009</t>
        </is>
      </c>
      <c r="D15" s="4" t="inlineStr">
        <is>
          <t>https://cdn.shopify.com/s/files/1/0792/5098/1063/files/9fe3a6e480d0f0317a5ccf9612cb427f2ddd048d738b857530837994ff285bc1.jpg?v=1785101009</t>
        </is>
      </c>
      <c r="E15" s="3" t="inlineStr">
        <is>
          <t>38506771448007</t>
        </is>
      </c>
      <c r="F15" s="3" t="inlineStr">
        <is>
          <t>47540211089607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2026-09-07T17:06:29.516037+07:00</t>
        </is>
      </c>
      <c r="K15" s="3" t="inlineStr">
        <is>
          <t>Second bedroom mockup of football surrounded by orange flames, blue smoke and lightning with sample name ANDREW and number 33.</t>
        </is>
      </c>
      <c r="L15" s="3" t="inlineStr">
        <is>
          <t>Angled bedroom mockup showing personalized flaming lightning football comforter with Andrew and number 33.</t>
        </is>
      </c>
      <c r="M15" s="3" t="inlineStr">
        <is>
          <t>Custom Football Engulfed in Flames and Lightning Comforter</t>
        </is>
      </c>
      <c r="N15" s="3" t="inlineStr">
        <is>
          <t>SET</t>
        </is>
      </c>
      <c r="O15" s="3" t="inlineStr">
        <is>
          <t>Angled bedroom view of Personalized Flaming Lightning Football Comforter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["seo_runs\\jeminise.com\\20260906_234129\\evidence\\images\\63_custom-football-engulfed-in-flames-and-lightning-comforter-902ce338f4-902ce338f4\\image_02_47540211089607.jpg;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"https://cdn.shopify.com/s/files/1/0792/5098/1063/files/9fe3a6e480d0f0317a5ccf9612cb427f2ddd048d738b857530837994ff285bc1.jpg?v=1785101009"]</t>
        </is>
      </c>
    </row>
    <row r="16" ht="66" customHeight="1">
      <c r="A16" s="2" t="inlineStr">
        <is>
          <t>jeminise.com+custom-football-engulfed-in-flames-and-lightning-comforter-902ce338f4-902ce338f4</t>
        </is>
      </c>
      <c r="B16" s="2" t="inlineStr">
        <is>
          <t>qaimg_23eadfe125b2b4cc</t>
        </is>
      </c>
      <c r="C16" s="4" t="inlineStr">
        <is>
          <t>https://cdn.shopify.com/s/files/1/0792/5098/1063/files/16f7293cbefa5743a35b2e6316a5a114e5c052d08151e367dafd26aa5e2e542b_4b75df23-7936-40ad-82f9-1f31849671f1.jpg?v=1785101008</t>
        </is>
      </c>
      <c r="D16" s="4" t="inlineStr">
        <is>
          <t>https://cdn.shopify.com/s/files/1/0792/5098/1063/files/16f7293cbefa5743a35b2e6316a5a114e5c052d08151e367dafd26aa5e2e542b_4b75df23-7936-40ad-82f9-1f31849671f1.jpg?v=1785101008</t>
        </is>
      </c>
      <c r="E16" s="2" t="inlineStr">
        <is>
          <t>38506771480775</t>
        </is>
      </c>
      <c r="F16" s="2" t="inlineStr">
        <is>
          <t>47540211122375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2026-09-07T17:06:29.516037+07:00</t>
        </is>
      </c>
      <c r="K16" s="2" t="inlineStr">
        <is>
          <t>Product-type comparison explaining that a duvet cover needs an insert while a comforter includes filling.</t>
        </is>
      </c>
      <c r="L16" s="2" t="inlineStr">
        <is>
          <t>Bedding type comparison for duvet cover set versus comforter set.</t>
        </is>
      </c>
      <c r="M16" s="2" t="inlineStr">
        <is>
          <t>Custom Football Engulfed in Flames and Lightning Comforter</t>
        </is>
      </c>
      <c r="N16" s="2" t="inlineStr">
        <is>
          <t>SET</t>
        </is>
      </c>
      <c r="O16" s="2" t="inlineStr">
        <is>
          <t>Duvet cover and comforter option guide for Personalized Flaming Lightning Football Comforter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["seo_runs\\jeminise.com\\20260906_234129\\evidence\\images\\63_custom-football-engulfed-in-flames-and-lightning-comforter-902ce338f4-902ce338f4\\image_03_47540211122375.jpg;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"https://cdn.shopify.com/s/files/1/0792/5098/1063/files/16f7293cbefa5743a35b2e6316a5a114e5c052d08151e367dafd26aa5e2e542b_4b75df23-7936-40ad-82f9-1f31849671f1.jpg?v=1785101008"]</t>
        </is>
      </c>
    </row>
    <row r="17" ht="66" customHeight="1">
      <c r="A17" s="3" t="inlineStr">
        <is>
          <t>jeminise.com+custom-football-engulfed-in-flames-and-lightning-comforter-902ce338f4-902ce338f4</t>
        </is>
      </c>
      <c r="B17" s="3" t="inlineStr">
        <is>
          <t>qaimg_54ae38adb819cf88</t>
        </is>
      </c>
      <c r="C17" s="4" t="inlineStr">
        <is>
          <t>https://cdn.shopify.com/s/files/1/0792/5098/1063/files/472025069f76a31ff7444501d701bf6473cabc19817441bf6721ff10dfe71744.jpg?v=1785101009</t>
        </is>
      </c>
      <c r="D17" s="4" t="inlineStr">
        <is>
          <t>https://cdn.shopify.com/s/files/1/0792/5098/1063/files/472025069f76a31ff7444501d701bf6473cabc19817441bf6721ff10dfe71744.jpg?v=1785101009</t>
        </is>
      </c>
      <c r="E17" s="3" t="inlineStr">
        <is>
          <t>38506771513543</t>
        </is>
      </c>
      <c r="F17" s="3" t="inlineStr">
        <is>
          <t>47540211155143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2026-09-07T17:06:29.516037+07:00</t>
        </is>
      </c>
      <c r="K17" s="3" t="inlineStr">
        <is>
          <t>Close bedroom feature panel for football surrounded by orange flames, blue smoke and lightning with sample name ANDREW and number 33, marked soft, lightweight, durable and breathable.</t>
        </is>
      </c>
      <c r="L17" s="3" t="inlineStr">
        <is>
          <t>Close room/detail image with softness, lightweight, durable and breathable icons for personalized flaming lightning football comforter with Andrew and number 33.</t>
        </is>
      </c>
      <c r="M17" s="3" t="inlineStr">
        <is>
          <t>Custom Football Engulfed in Flames and Lightning Comforter</t>
        </is>
      </c>
      <c r="N17" s="3" t="inlineStr">
        <is>
          <t>SET</t>
        </is>
      </c>
      <c r="O17" s="3" t="inlineStr">
        <is>
          <t>Close-up bedroom detail of Personalized Flaming Lightning Football Comforter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PARTIAL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["ISS-063-IMG-04"]</t>
        </is>
      </c>
      <c r="Z17" s="3" t="inlineStr">
        <is>
          <t>["seo_runs\\jeminise.com\\20260906_234129\\evidence\\images\\63_custom-football-engulfed-in-flames-and-lightning-comforter-902ce338f4-902ce338f4\\image_04_47540211155143.jpg;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"https://cdn.shopify.com/s/files/1/0792/5098/1063/files/472025069f76a31ff7444501d701bf6473cabc19817441bf6721ff10dfe71744.jpg?v=1785101009"]</t>
        </is>
      </c>
    </row>
    <row r="18" ht="66" customHeight="1">
      <c r="A18" s="2" t="inlineStr">
        <is>
          <t>jeminise.com+custom-football-engulfed-in-flames-and-lightning-comforter-902ce338f4-902ce338f4</t>
        </is>
      </c>
      <c r="B18" s="2" t="inlineStr">
        <is>
          <t>qaimg_3ab3e5413f20fae2</t>
        </is>
      </c>
      <c r="C18" s="4" t="inlineStr">
        <is>
          <t>https://cdn.shopify.com/s/files/1/0792/5098/1063/files/7c006bddc94d4763c71c8376307e195c1bbce73b8c802ec73ac5a8cef1291262_d348b2ff-7e31-4742-9223-00b0f638719b.jpg?v=1785101009</t>
        </is>
      </c>
      <c r="D18" s="4" t="inlineStr">
        <is>
          <t>https://cdn.shopify.com/s/files/1/0792/5098/1063/files/7c006bddc94d4763c71c8376307e195c1bbce73b8c802ec73ac5a8cef1291262_d348b2ff-7e31-4742-9223-00b0f638719b.jpg?v=1785101009</t>
        </is>
      </c>
      <c r="E18" s="2" t="inlineStr">
        <is>
          <t>38506771546311</t>
        </is>
      </c>
      <c r="F18" s="2" t="inlineStr">
        <is>
          <t>47540211187911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2026-09-07T17:06:29.516037+07:00</t>
        </is>
      </c>
      <c r="K18" s="2" t="inlineStr">
        <is>
          <t>Easy-care panel marked wrinkle-free, stain-proof, anti-pilling and resistant to fading in the wash.</t>
        </is>
      </c>
      <c r="L18" s="2" t="inlineStr">
        <is>
          <t>Stress-free easy-care image listing wrinkle-free, stain-proof, anti-pilling and wash-fade resistance.</t>
        </is>
      </c>
      <c r="M18" s="2" t="inlineStr">
        <is>
          <t>Custom Football Engulfed in Flames and Lightning Comforter</t>
        </is>
      </c>
      <c r="N18" s="2" t="inlineStr">
        <is>
          <t>SET</t>
        </is>
      </c>
      <c r="O18" s="2" t="inlineStr">
        <is>
          <t>Easy care information for Personalized Flaming Lightning Football Comforter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["seo_runs\\jeminise.com\\20260906_234129\\evidence\\images\\63_custom-football-engulfed-in-flames-and-lightning-comforter-902ce338f4-902ce338f4\\image_05_47540211187911.jpg;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"https://cdn.shopify.com/s/files/1/0792/5098/1063/files/7c006bddc94d4763c71c8376307e195c1bbce73b8c802ec73ac5a8cef1291262_d348b2ff-7e31-4742-9223-00b0f638719b.jpg?v=1785101009"]</t>
        </is>
      </c>
    </row>
    <row r="19" ht="66" customHeight="1">
      <c r="A19" s="3" t="inlineStr">
        <is>
          <t>jeminise.com+custom-football-engulfed-in-flames-and-lightning-comforter-902ce338f4-902ce338f4</t>
        </is>
      </c>
      <c r="B19" s="3" t="inlineStr">
        <is>
          <t>qaimg_8f3b05d98752a94b</t>
        </is>
      </c>
      <c r="C19" s="4" t="inlineStr">
        <is>
          <t>https://cdn.shopify.com/s/files/1/0792/5098/1063/files/e5cad84edb4d7bf77c48fd7c8e52eb3b73f04eba8bf177671fd8a059c59422e8_a228f399-5e3f-4db2-9e0a-60b45966316e.jpg?v=1785101009</t>
        </is>
      </c>
      <c r="D19" s="4" t="inlineStr">
        <is>
          <t>https://cdn.shopify.com/s/files/1/0792/5098/1063/files/e5cad84edb4d7bf77c48fd7c8e52eb3b73f04eba8bf177671fd8a059c59422e8_a228f399-5e3f-4db2-9e0a-60b45966316e.jpg?v=1785101009</t>
        </is>
      </c>
      <c r="E19" s="3" t="inlineStr">
        <is>
          <t>38506771579079</t>
        </is>
      </c>
      <c r="F19" s="3" t="inlineStr">
        <is>
          <t>47540211220679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2026-09-07T17:06:29.516037+07:00</t>
        </is>
      </c>
      <c r="K19" s="3" t="inlineStr">
        <is>
          <t>Comforter size-dimension chart for Twin 68x86, Full 79x90, Queen 90x90 and King 90x104 inches.</t>
        </is>
      </c>
      <c r="L19" s="3" t="inlineStr">
        <is>
          <t>Size dimension guide for twin, full, queen and king comforter options.</t>
        </is>
      </c>
      <c r="M19" s="3" t="inlineStr">
        <is>
          <t>Custom Football Engulfed in Flames and Lightning Comforter</t>
        </is>
      </c>
      <c r="N19" s="3" t="inlineStr">
        <is>
          <t>SET</t>
        </is>
      </c>
      <c r="O19" s="3" t="inlineStr">
        <is>
          <t>Size dimension guide for Personalized Flaming Lightning Football Comforter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["seo_runs\\jeminise.com\\20260906_234129\\evidence\\images\\63_custom-football-engulfed-in-flames-and-lightning-comforter-902ce338f4-902ce338f4\\image_06_47540211220679.jpg; seo_runs\\jeminise.com\\20260906_234129\\evidence\\contact_sheets\\63_custom-football-engulfed-in-flames-and-lightning-comforter-902ce338f4-902ce338f4.jpg", "https://jeminise.com/products/custom-football-engulfed-in-flames-and-lightning-comforter-902ce338f4-902ce338f4", "https://cdn.shopify.com/s/files/1/0792/5098/1063/files/e5cad84edb4d7bf77c48fd7c8e52eb3b73f04eba8bf177671fd8a059c59422e8_a228f399-5e3f-4db2-9e0a-60b45966316e.jpg?v=1785101009"]</t>
        </is>
      </c>
    </row>
    <row r="20" ht="66" customHeight="1">
      <c r="A20" s="2" t="inlineStr">
        <is>
          <t>jeminise.com+custom-football-helmet-on-american-flag-vintage-comforter-43f12dbb8d-43f12dbb8d</t>
        </is>
      </c>
      <c r="B20" s="2" t="inlineStr">
        <is>
          <t>qaimg_57bba0f5e24af22c</t>
        </is>
      </c>
      <c r="C20" s="4" t="inlineStr">
        <is>
          <t>https://cdn.shopify.com/s/files/1/0792/5098/1063/files/b723498d2ddba3665cd0b02ca579bcb97ac6f009301f4d95ca0c9859f96a6c98.jpg?v=1785101596</t>
        </is>
      </c>
      <c r="D20" s="4" t="inlineStr">
        <is>
          <t>https://cdn.shopify.com/s/files/1/0792/5098/1063/files/b723498d2ddba3665cd0b02ca579bcb97ac6f009301f4d95ca0c9859f96a6c98.jpg?v=1785101596</t>
        </is>
      </c>
      <c r="E20" s="2" t="inlineStr">
        <is>
          <t>38506837082311</t>
        </is>
      </c>
      <c r="F20" s="2" t="inlineStr">
        <is>
          <t>47540276756679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2026-09-07T17:06:29.516037+07:00</t>
        </is>
      </c>
      <c r="K20" s="2" t="inlineStr">
        <is>
          <t>Front bedroom mockup of red football helmet over a vintage American flag with sample name John and number 8.</t>
        </is>
      </c>
      <c r="L20" s="2" t="inlineStr">
        <is>
          <t>Main bed mockup showing personalized football helmet American flag comforter with John and number 8.</t>
        </is>
      </c>
      <c r="M20" s="2" t="inlineStr">
        <is>
          <t>Custom Football Helmet on American Flag Vintage Comforter</t>
        </is>
      </c>
      <c r="N20" s="2" t="inlineStr">
        <is>
          <t>SET</t>
        </is>
      </c>
      <c r="O20" s="2" t="inlineStr">
        <is>
          <t>Personalized Football Helmet Flag Comforter displayed on a bed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["seo_runs\\jeminise.com\\20260906_234129\\evidence\\images\\64_custom-football-helmet-on-american-flag-vintage-comforter-43f12dbb8d-43f12dbb8d\\image_01_47540276756679.jpg;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"https://cdn.shopify.com/s/files/1/0792/5098/1063/files/b723498d2ddba3665cd0b02ca579bcb97ac6f009301f4d95ca0c9859f96a6c98.jpg?v=1785101596"]</t>
        </is>
      </c>
    </row>
    <row r="21" ht="66" customHeight="1">
      <c r="A21" s="3" t="inlineStr">
        <is>
          <t>jeminise.com+custom-football-helmet-on-american-flag-vintage-comforter-43f12dbb8d-43f12dbb8d</t>
        </is>
      </c>
      <c r="B21" s="3" t="inlineStr">
        <is>
          <t>qaimg_a2b9e30ca2e4eb36</t>
        </is>
      </c>
      <c r="C21" s="4" t="inlineStr">
        <is>
          <t>https://cdn.shopify.com/s/files/1/0792/5098/1063/files/023b0b27e9319c36b7aed2f0c8160a06f9a4bf49047320802c4da5230e5f5bd5.jpg?v=1785101596</t>
        </is>
      </c>
      <c r="D21" s="4" t="inlineStr">
        <is>
          <t>https://cdn.shopify.com/s/files/1/0792/5098/1063/files/023b0b27e9319c36b7aed2f0c8160a06f9a4bf49047320802c4da5230e5f5bd5.jpg?v=1785101596</t>
        </is>
      </c>
      <c r="E21" s="3" t="inlineStr">
        <is>
          <t>38506837115079</t>
        </is>
      </c>
      <c r="F21" s="3" t="inlineStr">
        <is>
          <t>47540276789447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2026-09-07T17:06:29.516037+07:00</t>
        </is>
      </c>
      <c r="K21" s="3" t="inlineStr">
        <is>
          <t>Second bedroom mockup of red football helmet over a vintage American flag with sample name John and number 8.</t>
        </is>
      </c>
      <c r="L21" s="3" t="inlineStr">
        <is>
          <t>Angled bedroom mockup showing personalized football helmet American flag comforter with John and number 8.</t>
        </is>
      </c>
      <c r="M21" s="3" t="inlineStr">
        <is>
          <t>Custom Football Helmet on American Flag Vintage Comforter</t>
        </is>
      </c>
      <c r="N21" s="3" t="inlineStr">
        <is>
          <t>SET</t>
        </is>
      </c>
      <c r="O21" s="3" t="inlineStr">
        <is>
          <t>Angled bedroom view of Personalized Football Helmet Flag Comforter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["seo_runs\\jeminise.com\\20260906_234129\\evidence\\images\\64_custom-football-helmet-on-american-flag-vintage-comforter-43f12dbb8d-43f12dbb8d\\image_02_47540276789447.jpg;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"https://cdn.shopify.com/s/files/1/0792/5098/1063/files/023b0b27e9319c36b7aed2f0c8160a06f9a4bf49047320802c4da5230e5f5bd5.jpg?v=1785101596"]</t>
        </is>
      </c>
    </row>
    <row r="22" ht="66" customHeight="1">
      <c r="A22" s="2" t="inlineStr">
        <is>
          <t>jeminise.com+custom-football-helmet-on-american-flag-vintage-comforter-43f12dbb8d-43f12dbb8d</t>
        </is>
      </c>
      <c r="B22" s="2" t="inlineStr">
        <is>
          <t>qaimg_fdcc56dbe5c1c066</t>
        </is>
      </c>
      <c r="C22" s="4" t="inlineStr">
        <is>
          <t>https://cdn.shopify.com/s/files/1/0792/5098/1063/files/16f7293cbefa5743a35b2e6316a5a114e5c052d08151e367dafd26aa5e2e542b_b5e11b82-bb88-4405-b39a-ada9a0bb2e32.jpg?v=1785101596</t>
        </is>
      </c>
      <c r="D22" s="4" t="inlineStr">
        <is>
          <t>https://cdn.shopify.com/s/files/1/0792/5098/1063/files/16f7293cbefa5743a35b2e6316a5a114e5c052d08151e367dafd26aa5e2e542b_b5e11b82-bb88-4405-b39a-ada9a0bb2e32.jpg?v=1785101596</t>
        </is>
      </c>
      <c r="E22" s="2" t="inlineStr">
        <is>
          <t>38506837147847</t>
        </is>
      </c>
      <c r="F22" s="2" t="inlineStr">
        <is>
          <t>47540276822215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2026-09-07T17:06:29.516037+07:00</t>
        </is>
      </c>
      <c r="K22" s="2" t="inlineStr">
        <is>
          <t>Product-type comparison explaining that a duvet cover needs an insert while a comforter includes filling.</t>
        </is>
      </c>
      <c r="L22" s="2" t="inlineStr">
        <is>
          <t>Bedding type comparison for duvet cover set versus comforter set.</t>
        </is>
      </c>
      <c r="M22" s="2" t="inlineStr">
        <is>
          <t>Custom Football Helmet on American Flag Vintage Comforter</t>
        </is>
      </c>
      <c r="N22" s="2" t="inlineStr">
        <is>
          <t>SET</t>
        </is>
      </c>
      <c r="O22" s="2" t="inlineStr">
        <is>
          <t>Duvet cover and comforter option guide for Personalized Football Helmet Flag Comforter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["seo_runs\\jeminise.com\\20260906_234129\\evidence\\images\\64_custom-football-helmet-on-american-flag-vintage-comforter-43f12dbb8d-43f12dbb8d\\image_03_47540276822215.jpg;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"https://cdn.shopify.com/s/files/1/0792/5098/1063/files/16f7293cbefa5743a35b2e6316a5a114e5c052d08151e367dafd26aa5e2e542b_b5e11b82-bb88-4405-b39a-ada9a0bb2e32.jpg?v=1785101596"]</t>
        </is>
      </c>
    </row>
    <row r="23" ht="66" customHeight="1">
      <c r="A23" s="3" t="inlineStr">
        <is>
          <t>jeminise.com+custom-football-helmet-on-american-flag-vintage-comforter-43f12dbb8d-43f12dbb8d</t>
        </is>
      </c>
      <c r="B23" s="3" t="inlineStr">
        <is>
          <t>qaimg_d4dfb73a580e738a</t>
        </is>
      </c>
      <c r="C23" s="4" t="inlineStr">
        <is>
          <t>https://cdn.shopify.com/s/files/1/0792/5098/1063/files/6bc11555d1931f7b7f41ec9ee898ee629ba47c12d6e402dc3242ed8969abc9e8.jpg?v=1785101596</t>
        </is>
      </c>
      <c r="D23" s="4" t="inlineStr">
        <is>
          <t>https://cdn.shopify.com/s/files/1/0792/5098/1063/files/6bc11555d1931f7b7f41ec9ee898ee629ba47c12d6e402dc3242ed8969abc9e8.jpg?v=1785101596</t>
        </is>
      </c>
      <c r="E23" s="3" t="inlineStr">
        <is>
          <t>38506837180615</t>
        </is>
      </c>
      <c r="F23" s="3" t="inlineStr">
        <is>
          <t>47540276854983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2026-09-07T17:06:29.516037+07:00</t>
        </is>
      </c>
      <c r="K23" s="3" t="inlineStr">
        <is>
          <t>Close bedroom feature panel for red football helmet over a vintage American flag with sample name John and number 8, marked soft, lightweight, durable and breathable.</t>
        </is>
      </c>
      <c r="L23" s="3" t="inlineStr">
        <is>
          <t>Close room/detail image with softness, lightweight, durable and breathable icons for personalized football helmet American flag comforter with John and number 8.</t>
        </is>
      </c>
      <c r="M23" s="3" t="inlineStr">
        <is>
          <t>Custom Football Helmet on American Flag Vintage Comforter</t>
        </is>
      </c>
      <c r="N23" s="3" t="inlineStr">
        <is>
          <t>SET</t>
        </is>
      </c>
      <c r="O23" s="3" t="inlineStr">
        <is>
          <t>Close-up bedroom detail of Personalized Football Helmet Flag Comforter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PARTIAL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["ISS-064-IMG-04"]</t>
        </is>
      </c>
      <c r="Z23" s="3" t="inlineStr">
        <is>
          <t>["seo_runs\\jeminise.com\\20260906_234129\\evidence\\images\\64_custom-football-helmet-on-american-flag-vintage-comforter-43f12dbb8d-43f12dbb8d\\image_04_47540276854983.jpg;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"https://cdn.shopify.com/s/files/1/0792/5098/1063/files/6bc11555d1931f7b7f41ec9ee898ee629ba47c12d6e402dc3242ed8969abc9e8.jpg?v=1785101596"]</t>
        </is>
      </c>
    </row>
    <row r="24" ht="66" customHeight="1">
      <c r="A24" s="2" t="inlineStr">
        <is>
          <t>jeminise.com+custom-football-helmet-on-american-flag-vintage-comforter-43f12dbb8d-43f12dbb8d</t>
        </is>
      </c>
      <c r="B24" s="2" t="inlineStr">
        <is>
          <t>qaimg_a445e6c389d67cc7</t>
        </is>
      </c>
      <c r="C24" s="4" t="inlineStr">
        <is>
          <t>https://cdn.shopify.com/s/files/1/0792/5098/1063/files/7c006bddc94d4763c71c8376307e195c1bbce73b8c802ec73ac5a8cef1291262_bf065cc1-e675-45e4-b323-b95fd7078f3e.jpg?v=1785101596</t>
        </is>
      </c>
      <c r="D24" s="4" t="inlineStr">
        <is>
          <t>https://cdn.shopify.com/s/files/1/0792/5098/1063/files/7c006bddc94d4763c71c8376307e195c1bbce73b8c802ec73ac5a8cef1291262_bf065cc1-e675-45e4-b323-b95fd7078f3e.jpg?v=1785101596</t>
        </is>
      </c>
      <c r="E24" s="2" t="inlineStr">
        <is>
          <t>38506837213383</t>
        </is>
      </c>
      <c r="F24" s="2" t="inlineStr">
        <is>
          <t>47540276887751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2026-09-07T17:06:29.516037+07:00</t>
        </is>
      </c>
      <c r="K24" s="2" t="inlineStr">
        <is>
          <t>Easy-care panel marked wrinkle-free, stain-proof, anti-pilling and resistant to fading in the wash.</t>
        </is>
      </c>
      <c r="L24" s="2" t="inlineStr">
        <is>
          <t>Stress-free easy-care image listing wrinkle-free, stain-proof, anti-pilling and wash-fade resistance.</t>
        </is>
      </c>
      <c r="M24" s="2" t="inlineStr">
        <is>
          <t>Custom Football Helmet on American Flag Vintage Comforter</t>
        </is>
      </c>
      <c r="N24" s="2" t="inlineStr">
        <is>
          <t>SET</t>
        </is>
      </c>
      <c r="O24" s="2" t="inlineStr">
        <is>
          <t>Easy care information for Personalized Football Helmet Flag Comforter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["seo_runs\\jeminise.com\\20260906_234129\\evidence\\images\\64_custom-football-helmet-on-american-flag-vintage-comforter-43f12dbb8d-43f12dbb8d\\image_05_47540276887751.jpg;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"https://cdn.shopify.com/s/files/1/0792/5098/1063/files/7c006bddc94d4763c71c8376307e195c1bbce73b8c802ec73ac5a8cef1291262_bf065cc1-e675-45e4-b323-b95fd7078f3e.jpg?v=1785101596"]</t>
        </is>
      </c>
    </row>
    <row r="25" ht="66" customHeight="1">
      <c r="A25" s="3" t="inlineStr">
        <is>
          <t>jeminise.com+custom-football-helmet-on-american-flag-vintage-comforter-43f12dbb8d-43f12dbb8d</t>
        </is>
      </c>
      <c r="B25" s="3" t="inlineStr">
        <is>
          <t>qaimg_9685a8c40c0d96a7</t>
        </is>
      </c>
      <c r="C25" s="4" t="inlineStr">
        <is>
          <t>https://cdn.shopify.com/s/files/1/0792/5098/1063/files/e5cad84edb4d7bf77c48fd7c8e52eb3b73f04eba8bf177671fd8a059c59422e8_d3641c01-3457-40e5-85ec-e99f0bc7c8bf.jpg?v=1785101596</t>
        </is>
      </c>
      <c r="D25" s="4" t="inlineStr">
        <is>
          <t>https://cdn.shopify.com/s/files/1/0792/5098/1063/files/e5cad84edb4d7bf77c48fd7c8e52eb3b73f04eba8bf177671fd8a059c59422e8_d3641c01-3457-40e5-85ec-e99f0bc7c8bf.jpg?v=1785101596</t>
        </is>
      </c>
      <c r="E25" s="3" t="inlineStr">
        <is>
          <t>38506837246151</t>
        </is>
      </c>
      <c r="F25" s="3" t="inlineStr">
        <is>
          <t>47540276920519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2026-09-07T17:06:29.516037+07:00</t>
        </is>
      </c>
      <c r="K25" s="3" t="inlineStr">
        <is>
          <t>Comforter size-dimension chart for Twin 68x86, Full 79x90, Queen 90x90 and King 90x104 inches.</t>
        </is>
      </c>
      <c r="L25" s="3" t="inlineStr">
        <is>
          <t>Size dimension guide for twin, full, queen and king comforter options.</t>
        </is>
      </c>
      <c r="M25" s="3" t="inlineStr">
        <is>
          <t>Custom Football Helmet on American Flag Vintage Comforter</t>
        </is>
      </c>
      <c r="N25" s="3" t="inlineStr">
        <is>
          <t>SET</t>
        </is>
      </c>
      <c r="O25" s="3" t="inlineStr">
        <is>
          <t>Size dimension guide for Personalized Football Helmet Flag Comforter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["seo_runs\\jeminise.com\\20260906_234129\\evidence\\images\\64_custom-football-helmet-on-american-flag-vintage-comforter-43f12dbb8d-43f12dbb8d\\image_06_47540276920519.jpg; seo_runs\\jeminise.com\\20260906_234129\\evidence\\contact_sheets\\64_custom-football-helmet-on-american-flag-vintage-comforter-43f12dbb8d-43f12dbb8d.jpg", "https://jeminise.com/products/custom-football-helmet-on-american-flag-vintage-comforter-43f12dbb8d-43f12dbb8d", "https://cdn.shopify.com/s/files/1/0792/5098/1063/files/e5cad84edb4d7bf77c48fd7c8e52eb3b73f04eba8bf177671fd8a059c59422e8_d3641c01-3457-40e5-85ec-e99f0bc7c8bf.jpg?v=1785101596"]</t>
        </is>
      </c>
    </row>
    <row r="26" ht="66" customHeight="1">
      <c r="A26" s="2" t="inlineStr">
        <is>
          <t>jeminise.com+custom-football-helmet-with-flaming-football-comforter-07ad417afe-07ad417afe</t>
        </is>
      </c>
      <c r="B26" s="2" t="inlineStr">
        <is>
          <t>qaimg_8fd25ee9451a0dd8</t>
        </is>
      </c>
      <c r="C26" s="4" t="inlineStr">
        <is>
          <t>https://cdn.shopify.com/s/files/1/0792/5098/1063/files/2c32fae63175e304867066bac03a293c71ad2f6ef6d1330ced8a8f15a36ac9c2.jpg?v=1785100138</t>
        </is>
      </c>
      <c r="D26" s="4" t="inlineStr">
        <is>
          <t>https://cdn.shopify.com/s/files/1/0792/5098/1063/files/2c32fae63175e304867066bac03a293c71ad2f6ef6d1330ced8a8f15a36ac9c2.jpg?v=1785100138</t>
        </is>
      </c>
      <c r="E26" s="2" t="inlineStr">
        <is>
          <t>38506696016071</t>
        </is>
      </c>
      <c r="F26" s="2" t="inlineStr">
        <is>
          <t>47540135526599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2026-09-07T17:06:29.516037+07:00</t>
        </is>
      </c>
      <c r="K26" s="2" t="inlineStr">
        <is>
          <t>Front bedroom mockup of black football helmet, flaming football and stadium with sample name MATTHEW and number 06.</t>
        </is>
      </c>
      <c r="L26" s="2" t="inlineStr">
        <is>
          <t>Main bed mockup showing personalized football helmet and flaming ball comforter with Matthew number 06.</t>
        </is>
      </c>
      <c r="M26" s="2" t="inlineStr">
        <is>
          <t>Custom Football Helmet with Flaming Football Comforter</t>
        </is>
      </c>
      <c r="N26" s="2" t="inlineStr">
        <is>
          <t>SET</t>
        </is>
      </c>
      <c r="O26" s="2" t="inlineStr">
        <is>
          <t>Personalized Football Helmet Comforter Set displayed on a bed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["seo_runs\\jeminise.com\\20260906_234129\\evidence\\images\\65_custom-football-helmet-with-flaming-football-comforter-07ad417afe-07ad417afe\\image_01_47540135526599.jpg;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"https://cdn.shopify.com/s/files/1/0792/5098/1063/files/2c32fae63175e304867066bac03a293c71ad2f6ef6d1330ced8a8f15a36ac9c2.jpg?v=1785100138"]</t>
        </is>
      </c>
    </row>
    <row r="27" ht="66" customHeight="1">
      <c r="A27" s="3" t="inlineStr">
        <is>
          <t>jeminise.com+custom-football-helmet-with-flaming-football-comforter-07ad417afe-07ad417afe</t>
        </is>
      </c>
      <c r="B27" s="3" t="inlineStr">
        <is>
          <t>qaimg_5fa2bbf09863e0f5</t>
        </is>
      </c>
      <c r="C27" s="4" t="inlineStr">
        <is>
          <t>https://cdn.shopify.com/s/files/1/0792/5098/1063/files/46e00b4700701b902d3ea10129e771e1a88a9e6410143295fd227ca748dc5f6e.jpg?v=1785100138</t>
        </is>
      </c>
      <c r="D27" s="4" t="inlineStr">
        <is>
          <t>https://cdn.shopify.com/s/files/1/0792/5098/1063/files/46e00b4700701b902d3ea10129e771e1a88a9e6410143295fd227ca748dc5f6e.jpg?v=1785100138</t>
        </is>
      </c>
      <c r="E27" s="3" t="inlineStr">
        <is>
          <t>38506696048839</t>
        </is>
      </c>
      <c r="F27" s="3" t="inlineStr">
        <is>
          <t>47540135559367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2026-09-07T17:06:29.516037+07:00</t>
        </is>
      </c>
      <c r="K27" s="3" t="inlineStr">
        <is>
          <t>Second bedroom mockup of black football helmet, flaming football and stadium with sample name MATTHEW and number 06.</t>
        </is>
      </c>
      <c r="L27" s="3" t="inlineStr">
        <is>
          <t>Angled bedroom mockup showing personalized football helmet and flaming ball comforter with Matthew number 06.</t>
        </is>
      </c>
      <c r="M27" s="3" t="inlineStr">
        <is>
          <t>Custom Football Helmet with Flaming Football Comforter</t>
        </is>
      </c>
      <c r="N27" s="3" t="inlineStr">
        <is>
          <t>SET</t>
        </is>
      </c>
      <c r="O27" s="3" t="inlineStr">
        <is>
          <t>Angled bedroom view of Personalized Football Helmet Comforter Set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["seo_runs\\jeminise.com\\20260906_234129\\evidence\\images\\65_custom-football-helmet-with-flaming-football-comforter-07ad417afe-07ad417afe\\image_02_47540135559367.jpg;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"https://cdn.shopify.com/s/files/1/0792/5098/1063/files/46e00b4700701b902d3ea10129e771e1a88a9e6410143295fd227ca748dc5f6e.jpg?v=1785100138"]</t>
        </is>
      </c>
    </row>
    <row r="28" ht="66" customHeight="1">
      <c r="A28" s="2" t="inlineStr">
        <is>
          <t>jeminise.com+custom-football-helmet-with-flaming-football-comforter-07ad417afe-07ad417afe</t>
        </is>
      </c>
      <c r="B28" s="2" t="inlineStr">
        <is>
          <t>qaimg_b30d1b38c837f8f0</t>
        </is>
      </c>
      <c r="C28" s="4" t="inlineStr">
        <is>
          <t>https://cdn.shopify.com/s/files/1/0792/5098/1063/files/9aa9c35ad239e2defe80d680bfc9c3ac770143ee38bd0c93c9b9e1b1dc297f8c.jpg?v=1785100138</t>
        </is>
      </c>
      <c r="D28" s="4" t="inlineStr">
        <is>
          <t>https://cdn.shopify.com/s/files/1/0792/5098/1063/files/9aa9c35ad239e2defe80d680bfc9c3ac770143ee38bd0c93c9b9e1b1dc297f8c.jpg?v=1785100138</t>
        </is>
      </c>
      <c r="E28" s="2" t="inlineStr">
        <is>
          <t>38506696081607</t>
        </is>
      </c>
      <c r="F28" s="2" t="inlineStr">
        <is>
          <t>47540135592135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2026-09-07T17:06:29.516037+07:00</t>
        </is>
      </c>
      <c r="K28" s="2" t="inlineStr">
        <is>
          <t>Product-type comparison explaining that a duvet cover needs an insert while a comforter includes filling.</t>
        </is>
      </c>
      <c r="L28" s="2" t="inlineStr">
        <is>
          <t>Bedding type comparison for duvet cover set versus comforter set.</t>
        </is>
      </c>
      <c r="M28" s="2" t="inlineStr">
        <is>
          <t>Custom Football Helmet with Flaming Football Comforter</t>
        </is>
      </c>
      <c r="N28" s="2" t="inlineStr">
        <is>
          <t>SET</t>
        </is>
      </c>
      <c r="O28" s="2" t="inlineStr">
        <is>
          <t>Duvet cover and comforter option guide for Personalized Football Helmet Comforter Set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["seo_runs\\jeminise.com\\20260906_234129\\evidence\\images\\65_custom-football-helmet-with-flaming-football-comforter-07ad417afe-07ad417afe\\image_03_47540135592135.jpg;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"https://cdn.shopify.com/s/files/1/0792/5098/1063/files/9aa9c35ad239e2defe80d680bfc9c3ac770143ee38bd0c93c9b9e1b1dc297f8c.jpg?v=1785100138"]</t>
        </is>
      </c>
    </row>
    <row r="29" ht="66" customHeight="1">
      <c r="A29" s="3" t="inlineStr">
        <is>
          <t>jeminise.com+custom-football-helmet-with-flaming-football-comforter-07ad417afe-07ad417afe</t>
        </is>
      </c>
      <c r="B29" s="3" t="inlineStr">
        <is>
          <t>qaimg_b9efa87e7f4d327a</t>
        </is>
      </c>
      <c r="C29" s="4" t="inlineStr">
        <is>
          <t>https://cdn.shopify.com/s/files/1/0792/5098/1063/files/1bbfbfcf6d26cde4c41dc9cd48a48d8537c348d2d8ae8239cde2198dbac1d7d5.jpg?v=1785100138</t>
        </is>
      </c>
      <c r="D29" s="4" t="inlineStr">
        <is>
          <t>https://cdn.shopify.com/s/files/1/0792/5098/1063/files/1bbfbfcf6d26cde4c41dc9cd48a48d8537c348d2d8ae8239cde2198dbac1d7d5.jpg?v=1785100138</t>
        </is>
      </c>
      <c r="E29" s="3" t="inlineStr">
        <is>
          <t>38506696114375</t>
        </is>
      </c>
      <c r="F29" s="3" t="inlineStr">
        <is>
          <t>47540135624903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2026-09-07T17:06:29.516037+07:00</t>
        </is>
      </c>
      <c r="K29" s="3" t="inlineStr">
        <is>
          <t>Easy-care panel marked wrinkle-free, stain-proof, anti-pilling and resistant to fading in the wash.</t>
        </is>
      </c>
      <c r="L29" s="3" t="inlineStr">
        <is>
          <t>Close room/detail image with softness, lightweight, durable and breathable icons for personalized football helmet and flaming ball comforter with Matthew number 06.</t>
        </is>
      </c>
      <c r="M29" s="3" t="inlineStr">
        <is>
          <t>Custom Football Helmet with Flaming Football Comforter</t>
        </is>
      </c>
      <c r="N29" s="3" t="inlineStr">
        <is>
          <t>SET</t>
        </is>
      </c>
      <c r="O29" s="3" t="inlineStr">
        <is>
          <t>Close-up bedroom detail of Personalized Football Helmet Comforter Set</t>
        </is>
      </c>
      <c r="P29" s="3" t="inlineStr">
        <is>
          <t>FULL</t>
        </is>
      </c>
      <c r="Q29" s="3" t="inlineStr">
        <is>
          <t>FAIL</t>
        </is>
      </c>
      <c r="R29" s="3" t="inlineStr">
        <is>
          <t>FAIL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["ISS-065-IMG-04"]</t>
        </is>
      </c>
      <c r="Z29" s="3" t="inlineStr">
        <is>
          <t>["seo_runs\\jeminise.com\\20260906_234129\\evidence\\images\\65_custom-football-helmet-with-flaming-football-comforter-07ad417afe-07ad417afe\\image_04_47540135624903.jpg;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"https://cdn.shopify.com/s/files/1/0792/5098/1063/files/1bbfbfcf6d26cde4c41dc9cd48a48d8537c348d2d8ae8239cde2198dbac1d7d5.jpg?v=1785100138"]</t>
        </is>
      </c>
    </row>
    <row r="30" ht="66" customHeight="1">
      <c r="A30" s="2" t="inlineStr">
        <is>
          <t>jeminise.com+custom-football-helmet-with-flaming-football-comforter-07ad417afe-07ad417afe</t>
        </is>
      </c>
      <c r="B30" s="2" t="inlineStr">
        <is>
          <t>qaimg_95f2a3e8c0456f4d</t>
        </is>
      </c>
      <c r="C30" s="4" t="inlineStr">
        <is>
          <t>https://cdn.shopify.com/s/files/1/0792/5098/1063/files/d65887e79fa3f3c43a377a193ce2cd50135af31e9bb3574f2e354da8175b5ef8.jpg?v=1785100138</t>
        </is>
      </c>
      <c r="D30" s="4" t="inlineStr">
        <is>
          <t>https://cdn.shopify.com/s/files/1/0792/5098/1063/files/d65887e79fa3f3c43a377a193ce2cd50135af31e9bb3574f2e354da8175b5ef8.jpg?v=1785100138</t>
        </is>
      </c>
      <c r="E30" s="2" t="inlineStr">
        <is>
          <t>38506696147143</t>
        </is>
      </c>
      <c r="F30" s="2" t="inlineStr">
        <is>
          <t>47540135657671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2026-09-07T17:06:29.516037+07:00</t>
        </is>
      </c>
      <c r="K30" s="2" t="inlineStr">
        <is>
          <t>Close bedroom feature panel for black football helmet, flaming football and stadium with sample name MATTHEW and number 06, marked soft, lightweight, durable and breathable.</t>
        </is>
      </c>
      <c r="L30" s="2" t="inlineStr">
        <is>
          <t>Stress-free easy-care image listing wrinkle-free, stain-proof, anti-pilling and wash-fade resistance.</t>
        </is>
      </c>
      <c r="M30" s="2" t="inlineStr">
        <is>
          <t>Custom Football Helmet with Flaming Football Comforter</t>
        </is>
      </c>
      <c r="N30" s="2" t="inlineStr">
        <is>
          <t>SET</t>
        </is>
      </c>
      <c r="O30" s="2" t="inlineStr">
        <is>
          <t>Easy care information for Personalized Football Helmet Comforter Set</t>
        </is>
      </c>
      <c r="P30" s="2" t="inlineStr">
        <is>
          <t>FULL</t>
        </is>
      </c>
      <c r="Q30" s="2" t="inlineStr">
        <is>
          <t>FAIL</t>
        </is>
      </c>
      <c r="R30" s="2" t="inlineStr">
        <is>
          <t>FAIL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["ISS-065-IMG-05"]</t>
        </is>
      </c>
      <c r="Z30" s="2" t="inlineStr">
        <is>
          <t>["seo_runs\\jeminise.com\\20260906_234129\\evidence\\images\\65_custom-football-helmet-with-flaming-football-comforter-07ad417afe-07ad417afe\\image_05_47540135657671.jpg;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"https://cdn.shopify.com/s/files/1/0792/5098/1063/files/d65887e79fa3f3c43a377a193ce2cd50135af31e9bb3574f2e354da8175b5ef8.jpg?v=1785100138"]</t>
        </is>
      </c>
    </row>
    <row r="31" ht="66" customHeight="1">
      <c r="A31" s="3" t="inlineStr">
        <is>
          <t>jeminise.com+custom-football-helmet-with-flaming-football-comforter-07ad417afe-07ad417afe</t>
        </is>
      </c>
      <c r="B31" s="3" t="inlineStr">
        <is>
          <t>qaimg_054e3a041552ea64</t>
        </is>
      </c>
      <c r="C31" s="4" t="inlineStr">
        <is>
          <t>https://cdn.shopify.com/s/files/1/0792/5098/1063/files/b875bfc16d8349abe649f457b947dd0efc388f0aa8df8cf243abee1bb432b085.jpg?v=1785100138</t>
        </is>
      </c>
      <c r="D31" s="4" t="inlineStr">
        <is>
          <t>https://cdn.shopify.com/s/files/1/0792/5098/1063/files/b875bfc16d8349abe649f457b947dd0efc388f0aa8df8cf243abee1bb432b085.jpg?v=1785100138</t>
        </is>
      </c>
      <c r="E31" s="3" t="inlineStr">
        <is>
          <t>38506696179911</t>
        </is>
      </c>
      <c r="F31" s="3" t="inlineStr">
        <is>
          <t>47540135690439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2026-09-07T17:06:29.516037+07:00</t>
        </is>
      </c>
      <c r="K31" s="3" t="inlineStr">
        <is>
          <t>Comforter size-dimension chart for Twin 68x86, Full 79x90, Queen 90x90 and King 90x104 inches.</t>
        </is>
      </c>
      <c r="L31" s="3" t="inlineStr">
        <is>
          <t>Size dimension guide for twin, full, queen and king comforter options.</t>
        </is>
      </c>
      <c r="M31" s="3" t="inlineStr">
        <is>
          <t>Custom Football Helmet with Flaming Football Comforter</t>
        </is>
      </c>
      <c r="N31" s="3" t="inlineStr">
        <is>
          <t>SET</t>
        </is>
      </c>
      <c r="O31" s="3" t="inlineStr">
        <is>
          <t>Size dimension guide for Personalized Football Helmet Comforter Set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["seo_runs\\jeminise.com\\20260906_234129\\evidence\\images\\65_custom-football-helmet-with-flaming-football-comforter-07ad417afe-07ad417afe\\image_06_47540135690439.jpg; seo_runs\\jeminise.com\\20260906_234129\\evidence\\contact_sheets\\65_custom-football-helmet-with-flaming-football-comforter-07ad417afe-07ad417afe.jpg", "https://jeminise.com/products/custom-football-helmet-with-flaming-football-comforter-07ad417afe-07ad417afe", "https://cdn.shopify.com/s/files/1/0792/5098/1063/files/b875bfc16d8349abe649f457b947dd0efc388f0aa8df8cf243abee1bb432b085.jpg?v=1785100138"]</t>
        </is>
      </c>
    </row>
    <row r="32" ht="66" customHeight="1">
      <c r="A32" s="2" t="inlineStr">
        <is>
          <t>jeminise.com+custom-football-over-american-flag-background-comforter-ed07da9f1f-ed07da9f1f</t>
        </is>
      </c>
      <c r="B32" s="2" t="inlineStr">
        <is>
          <t>qaimg_c42f658e033d579d</t>
        </is>
      </c>
      <c r="C32" s="4" t="inlineStr">
        <is>
          <t>https://cdn.shopify.com/s/files/1/0792/5098/1063/files/a4cbbdd322696714aa1a19a2f8bb77d75a27dc99370fcc37510a75b77ca9d233.jpg?v=1785101485</t>
        </is>
      </c>
      <c r="D32" s="4" t="inlineStr">
        <is>
          <t>https://cdn.shopify.com/s/files/1/0792/5098/1063/files/a4cbbdd322696714aa1a19a2f8bb77d75a27dc99370fcc37510a75b77ca9d233.jpg?v=1785101485</t>
        </is>
      </c>
      <c r="E32" s="2" t="inlineStr">
        <is>
          <t>38506826629319</t>
        </is>
      </c>
      <c r="F32" s="2" t="inlineStr">
        <is>
          <t>47540266270919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2026-09-07T17:06:29.516037+07:00</t>
        </is>
      </c>
      <c r="K32" s="2" t="inlineStr">
        <is>
          <t>Front bedroom mockup of close football over a distressed American flag with sample name ANDREW and number 45.</t>
        </is>
      </c>
      <c r="L32" s="2" t="inlineStr">
        <is>
          <t>Main bed mockup showing personalized football over American flag comforter with Andrew number 45.</t>
        </is>
      </c>
      <c r="M32" s="2" t="inlineStr">
        <is>
          <t>Custom Football Over American Flag Background Comforter</t>
        </is>
      </c>
      <c r="N32" s="2" t="inlineStr">
        <is>
          <t>SET</t>
        </is>
      </c>
      <c r="O32" s="2" t="inlineStr">
        <is>
          <t>Personalized Football Flag Comforter Set displayed on a bed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["seo_runs\\jeminise.com\\20260906_234129\\evidence\\images\\66_custom-football-over-american-flag-background-comforter-ed07da9f1f-ed07da9f1f\\image_01_47540266270919.jpg;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"https://cdn.shopify.com/s/files/1/0792/5098/1063/files/a4cbbdd322696714aa1a19a2f8bb77d75a27dc99370fcc37510a75b77ca9d233.jpg?v=1785101485"]</t>
        </is>
      </c>
    </row>
    <row r="33" ht="66" customHeight="1">
      <c r="A33" s="3" t="inlineStr">
        <is>
          <t>jeminise.com+custom-football-over-american-flag-background-comforter-ed07da9f1f-ed07da9f1f</t>
        </is>
      </c>
      <c r="B33" s="3" t="inlineStr">
        <is>
          <t>qaimg_1cf4f256ef09a593</t>
        </is>
      </c>
      <c r="C33" s="4" t="inlineStr">
        <is>
          <t>https://cdn.shopify.com/s/files/1/0792/5098/1063/files/2d1e3697079b80976972bd386da0441e67e31d896ef797eadc7297982a257994.jpg?v=1785101485</t>
        </is>
      </c>
      <c r="D33" s="4" t="inlineStr">
        <is>
          <t>https://cdn.shopify.com/s/files/1/0792/5098/1063/files/2d1e3697079b80976972bd386da0441e67e31d896ef797eadc7297982a257994.jpg?v=1785101485</t>
        </is>
      </c>
      <c r="E33" s="3" t="inlineStr">
        <is>
          <t>38506826662087</t>
        </is>
      </c>
      <c r="F33" s="3" t="inlineStr">
        <is>
          <t>47540266303687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2026-09-07T17:06:29.516037+07:00</t>
        </is>
      </c>
      <c r="K33" s="3" t="inlineStr">
        <is>
          <t>Second bedroom mockup of close football over a distressed American flag with sample name ANDREW and number 45.</t>
        </is>
      </c>
      <c r="L33" s="3" t="inlineStr">
        <is>
          <t>Angled bedroom mockup showing personalized football over American flag comforter with Andrew number 45.</t>
        </is>
      </c>
      <c r="M33" s="3" t="inlineStr">
        <is>
          <t>Custom Football Over American Flag Background Comforter</t>
        </is>
      </c>
      <c r="N33" s="3" t="inlineStr">
        <is>
          <t>SET</t>
        </is>
      </c>
      <c r="O33" s="3" t="inlineStr">
        <is>
          <t>Angled bedroom view of Personalized Football Flag Comforter Set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["seo_runs\\jeminise.com\\20260906_234129\\evidence\\images\\66_custom-football-over-american-flag-background-comforter-ed07da9f1f-ed07da9f1f\\image_02_47540266303687.jpg;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"https://cdn.shopify.com/s/files/1/0792/5098/1063/files/2d1e3697079b80976972bd386da0441e67e31d896ef797eadc7297982a257994.jpg?v=1785101485"]</t>
        </is>
      </c>
    </row>
    <row r="34" ht="66" customHeight="1">
      <c r="A34" s="2" t="inlineStr">
        <is>
          <t>jeminise.com+custom-football-over-american-flag-background-comforter-ed07da9f1f-ed07da9f1f</t>
        </is>
      </c>
      <c r="B34" s="2" t="inlineStr">
        <is>
          <t>qaimg_4020f52ebdfa63d3</t>
        </is>
      </c>
      <c r="C34" s="4" t="inlineStr">
        <is>
          <t>https://cdn.shopify.com/s/files/1/0792/5098/1063/files/16f7293cbefa5743a35b2e6316a5a114e5c052d08151e367dafd26aa5e2e542b_89943fc3-f8e3-47b5-a8c7-a32111f923b9.jpg?v=1785101485</t>
        </is>
      </c>
      <c r="D34" s="4" t="inlineStr">
        <is>
          <t>https://cdn.shopify.com/s/files/1/0792/5098/1063/files/16f7293cbefa5743a35b2e6316a5a114e5c052d08151e367dafd26aa5e2e542b_89943fc3-f8e3-47b5-a8c7-a32111f923b9.jpg?v=1785101485</t>
        </is>
      </c>
      <c r="E34" s="2" t="inlineStr">
        <is>
          <t>38506826694855</t>
        </is>
      </c>
      <c r="F34" s="2" t="inlineStr">
        <is>
          <t>47540266336455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2026-09-07T17:06:29.516037+07:00</t>
        </is>
      </c>
      <c r="K34" s="2" t="inlineStr">
        <is>
          <t>Product-type comparison explaining that a duvet cover needs an insert while a comforter includes filling.</t>
        </is>
      </c>
      <c r="L34" s="2" t="inlineStr">
        <is>
          <t>Bedding type comparison for duvet cover set versus comforter set.</t>
        </is>
      </c>
      <c r="M34" s="2" t="inlineStr">
        <is>
          <t>Custom Football Over American Flag Background Comforter</t>
        </is>
      </c>
      <c r="N34" s="2" t="inlineStr">
        <is>
          <t>SET</t>
        </is>
      </c>
      <c r="O34" s="2" t="inlineStr">
        <is>
          <t>Duvet cover and comforter option guide for Personalized Football Flag Comforter Set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["seo_runs\\jeminise.com\\20260906_234129\\evidence\\images\\66_custom-football-over-american-flag-background-comforter-ed07da9f1f-ed07da9f1f\\image_03_47540266336455.jpg;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"https://cdn.shopify.com/s/files/1/0792/5098/1063/files/16f7293cbefa5743a35b2e6316a5a114e5c052d08151e367dafd26aa5e2e542b_89943fc3-f8e3-47b5-a8c7-a32111f923b9.jpg?v=1785101485"]</t>
        </is>
      </c>
    </row>
    <row r="35" ht="66" customHeight="1">
      <c r="A35" s="3" t="inlineStr">
        <is>
          <t>jeminise.com+custom-football-over-american-flag-background-comforter-ed07da9f1f-ed07da9f1f</t>
        </is>
      </c>
      <c r="B35" s="3" t="inlineStr">
        <is>
          <t>qaimg_b313f7f1d9cd842d</t>
        </is>
      </c>
      <c r="C35" s="4" t="inlineStr">
        <is>
          <t>https://cdn.shopify.com/s/files/1/0792/5098/1063/files/ffea36967dbe80b58a8a85da73de40ba57d60ed75118b69127f1ae4893a068a7.jpg?v=1785101485</t>
        </is>
      </c>
      <c r="D35" s="4" t="inlineStr">
        <is>
          <t>https://cdn.shopify.com/s/files/1/0792/5098/1063/files/ffea36967dbe80b58a8a85da73de40ba57d60ed75118b69127f1ae4893a068a7.jpg?v=1785101485</t>
        </is>
      </c>
      <c r="E35" s="3" t="inlineStr">
        <is>
          <t>38506826727623</t>
        </is>
      </c>
      <c r="F35" s="3" t="inlineStr">
        <is>
          <t>47540266369223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2026-09-07T17:06:29.516037+07:00</t>
        </is>
      </c>
      <c r="K35" s="3" t="inlineStr">
        <is>
          <t>Close bedroom feature panel for close football over a distressed American flag with sample name ANDREW and number 45, marked soft, lightweight, durable and breathable.</t>
        </is>
      </c>
      <c r="L35" s="3" t="inlineStr">
        <is>
          <t>Close room/detail image with softness, lightweight, durable and breathable icons for personalized football over American flag comforter with Andrew number 45.</t>
        </is>
      </c>
      <c r="M35" s="3" t="inlineStr">
        <is>
          <t>Custom Football Over American Flag Background Comforter</t>
        </is>
      </c>
      <c r="N35" s="3" t="inlineStr">
        <is>
          <t>SET</t>
        </is>
      </c>
      <c r="O35" s="3" t="inlineStr">
        <is>
          <t>Close-up bedroom detail of Personalized Football Flag Comforter Set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PARTIAL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["ISS-066-IMG-04"]</t>
        </is>
      </c>
      <c r="Z35" s="3" t="inlineStr">
        <is>
          <t>["seo_runs\\jeminise.com\\20260906_234129\\evidence\\images\\66_custom-football-over-american-flag-background-comforter-ed07da9f1f-ed07da9f1f\\image_04_47540266369223.jpg;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"https://cdn.shopify.com/s/files/1/0792/5098/1063/files/ffea36967dbe80b58a8a85da73de40ba57d60ed75118b69127f1ae4893a068a7.jpg?v=1785101485"]</t>
        </is>
      </c>
    </row>
    <row r="36" ht="66" customHeight="1">
      <c r="A36" s="2" t="inlineStr">
        <is>
          <t>jeminise.com+custom-football-over-american-flag-background-comforter-ed07da9f1f-ed07da9f1f</t>
        </is>
      </c>
      <c r="B36" s="2" t="inlineStr">
        <is>
          <t>qaimg_4e0230662499ba45</t>
        </is>
      </c>
      <c r="C36" s="4" t="inlineStr">
        <is>
          <t>https://cdn.shopify.com/s/files/1/0792/5098/1063/files/7c006bddc94d4763c71c8376307e195c1bbce73b8c802ec73ac5a8cef1291262_711226ac-8056-409d-a58e-b7cb3f9ebdd6.jpg?v=1785101485</t>
        </is>
      </c>
      <c r="D36" s="4" t="inlineStr">
        <is>
          <t>https://cdn.shopify.com/s/files/1/0792/5098/1063/files/7c006bddc94d4763c71c8376307e195c1bbce73b8c802ec73ac5a8cef1291262_711226ac-8056-409d-a58e-b7cb3f9ebdd6.jpg?v=1785101485</t>
        </is>
      </c>
      <c r="E36" s="2" t="inlineStr">
        <is>
          <t>38506826760391</t>
        </is>
      </c>
      <c r="F36" s="2" t="inlineStr">
        <is>
          <t>47540266401991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2026-09-07T17:06:29.516037+07:00</t>
        </is>
      </c>
      <c r="K36" s="2" t="inlineStr">
        <is>
          <t>Easy-care panel marked wrinkle-free, stain-proof, anti-pilling and resistant to fading in the wash.</t>
        </is>
      </c>
      <c r="L36" s="2" t="inlineStr">
        <is>
          <t>Stress-free easy-care image listing wrinkle-free, stain-proof, anti-pilling and wash-fade resistance.</t>
        </is>
      </c>
      <c r="M36" s="2" t="inlineStr">
        <is>
          <t>Custom Football Over American Flag Background Comforter</t>
        </is>
      </c>
      <c r="N36" s="2" t="inlineStr">
        <is>
          <t>SET</t>
        </is>
      </c>
      <c r="O36" s="2" t="inlineStr">
        <is>
          <t>Easy care information for Personalized Football Flag Comforter Set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["seo_runs\\jeminise.com\\20260906_234129\\evidence\\images\\66_custom-football-over-american-flag-background-comforter-ed07da9f1f-ed07da9f1f\\image_05_47540266401991.jpg;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"https://cdn.shopify.com/s/files/1/0792/5098/1063/files/7c006bddc94d4763c71c8376307e195c1bbce73b8c802ec73ac5a8cef1291262_711226ac-8056-409d-a58e-b7cb3f9ebdd6.jpg?v=1785101485"]</t>
        </is>
      </c>
    </row>
    <row r="37" ht="66" customHeight="1">
      <c r="A37" s="3" t="inlineStr">
        <is>
          <t>jeminise.com+custom-football-over-american-flag-background-comforter-ed07da9f1f-ed07da9f1f</t>
        </is>
      </c>
      <c r="B37" s="3" t="inlineStr">
        <is>
          <t>qaimg_b0fd58b8f76ce4df</t>
        </is>
      </c>
      <c r="C37" s="4" t="inlineStr">
        <is>
          <t>https://cdn.shopify.com/s/files/1/0792/5098/1063/files/e5cad84edb4d7bf77c48fd7c8e52eb3b73f04eba8bf177671fd8a059c59422e8_ca0f8c0e-d3e3-4c04-a35f-6626bdd9a3c4.jpg?v=1785101485</t>
        </is>
      </c>
      <c r="D37" s="4" t="inlineStr">
        <is>
          <t>https://cdn.shopify.com/s/files/1/0792/5098/1063/files/e5cad84edb4d7bf77c48fd7c8e52eb3b73f04eba8bf177671fd8a059c59422e8_ca0f8c0e-d3e3-4c04-a35f-6626bdd9a3c4.jpg?v=1785101485</t>
        </is>
      </c>
      <c r="E37" s="3" t="inlineStr">
        <is>
          <t>38506826793159</t>
        </is>
      </c>
      <c r="F37" s="3" t="inlineStr">
        <is>
          <t>47540266434759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2026-09-07T17:06:29.516037+07:00</t>
        </is>
      </c>
      <c r="K37" s="3" t="inlineStr">
        <is>
          <t>Comforter size-dimension chart for Twin 68x86, Full 79x90, Queen 90x90 and King 90x104 inches.</t>
        </is>
      </c>
      <c r="L37" s="3" t="inlineStr">
        <is>
          <t>Size dimension guide for twin, full, queen and king comforter options.</t>
        </is>
      </c>
      <c r="M37" s="3" t="inlineStr">
        <is>
          <t>Custom Football Over American Flag Background Comforter</t>
        </is>
      </c>
      <c r="N37" s="3" t="inlineStr">
        <is>
          <t>SET</t>
        </is>
      </c>
      <c r="O37" s="3" t="inlineStr">
        <is>
          <t>Size dimension guide for Personalized Football Flag Comforter Set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["seo_runs\\jeminise.com\\20260906_234129\\evidence\\images\\66_custom-football-over-american-flag-background-comforter-ed07da9f1f-ed07da9f1f\\image_06_47540266434759.jpg; seo_runs\\jeminise.com\\20260906_234129\\evidence\\contact_sheets\\66_custom-football-over-american-flag-background-comforter-ed07da9f1f-ed07da9f1f.jpg", "https://jeminise.com/products/custom-football-over-american-flag-background-comforter-ed07da9f1f-ed07da9f1f", "https://cdn.shopify.com/s/files/1/0792/5098/1063/files/e5cad84edb4d7bf77c48fd7c8e52eb3b73f04eba8bf177671fd8a059c59422e8_ca0f8c0e-d3e3-4c04-a35f-6626bdd9a3c4.jpg?v=1785101485"]</t>
        </is>
      </c>
    </row>
    <row r="38" ht="66" customHeight="1">
      <c r="A38" s="2" t="inlineStr">
        <is>
          <t>jeminise.com+custom-football-player-holding-ball-close-up-comforter-d5b47c0ee0-d5b47c0ee0</t>
        </is>
      </c>
      <c r="B38" s="2" t="inlineStr">
        <is>
          <t>qaimg_d86a38787b1e64bd</t>
        </is>
      </c>
      <c r="C38" s="4" t="inlineStr">
        <is>
          <t>https://cdn.shopify.com/s/files/1/0792/5098/1063/files/be9c5cee819776f5b51c117360ce74132b8045f5fc2610f92c876fe0ee308121.jpg?v=1785102027</t>
        </is>
      </c>
      <c r="D38" s="4" t="inlineStr">
        <is>
          <t>https://cdn.shopify.com/s/files/1/0792/5098/1063/files/be9c5cee819776f5b51c117360ce74132b8045f5fc2610f92c876fe0ee308121.jpg?v=1785102027</t>
        </is>
      </c>
      <c r="E38" s="2" t="inlineStr">
        <is>
          <t>38506871423175</t>
        </is>
      </c>
      <c r="F38" s="2" t="inlineStr">
        <is>
          <t>47540311589063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2026-09-07T17:06:29.516037+07:00</t>
        </is>
      </c>
      <c r="K38" s="2" t="inlineStr">
        <is>
          <t>Front bedroom mockup of black-and-white football player holding a ball over an orange honeycomb pattern with sample name William and number 20.</t>
        </is>
      </c>
      <c r="L38" s="2" t="inlineStr">
        <is>
          <t>Main bed mockup showing personalized black football player comforter with William number 20.</t>
        </is>
      </c>
      <c r="M38" s="2" t="inlineStr">
        <is>
          <t>Custom Football Player Holding Ball Close Up Comforter</t>
        </is>
      </c>
      <c r="N38" s="2" t="inlineStr">
        <is>
          <t>SET</t>
        </is>
      </c>
      <c r="O38" s="2" t="inlineStr">
        <is>
          <t>Personalized Football Player Comforter displayed on a bed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["seo_runs\\jeminise.com\\20260906_234129\\evidence\\images\\67_custom-football-player-holding-ball-close-up-comforter-d5b47c0ee0-d5b47c0ee0\\image_01_47540311589063.jpg;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"https://cdn.shopify.com/s/files/1/0792/5098/1063/files/be9c5cee819776f5b51c117360ce74132b8045f5fc2610f92c876fe0ee308121.jpg?v=1785102027"]</t>
        </is>
      </c>
    </row>
    <row r="39" ht="66" customHeight="1">
      <c r="A39" s="3" t="inlineStr">
        <is>
          <t>jeminise.com+custom-football-player-holding-ball-close-up-comforter-d5b47c0ee0-d5b47c0ee0</t>
        </is>
      </c>
      <c r="B39" s="3" t="inlineStr">
        <is>
          <t>qaimg_db9113f9cc06571f</t>
        </is>
      </c>
      <c r="C39" s="4" t="inlineStr">
        <is>
          <t>https://cdn.shopify.com/s/files/1/0792/5098/1063/files/bc1de614501a81fc1082c049b9b4e3d1d772f42c3c5c091b381f123ac898b7a6.jpg?v=1785102027</t>
        </is>
      </c>
      <c r="D39" s="4" t="inlineStr">
        <is>
          <t>https://cdn.shopify.com/s/files/1/0792/5098/1063/files/bc1de614501a81fc1082c049b9b4e3d1d772f42c3c5c091b381f123ac898b7a6.jpg?v=1785102027</t>
        </is>
      </c>
      <c r="E39" s="3" t="inlineStr">
        <is>
          <t>38506871455943</t>
        </is>
      </c>
      <c r="F39" s="3" t="inlineStr">
        <is>
          <t>47540311621831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2026-09-07T17:06:29.516037+07:00</t>
        </is>
      </c>
      <c r="K39" s="3" t="inlineStr">
        <is>
          <t>Second bedroom mockup of black-and-white football player holding a ball over an orange honeycomb pattern with sample name William and number 20.</t>
        </is>
      </c>
      <c r="L39" s="3" t="inlineStr">
        <is>
          <t>Angled bedroom mockup showing personalized black football player comforter with William number 20.</t>
        </is>
      </c>
      <c r="M39" s="3" t="inlineStr">
        <is>
          <t>Custom Football Player Holding Ball Close Up Comforter</t>
        </is>
      </c>
      <c r="N39" s="3" t="inlineStr">
        <is>
          <t>SET</t>
        </is>
      </c>
      <c r="O39" s="3" t="inlineStr">
        <is>
          <t>Angled bedroom view of Personalized Football Player Comforter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["seo_runs\\jeminise.com\\20260906_234129\\evidence\\images\\67_custom-football-player-holding-ball-close-up-comforter-d5b47c0ee0-d5b47c0ee0\\image_02_47540311621831.jpg;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"https://cdn.shopify.com/s/files/1/0792/5098/1063/files/bc1de614501a81fc1082c049b9b4e3d1d772f42c3c5c091b381f123ac898b7a6.jpg?v=1785102027"]</t>
        </is>
      </c>
    </row>
    <row r="40" ht="66" customHeight="1">
      <c r="A40" s="2" t="inlineStr">
        <is>
          <t>jeminise.com+custom-football-player-holding-ball-close-up-comforter-d5b47c0ee0-d5b47c0ee0</t>
        </is>
      </c>
      <c r="B40" s="2" t="inlineStr">
        <is>
          <t>qaimg_d8ae8dc9b49e4c23</t>
        </is>
      </c>
      <c r="C40" s="4" t="inlineStr">
        <is>
          <t>https://cdn.shopify.com/s/files/1/0792/5098/1063/files/16f7293cbefa5743a35b2e6316a5a114e5c052d08151e367dafd26aa5e2e542b_cb2d7976-38a0-4dd6-965d-0f7253fd7f0f.jpg?v=1785102027</t>
        </is>
      </c>
      <c r="D40" s="4" t="inlineStr">
        <is>
          <t>https://cdn.shopify.com/s/files/1/0792/5098/1063/files/16f7293cbefa5743a35b2e6316a5a114e5c052d08151e367dafd26aa5e2e542b_cb2d7976-38a0-4dd6-965d-0f7253fd7f0f.jpg?v=1785102027</t>
        </is>
      </c>
      <c r="E40" s="2" t="inlineStr">
        <is>
          <t>38506871488711</t>
        </is>
      </c>
      <c r="F40" s="2" t="inlineStr">
        <is>
          <t>47540311654599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2026-09-07T17:06:29.516037+07:00</t>
        </is>
      </c>
      <c r="K40" s="2" t="inlineStr">
        <is>
          <t>Product-type comparison explaining that a duvet cover needs an insert while a comforter includes filling.</t>
        </is>
      </c>
      <c r="L40" s="2" t="inlineStr">
        <is>
          <t>Bedding type comparison for duvet cover set versus comforter set.</t>
        </is>
      </c>
      <c r="M40" s="2" t="inlineStr">
        <is>
          <t>Custom Football Player Holding Ball Close Up Comforter</t>
        </is>
      </c>
      <c r="N40" s="2" t="inlineStr">
        <is>
          <t>SET</t>
        </is>
      </c>
      <c r="O40" s="2" t="inlineStr">
        <is>
          <t>Duvet cover and comforter option guide for Personalized Football Player Comforter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["seo_runs\\jeminise.com\\20260906_234129\\evidence\\images\\67_custom-football-player-holding-ball-close-up-comforter-d5b47c0ee0-d5b47c0ee0\\image_03_47540311654599.jpg;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"https://cdn.shopify.com/s/files/1/0792/5098/1063/files/16f7293cbefa5743a35b2e6316a5a114e5c052d08151e367dafd26aa5e2e542b_cb2d7976-38a0-4dd6-965d-0f7253fd7f0f.jpg?v=1785102027"]</t>
        </is>
      </c>
    </row>
    <row r="41" ht="66" customHeight="1">
      <c r="A41" s="3" t="inlineStr">
        <is>
          <t>jeminise.com+custom-football-player-holding-ball-close-up-comforter-d5b47c0ee0-d5b47c0ee0</t>
        </is>
      </c>
      <c r="B41" s="3" t="inlineStr">
        <is>
          <t>qaimg_0295490e1e0b0f8a</t>
        </is>
      </c>
      <c r="C41" s="4" t="inlineStr">
        <is>
          <t>https://cdn.shopify.com/s/files/1/0792/5098/1063/files/535852be11d81e8f4a9335a576d4302793d4b139db50c311c3ceef1b44bdfaec.jpg?v=1785102027</t>
        </is>
      </c>
      <c r="D41" s="4" t="inlineStr">
        <is>
          <t>https://cdn.shopify.com/s/files/1/0792/5098/1063/files/535852be11d81e8f4a9335a576d4302793d4b139db50c311c3ceef1b44bdfaec.jpg?v=1785102027</t>
        </is>
      </c>
      <c r="E41" s="3" t="inlineStr">
        <is>
          <t>38506871521479</t>
        </is>
      </c>
      <c r="F41" s="3" t="inlineStr">
        <is>
          <t>47540311687367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2026-09-07T17:06:29.516037+07:00</t>
        </is>
      </c>
      <c r="K41" s="3" t="inlineStr">
        <is>
          <t>Close bedroom feature panel for black-and-white football player holding a ball over an orange honeycomb pattern with sample name William and number 20, marked soft, lightweight, durable and breathable.</t>
        </is>
      </c>
      <c r="L41" s="3" t="inlineStr">
        <is>
          <t>Close room/detail image with softness, lightweight, durable and breathable icons for personalized black football player comforter with William number 20.</t>
        </is>
      </c>
      <c r="M41" s="3" t="inlineStr">
        <is>
          <t>Custom Football Player Holding Ball Close Up Comforter</t>
        </is>
      </c>
      <c r="N41" s="3" t="inlineStr">
        <is>
          <t>SET</t>
        </is>
      </c>
      <c r="O41" s="3" t="inlineStr">
        <is>
          <t>Close-up bedroom detail of Personalized Football Player Comforter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PARTIAL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["ISS-067-IMG-04"]</t>
        </is>
      </c>
      <c r="Z41" s="3" t="inlineStr">
        <is>
          <t>["seo_runs\\jeminise.com\\20260906_234129\\evidence\\images\\67_custom-football-player-holding-ball-close-up-comforter-d5b47c0ee0-d5b47c0ee0\\image_04_47540311687367.jpg;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"https://cdn.shopify.com/s/files/1/0792/5098/1063/files/535852be11d81e8f4a9335a576d4302793d4b139db50c311c3ceef1b44bdfaec.jpg?v=1785102027"]</t>
        </is>
      </c>
    </row>
    <row r="42" ht="66" customHeight="1">
      <c r="A42" s="2" t="inlineStr">
        <is>
          <t>jeminise.com+custom-football-player-holding-ball-close-up-comforter-d5b47c0ee0-d5b47c0ee0</t>
        </is>
      </c>
      <c r="B42" s="2" t="inlineStr">
        <is>
          <t>qaimg_bc079ac39751ce47</t>
        </is>
      </c>
      <c r="C42" s="4" t="inlineStr">
        <is>
          <t>https://cdn.shopify.com/s/files/1/0792/5098/1063/files/7c006bddc94d4763c71c8376307e195c1bbce73b8c802ec73ac5a8cef1291262_8901ce27-6800-4e6a-bd63-cdc8dedf3cf5.jpg?v=1785102027</t>
        </is>
      </c>
      <c r="D42" s="4" t="inlineStr">
        <is>
          <t>https://cdn.shopify.com/s/files/1/0792/5098/1063/files/7c006bddc94d4763c71c8376307e195c1bbce73b8c802ec73ac5a8cef1291262_8901ce27-6800-4e6a-bd63-cdc8dedf3cf5.jpg?v=1785102027</t>
        </is>
      </c>
      <c r="E42" s="2" t="inlineStr">
        <is>
          <t>38506871554247</t>
        </is>
      </c>
      <c r="F42" s="2" t="inlineStr">
        <is>
          <t>47540311720135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2026-09-07T17:06:29.516037+07:00</t>
        </is>
      </c>
      <c r="K42" s="2" t="inlineStr">
        <is>
          <t>Easy-care panel marked wrinkle-free, stain-proof, anti-pilling and resistant to fading in the wash.</t>
        </is>
      </c>
      <c r="L42" s="2" t="inlineStr">
        <is>
          <t>Stress-free easy-care image listing wrinkle-free, stain-proof, anti-pilling and wash-fade resistance.</t>
        </is>
      </c>
      <c r="M42" s="2" t="inlineStr">
        <is>
          <t>Custom Football Player Holding Ball Close Up Comforter</t>
        </is>
      </c>
      <c r="N42" s="2" t="inlineStr">
        <is>
          <t>SET</t>
        </is>
      </c>
      <c r="O42" s="2" t="inlineStr">
        <is>
          <t>Easy care information for Personalized Football Player Comforter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["seo_runs\\jeminise.com\\20260906_234129\\evidence\\images\\67_custom-football-player-holding-ball-close-up-comforter-d5b47c0ee0-d5b47c0ee0\\image_05_47540311720135.jpg;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"https://cdn.shopify.com/s/files/1/0792/5098/1063/files/7c006bddc94d4763c71c8376307e195c1bbce73b8c802ec73ac5a8cef1291262_8901ce27-6800-4e6a-bd63-cdc8dedf3cf5.jpg?v=1785102027"]</t>
        </is>
      </c>
    </row>
    <row r="43" ht="66" customHeight="1">
      <c r="A43" s="3" t="inlineStr">
        <is>
          <t>jeminise.com+custom-football-player-holding-ball-close-up-comforter-d5b47c0ee0-d5b47c0ee0</t>
        </is>
      </c>
      <c r="B43" s="3" t="inlineStr">
        <is>
          <t>qaimg_2889c05cb25bcee1</t>
        </is>
      </c>
      <c r="C43" s="4" t="inlineStr">
        <is>
          <t>https://cdn.shopify.com/s/files/1/0792/5098/1063/files/e5cad84edb4d7bf77c48fd7c8e52eb3b73f04eba8bf177671fd8a059c59422e8_4c8b8cc9-7daa-453c-a43d-ecad508e7783.jpg?v=1785102027</t>
        </is>
      </c>
      <c r="D43" s="4" t="inlineStr">
        <is>
          <t>https://cdn.shopify.com/s/files/1/0792/5098/1063/files/e5cad84edb4d7bf77c48fd7c8e52eb3b73f04eba8bf177671fd8a059c59422e8_4c8b8cc9-7daa-453c-a43d-ecad508e7783.jpg?v=1785102027</t>
        </is>
      </c>
      <c r="E43" s="3" t="inlineStr">
        <is>
          <t>38506871587015</t>
        </is>
      </c>
      <c r="F43" s="3" t="inlineStr">
        <is>
          <t>47540311752903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2026-09-07T17:06:29.516037+07:00</t>
        </is>
      </c>
      <c r="K43" s="3" t="inlineStr">
        <is>
          <t>Comforter size-dimension chart for Twin 68x86, Full 79x90, Queen 90x90 and King 90x104 inches.</t>
        </is>
      </c>
      <c r="L43" s="3" t="inlineStr">
        <is>
          <t>Size dimension guide for twin, full, queen and king comforter options.</t>
        </is>
      </c>
      <c r="M43" s="3" t="inlineStr">
        <is>
          <t>Custom Football Player Holding Ball Close Up Comforter</t>
        </is>
      </c>
      <c r="N43" s="3" t="inlineStr">
        <is>
          <t>SET</t>
        </is>
      </c>
      <c r="O43" s="3" t="inlineStr">
        <is>
          <t>Size dimension guide for Personalized Football Player Comforter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["seo_runs\\jeminise.com\\20260906_234129\\evidence\\images\\67_custom-football-player-holding-ball-close-up-comforter-d5b47c0ee0-d5b47c0ee0\\image_06_47540311752903.jpg; seo_runs\\jeminise.com\\20260906_234129\\evidence\\contact_sheets\\67_custom-football-player-holding-ball-close-up-comforter-d5b47c0ee0-d5b47c0ee0.jpg", "https://jeminise.com/products/custom-football-player-holding-ball-close-up-comforter-d5b47c0ee0-d5b47c0ee0", "https://cdn.shopify.com/s/files/1/0792/5098/1063/files/e5cad84edb4d7bf77c48fd7c8e52eb3b73f04eba8bf177671fd8a059c59422e8_4c8b8cc9-7daa-453c-a43d-ecad508e7783.jpg?v=1785102027"]</t>
        </is>
      </c>
    </row>
    <row r="44" ht="66" customHeight="1">
      <c r="A44" s="2" t="inlineStr">
        <is>
          <t>jeminise.com+custom-football-player-holding-ball-close-up-comforter-with-football-helmet-da6d035722-da6d035722</t>
        </is>
      </c>
      <c r="B44" s="2" t="inlineStr">
        <is>
          <t>qaimg_8467aa49f3c23fb8</t>
        </is>
      </c>
      <c r="C44" s="4" t="inlineStr">
        <is>
          <t>https://cdn.shopify.com/s/files/1/0792/5098/1063/files/75f1b7520ef4094f153834c4aa8dad28b3f7158fba412ba2e88065fe27c1a3b4.jpg?v=1785101391</t>
        </is>
      </c>
      <c r="D44" s="4" t="inlineStr">
        <is>
          <t>https://cdn.shopify.com/s/files/1/0792/5098/1063/files/75f1b7520ef4094f153834c4aa8dad28b3f7158fba412ba2e88065fe27c1a3b4.jpg?v=1785101391</t>
        </is>
      </c>
      <c r="E44" s="2" t="inlineStr">
        <is>
          <t>38506815160519</t>
        </is>
      </c>
      <c r="F44" s="2" t="inlineStr">
        <is>
          <t>47540254802119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2026-09-07T17:06:29.516037+07:00</t>
        </is>
      </c>
      <c r="K44" s="2" t="inlineStr">
        <is>
          <t>Front bedroom mockup of smoky black-and-white football player holding a ball with sample name David and number 15.</t>
        </is>
      </c>
      <c r="L44" s="2" t="inlineStr">
        <is>
          <t>Main bed mockup showing personalized black and white football player helmet comforter with David number 15.</t>
        </is>
      </c>
      <c r="M44" s="2" t="inlineStr">
        <is>
          <t>Custom Football Player Holding Ball Close Up Comforter with Football Helmet</t>
        </is>
      </c>
      <c r="N44" s="2" t="inlineStr">
        <is>
          <t>SET</t>
        </is>
      </c>
      <c r="O44" s="2" t="inlineStr">
        <is>
          <t>Custom Football Player Helmet Comforter displayed on a bed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["seo_runs\\jeminise.com\\20260906_234129\\evidence\\images\\68_custom-football-player-holding-ball-close-up-comforter-with-football-helmet-da6d035722-da6d035722\\image_01_47540254802119.jpg;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"https://cdn.shopify.com/s/files/1/0792/5098/1063/files/75f1b7520ef4094f153834c4aa8dad28b3f7158fba412ba2e88065fe27c1a3b4.jpg?v=1785101391"]</t>
        </is>
      </c>
    </row>
    <row r="45" ht="66" customHeight="1">
      <c r="A45" s="3" t="inlineStr">
        <is>
          <t>jeminise.com+custom-football-player-holding-ball-close-up-comforter-with-football-helmet-da6d035722-da6d035722</t>
        </is>
      </c>
      <c r="B45" s="3" t="inlineStr">
        <is>
          <t>qaimg_045a0e1fc27d667f</t>
        </is>
      </c>
      <c r="C45" s="4" t="inlineStr">
        <is>
          <t>https://cdn.shopify.com/s/files/1/0792/5098/1063/files/d09cde05bae2d677d2ef736903c270f153043d22dadaa7af36395df5765e9779.jpg?v=1785101391</t>
        </is>
      </c>
      <c r="D45" s="4" t="inlineStr">
        <is>
          <t>https://cdn.shopify.com/s/files/1/0792/5098/1063/files/d09cde05bae2d677d2ef736903c270f153043d22dadaa7af36395df5765e9779.jpg?v=1785101391</t>
        </is>
      </c>
      <c r="E45" s="3" t="inlineStr">
        <is>
          <t>38506815193287</t>
        </is>
      </c>
      <c r="F45" s="3" t="inlineStr">
        <is>
          <t>47540254834887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2026-09-07T17:06:29.516037+07:00</t>
        </is>
      </c>
      <c r="K45" s="3" t="inlineStr">
        <is>
          <t>Second bedroom mockup of smoky black-and-white football player holding a ball with sample name David and number 15.</t>
        </is>
      </c>
      <c r="L45" s="3" t="inlineStr">
        <is>
          <t>Angled bedroom mockup showing personalized black and white football player helmet comforter with David number 15.</t>
        </is>
      </c>
      <c r="M45" s="3" t="inlineStr">
        <is>
          <t>Custom Football Player Holding Ball Close Up Comforter with Football Helmet</t>
        </is>
      </c>
      <c r="N45" s="3" t="inlineStr">
        <is>
          <t>SET</t>
        </is>
      </c>
      <c r="O45" s="3" t="inlineStr">
        <is>
          <t>Angled bedroom view of Custom Football Player Helmet Comforter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["seo_runs\\jeminise.com\\20260906_234129\\evidence\\images\\68_custom-football-player-holding-ball-close-up-comforter-with-football-helmet-da6d035722-da6d035722\\image_02_47540254834887.jpg;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"https://cdn.shopify.com/s/files/1/0792/5098/1063/files/d09cde05bae2d677d2ef736903c270f153043d22dadaa7af36395df5765e9779.jpg?v=1785101391"]</t>
        </is>
      </c>
    </row>
    <row r="46" ht="66" customHeight="1">
      <c r="A46" s="2" t="inlineStr">
        <is>
          <t>jeminise.com+custom-football-player-holding-ball-close-up-comforter-with-football-helmet-da6d035722-da6d035722</t>
        </is>
      </c>
      <c r="B46" s="2" t="inlineStr">
        <is>
          <t>qaimg_cf06ccb14b4d37b4</t>
        </is>
      </c>
      <c r="C46" s="4" t="inlineStr">
        <is>
          <t>https://cdn.shopify.com/s/files/1/0792/5098/1063/files/16f7293cbefa5743a35b2e6316a5a114e5c052d08151e367dafd26aa5e2e542b_2bd640e6-744b-488f-af6c-95f99296be3c.jpg?v=1785101391</t>
        </is>
      </c>
      <c r="D46" s="4" t="inlineStr">
        <is>
          <t>https://cdn.shopify.com/s/files/1/0792/5098/1063/files/16f7293cbefa5743a35b2e6316a5a114e5c052d08151e367dafd26aa5e2e542b_2bd640e6-744b-488f-af6c-95f99296be3c.jpg?v=1785101391</t>
        </is>
      </c>
      <c r="E46" s="2" t="inlineStr">
        <is>
          <t>38506815226055</t>
        </is>
      </c>
      <c r="F46" s="2" t="inlineStr">
        <is>
          <t>47540254867655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2026-09-07T17:06:29.516037+07:00</t>
        </is>
      </c>
      <c r="K46" s="2" t="inlineStr">
        <is>
          <t>Product-type comparison explaining that a duvet cover needs an insert while a comforter includes filling.</t>
        </is>
      </c>
      <c r="L46" s="2" t="inlineStr">
        <is>
          <t>Bedding type comparison for duvet cover set versus comforter set.</t>
        </is>
      </c>
      <c r="M46" s="2" t="inlineStr">
        <is>
          <t>Custom Football Player Holding Ball Close Up Comforter with Football Helmet</t>
        </is>
      </c>
      <c r="N46" s="2" t="inlineStr">
        <is>
          <t>SET</t>
        </is>
      </c>
      <c r="O46" s="2" t="inlineStr">
        <is>
          <t>Duvet cover and comforter option guide for Custom Football Player Helmet Comforter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["seo_runs\\jeminise.com\\20260906_234129\\evidence\\images\\68_custom-football-player-holding-ball-close-up-comforter-with-football-helmet-da6d035722-da6d035722\\image_03_47540254867655.jpg;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"https://cdn.shopify.com/s/files/1/0792/5098/1063/files/16f7293cbefa5743a35b2e6316a5a114e5c052d08151e367dafd26aa5e2e542b_2bd640e6-744b-488f-af6c-95f99296be3c.jpg?v=1785101391"]</t>
        </is>
      </c>
    </row>
    <row r="47" ht="66" customHeight="1">
      <c r="A47" s="3" t="inlineStr">
        <is>
          <t>jeminise.com+custom-football-player-holding-ball-close-up-comforter-with-football-helmet-da6d035722-da6d035722</t>
        </is>
      </c>
      <c r="B47" s="3" t="inlineStr">
        <is>
          <t>qaimg_88a447baa4265a5d</t>
        </is>
      </c>
      <c r="C47" s="4" t="inlineStr">
        <is>
          <t>https://cdn.shopify.com/s/files/1/0792/5098/1063/files/0f83c2a690f63495a8b1a3f421d5c94898c7a977d0ddc7f8c1817e18e72e02dc.jpg?v=1785101391</t>
        </is>
      </c>
      <c r="D47" s="4" t="inlineStr">
        <is>
          <t>https://cdn.shopify.com/s/files/1/0792/5098/1063/files/0f83c2a690f63495a8b1a3f421d5c94898c7a977d0ddc7f8c1817e18e72e02dc.jpg?v=1785101391</t>
        </is>
      </c>
      <c r="E47" s="3" t="inlineStr">
        <is>
          <t>38506815258823</t>
        </is>
      </c>
      <c r="F47" s="3" t="inlineStr">
        <is>
          <t>47540254900423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2026-09-07T17:06:29.516037+07:00</t>
        </is>
      </c>
      <c r="K47" s="3" t="inlineStr">
        <is>
          <t>Close bedroom feature panel for smoky black-and-white football player holding a ball with sample name David and number 15, marked soft, lightweight, durable and breathable.</t>
        </is>
      </c>
      <c r="L47" s="3" t="inlineStr">
        <is>
          <t>Close room/detail image with softness, lightweight, durable and breathable icons for personalized black and white football player helmet comforter with David number 15.</t>
        </is>
      </c>
      <c r="M47" s="3" t="inlineStr">
        <is>
          <t>Custom Football Player Holding Ball Close Up Comforter with Football Helmet</t>
        </is>
      </c>
      <c r="N47" s="3" t="inlineStr">
        <is>
          <t>SET</t>
        </is>
      </c>
      <c r="O47" s="3" t="inlineStr">
        <is>
          <t>Close-up bedroom detail of Custom Football Player Helmet Comforter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PARTIAL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["ISS-068-IMG-04"]</t>
        </is>
      </c>
      <c r="Z47" s="3" t="inlineStr">
        <is>
          <t>["seo_runs\\jeminise.com\\20260906_234129\\evidence\\images\\68_custom-football-player-holding-ball-close-up-comforter-with-football-helmet-da6d035722-da6d035722\\image_04_47540254900423.jpg;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"https://cdn.shopify.com/s/files/1/0792/5098/1063/files/0f83c2a690f63495a8b1a3f421d5c94898c7a977d0ddc7f8c1817e18e72e02dc.jpg?v=1785101391"]</t>
        </is>
      </c>
    </row>
    <row r="48" ht="66" customHeight="1">
      <c r="A48" s="2" t="inlineStr">
        <is>
          <t>jeminise.com+custom-football-player-holding-ball-close-up-comforter-with-football-helmet-da6d035722-da6d035722</t>
        </is>
      </c>
      <c r="B48" s="2" t="inlineStr">
        <is>
          <t>qaimg_1435fef2620b00f3</t>
        </is>
      </c>
      <c r="C48" s="4" t="inlineStr">
        <is>
          <t>https://cdn.shopify.com/s/files/1/0792/5098/1063/files/7c006bddc94d4763c71c8376307e195c1bbce73b8c802ec73ac5a8cef1291262_4cf9dde5-6a5a-430c-b756-57f444b30531.jpg?v=1785101391</t>
        </is>
      </c>
      <c r="D48" s="4" t="inlineStr">
        <is>
          <t>https://cdn.shopify.com/s/files/1/0792/5098/1063/files/7c006bddc94d4763c71c8376307e195c1bbce73b8c802ec73ac5a8cef1291262_4cf9dde5-6a5a-430c-b756-57f444b30531.jpg?v=1785101391</t>
        </is>
      </c>
      <c r="E48" s="2" t="inlineStr">
        <is>
          <t>38506815291591</t>
        </is>
      </c>
      <c r="F48" s="2" t="inlineStr">
        <is>
          <t>47540254933191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2026-09-07T17:06:29.516037+07:00</t>
        </is>
      </c>
      <c r="K48" s="2" t="inlineStr">
        <is>
          <t>Easy-care panel marked wrinkle-free, stain-proof, anti-pilling and resistant to fading in the wash.</t>
        </is>
      </c>
      <c r="L48" s="2" t="inlineStr">
        <is>
          <t>Stress-free easy-care image listing wrinkle-free, stain-proof, anti-pilling and wash-fade resistance.</t>
        </is>
      </c>
      <c r="M48" s="2" t="inlineStr">
        <is>
          <t>Custom Football Player Holding Ball Close Up Comforter with Football Helmet</t>
        </is>
      </c>
      <c r="N48" s="2" t="inlineStr">
        <is>
          <t>SET</t>
        </is>
      </c>
      <c r="O48" s="2" t="inlineStr">
        <is>
          <t>Easy care information for Custom Football Player Helmet Comforter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["seo_runs\\jeminise.com\\20260906_234129\\evidence\\images\\68_custom-football-player-holding-ball-close-up-comforter-with-football-helmet-da6d035722-da6d035722\\image_05_47540254933191.jpg;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"https://cdn.shopify.com/s/files/1/0792/5098/1063/files/7c006bddc94d4763c71c8376307e195c1bbce73b8c802ec73ac5a8cef1291262_4cf9dde5-6a5a-430c-b756-57f444b30531.jpg?v=1785101391"]</t>
        </is>
      </c>
    </row>
    <row r="49" ht="66" customHeight="1">
      <c r="A49" s="3" t="inlineStr">
        <is>
          <t>jeminise.com+custom-football-player-holding-ball-close-up-comforter-with-football-helmet-da6d035722-da6d035722</t>
        </is>
      </c>
      <c r="B49" s="3" t="inlineStr">
        <is>
          <t>qaimg_a84da134380144cd</t>
        </is>
      </c>
      <c r="C49" s="4" t="inlineStr">
        <is>
          <t>https://cdn.shopify.com/s/files/1/0792/5098/1063/files/e5cad84edb4d7bf77c48fd7c8e52eb3b73f04eba8bf177671fd8a059c59422e8_544fd4c0-618c-4cd0-8575-596321cd9c5b.jpg?v=1785101391</t>
        </is>
      </c>
      <c r="D49" s="4" t="inlineStr">
        <is>
          <t>https://cdn.shopify.com/s/files/1/0792/5098/1063/files/e5cad84edb4d7bf77c48fd7c8e52eb3b73f04eba8bf177671fd8a059c59422e8_544fd4c0-618c-4cd0-8575-596321cd9c5b.jpg?v=1785101391</t>
        </is>
      </c>
      <c r="E49" s="3" t="inlineStr">
        <is>
          <t>38506815324359</t>
        </is>
      </c>
      <c r="F49" s="3" t="inlineStr">
        <is>
          <t>47540254965959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2026-09-07T17:06:29.516037+07:00</t>
        </is>
      </c>
      <c r="K49" s="3" t="inlineStr">
        <is>
          <t>Comforter size-dimension chart for Twin 68x86, Full 79x90, Queen 90x90 and King 90x104 inches.</t>
        </is>
      </c>
      <c r="L49" s="3" t="inlineStr">
        <is>
          <t>Size dimension guide for twin, full, queen and king comforter options.</t>
        </is>
      </c>
      <c r="M49" s="3" t="inlineStr">
        <is>
          <t>Custom Football Player Holding Ball Close Up Comforter with Football Helmet</t>
        </is>
      </c>
      <c r="N49" s="3" t="inlineStr">
        <is>
          <t>SET</t>
        </is>
      </c>
      <c r="O49" s="3" t="inlineStr">
        <is>
          <t>Size dimension guide for Custom Football Player Helmet Comforter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["seo_runs\\jeminise.com\\20260906_234129\\evidence\\images\\68_custom-football-player-holding-ball-close-up-comforter-with-football-helmet-da6d035722-da6d035722\\image_06_47540254965959.jpg; seo_runs\\jeminise.com\\20260906_234129\\evidence\\contact_sheets\\68_custom-football-player-holding-ball-close-up-comforter-with-football-helmet-da6d035722-da6d035722.jpg", "https://jeminise.com/products/custom-football-player-holding-ball-close-up-comforter-with-football-helmet-da6d035722-da6d035722", "https://cdn.shopify.com/s/files/1/0792/5098/1063/files/e5cad84edb4d7bf77c48fd7c8e52eb3b73f04eba8bf177671fd8a059c59422e8_544fd4c0-618c-4cd0-8575-596321cd9c5b.jpg?v=1785101391"]</t>
        </is>
      </c>
    </row>
    <row r="50" ht="66" customHeight="1">
      <c r="A50" s="2" t="inlineStr">
        <is>
          <t>jeminise.com+custom-football-player-holding-ball-collage-comforter-with-football-helmet-08a49e7d2b-08a49e7d2b</t>
        </is>
      </c>
      <c r="B50" s="2" t="inlineStr">
        <is>
          <t>qaimg_40b6d5eb8ec0de97</t>
        </is>
      </c>
      <c r="C50" s="4" t="inlineStr">
        <is>
          <t>https://cdn.shopify.com/s/files/1/0792/5098/1063/files/2387dd0e6ebef7e3c8c8dbe840589c32b2c3aae39617d615d25c5335b8cb3c91.jpg?v=1785100362</t>
        </is>
      </c>
      <c r="D50" s="4" t="inlineStr">
        <is>
          <t>https://cdn.shopify.com/s/files/1/0792/5098/1063/files/2387dd0e6ebef7e3c8c8dbe840589c32b2c3aae39617d615d25c5335b8cb3c91.jpg?v=1785100362</t>
        </is>
      </c>
      <c r="E50" s="2" t="inlineStr">
        <is>
          <t>38506719772871</t>
        </is>
      </c>
      <c r="F50" s="2" t="inlineStr">
        <is>
          <t>47540159316167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2026-09-07T17:06:29.516037+07:00</t>
        </is>
      </c>
      <c r="K50" s="2" t="inlineStr">
        <is>
          <t>Front bedroom mockup of black-and-white football player collage with sample name MICHAEL and number 30.</t>
        </is>
      </c>
      <c r="L50" s="2" t="inlineStr">
        <is>
          <t>Main bed mockup showing personalized football player collage comforter with Michael number 30.</t>
        </is>
      </c>
      <c r="M50" s="2" t="inlineStr">
        <is>
          <t>Custom Football Player Holding Ball Collage Comforter with Football Helmet</t>
        </is>
      </c>
      <c r="N50" s="2" t="inlineStr">
        <is>
          <t>SET</t>
        </is>
      </c>
      <c r="O50" s="2" t="inlineStr">
        <is>
          <t>Personalized Football Player Collage Comforter displayed on a bed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["seo_runs\\jeminise.com\\20260906_234129\\evidence\\images\\69_custom-football-player-holding-ball-collage-comforter-with-football-helmet-08a49e7d2b-08a49e7d2b\\image_01_47540159316167.jpg;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"https://cdn.shopify.com/s/files/1/0792/5098/1063/files/2387dd0e6ebef7e3c8c8dbe840589c32b2c3aae39617d615d25c5335b8cb3c91.jpg?v=1785100362"]</t>
        </is>
      </c>
    </row>
    <row r="51" ht="66" customHeight="1">
      <c r="A51" s="3" t="inlineStr">
        <is>
          <t>jeminise.com+custom-football-player-holding-ball-collage-comforter-with-football-helmet-08a49e7d2b-08a49e7d2b</t>
        </is>
      </c>
      <c r="B51" s="3" t="inlineStr">
        <is>
          <t>qaimg_fd46d050dedef1a5</t>
        </is>
      </c>
      <c r="C51" s="4" t="inlineStr">
        <is>
          <t>https://cdn.shopify.com/s/files/1/0792/5098/1063/files/d56b28337b1c8527f82e34001f932a980b468d641ced5c9c7870e97c631aa46c.jpg?v=1785100362</t>
        </is>
      </c>
      <c r="D51" s="4" t="inlineStr">
        <is>
          <t>https://cdn.shopify.com/s/files/1/0792/5098/1063/files/d56b28337b1c8527f82e34001f932a980b468d641ced5c9c7870e97c631aa46c.jpg?v=1785100362</t>
        </is>
      </c>
      <c r="E51" s="3" t="inlineStr">
        <is>
          <t>38506719805639</t>
        </is>
      </c>
      <c r="F51" s="3" t="inlineStr">
        <is>
          <t>47540159348935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2026-09-07T17:06:29.516037+07:00</t>
        </is>
      </c>
      <c r="K51" s="3" t="inlineStr">
        <is>
          <t>Second bedroom mockup of black-and-white football player collage with sample name MICHAEL and number 30.</t>
        </is>
      </c>
      <c r="L51" s="3" t="inlineStr">
        <is>
          <t>Angled bedroom mockup showing personalized football player collage comforter with Michael number 30.</t>
        </is>
      </c>
      <c r="M51" s="3" t="inlineStr">
        <is>
          <t>Custom Football Player Holding Ball Collage Comforter with Football Helmet</t>
        </is>
      </c>
      <c r="N51" s="3" t="inlineStr">
        <is>
          <t>SET</t>
        </is>
      </c>
      <c r="O51" s="3" t="inlineStr">
        <is>
          <t>Angled bedroom view of Personalized Football Player Collage Comforter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["seo_runs\\jeminise.com\\20260906_234129\\evidence\\images\\69_custom-football-player-holding-ball-collage-comforter-with-football-helmet-08a49e7d2b-08a49e7d2b\\image_02_47540159348935.jpg;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"https://cdn.shopify.com/s/files/1/0792/5098/1063/files/d56b28337b1c8527f82e34001f932a980b468d641ced5c9c7870e97c631aa46c.jpg?v=1785100362"]</t>
        </is>
      </c>
    </row>
    <row r="52" ht="66" customHeight="1">
      <c r="A52" s="2" t="inlineStr">
        <is>
          <t>jeminise.com+custom-football-player-holding-ball-collage-comforter-with-football-helmet-08a49e7d2b-08a49e7d2b</t>
        </is>
      </c>
      <c r="B52" s="2" t="inlineStr">
        <is>
          <t>qaimg_162f9a9a9c9e0b6b</t>
        </is>
      </c>
      <c r="C52" s="4" t="inlineStr">
        <is>
          <t>https://cdn.shopify.com/s/files/1/0792/5098/1063/files/16f7293cbefa5743a35b2e6316a5a114e5c052d08151e367dafd26aa5e2e542b_4ccd16c8-31c4-473d-8462-01da7bec14ac.jpg?v=1785100362</t>
        </is>
      </c>
      <c r="D52" s="4" t="inlineStr">
        <is>
          <t>https://cdn.shopify.com/s/files/1/0792/5098/1063/files/16f7293cbefa5743a35b2e6316a5a114e5c052d08151e367dafd26aa5e2e542b_4ccd16c8-31c4-473d-8462-01da7bec14ac.jpg?v=1785100362</t>
        </is>
      </c>
      <c r="E52" s="2" t="inlineStr">
        <is>
          <t>38506719838407</t>
        </is>
      </c>
      <c r="F52" s="2" t="inlineStr">
        <is>
          <t>47540159381703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2026-09-07T17:06:29.516037+07:00</t>
        </is>
      </c>
      <c r="K52" s="2" t="inlineStr">
        <is>
          <t>Product-type comparison explaining that a duvet cover needs an insert while a comforter includes filling.</t>
        </is>
      </c>
      <c r="L52" s="2" t="inlineStr">
        <is>
          <t>Bedding type comparison for duvet cover set versus comforter set.</t>
        </is>
      </c>
      <c r="M52" s="2" t="inlineStr">
        <is>
          <t>Custom Football Player Holding Ball Collage Comforter with Football Helmet</t>
        </is>
      </c>
      <c r="N52" s="2" t="inlineStr">
        <is>
          <t>SET</t>
        </is>
      </c>
      <c r="O52" s="2" t="inlineStr">
        <is>
          <t>Duvet cover and comforter option guide for Personalized Football Player Collage Comforter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["seo_runs\\jeminise.com\\20260906_234129\\evidence\\images\\69_custom-football-player-holding-ball-collage-comforter-with-football-helmet-08a49e7d2b-08a49e7d2b\\image_03_47540159381703.jpg;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"https://cdn.shopify.com/s/files/1/0792/5098/1063/files/16f7293cbefa5743a35b2e6316a5a114e5c052d08151e367dafd26aa5e2e542b_4ccd16c8-31c4-473d-8462-01da7bec14ac.jpg?v=1785100362"]</t>
        </is>
      </c>
    </row>
    <row r="53" ht="66" customHeight="1">
      <c r="A53" s="3" t="inlineStr">
        <is>
          <t>jeminise.com+custom-football-player-holding-ball-collage-comforter-with-football-helmet-08a49e7d2b-08a49e7d2b</t>
        </is>
      </c>
      <c r="B53" s="3" t="inlineStr">
        <is>
          <t>qaimg_422281dfabf56b57</t>
        </is>
      </c>
      <c r="C53" s="4" t="inlineStr">
        <is>
          <t>https://cdn.shopify.com/s/files/1/0792/5098/1063/files/dc7df39840ff0af911e29caad57b1dd40e2fa90ac2175e90959a95f17c0340bb.jpg?v=1785100362</t>
        </is>
      </c>
      <c r="D53" s="4" t="inlineStr">
        <is>
          <t>https://cdn.shopify.com/s/files/1/0792/5098/1063/files/dc7df39840ff0af911e29caad57b1dd40e2fa90ac2175e90959a95f17c0340bb.jpg?v=1785100362</t>
        </is>
      </c>
      <c r="E53" s="3" t="inlineStr">
        <is>
          <t>38506719871175</t>
        </is>
      </c>
      <c r="F53" s="3" t="inlineStr">
        <is>
          <t>47540159414471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2026-09-07T17:06:29.516037+07:00</t>
        </is>
      </c>
      <c r="K53" s="3" t="inlineStr">
        <is>
          <t>Close bedroom feature panel for black-and-white football player collage with sample name MICHAEL and number 30, marked soft, lightweight, durable and breathable.</t>
        </is>
      </c>
      <c r="L53" s="3" t="inlineStr">
        <is>
          <t>Close room/detail image with softness, lightweight, durable and breathable icons for personalized football player collage comforter with Michael number 30.</t>
        </is>
      </c>
      <c r="M53" s="3" t="inlineStr">
        <is>
          <t>Custom Football Player Holding Ball Collage Comforter with Football Helmet</t>
        </is>
      </c>
      <c r="N53" s="3" t="inlineStr">
        <is>
          <t>SET</t>
        </is>
      </c>
      <c r="O53" s="3" t="inlineStr">
        <is>
          <t>Close-up bedroom detail of Personalized Football Player Collage Comforter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PARTIAL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["ISS-069-IMG-04"]</t>
        </is>
      </c>
      <c r="Z53" s="3" t="inlineStr">
        <is>
          <t>["seo_runs\\jeminise.com\\20260906_234129\\evidence\\images\\69_custom-football-player-holding-ball-collage-comforter-with-football-helmet-08a49e7d2b-08a49e7d2b\\image_04_47540159414471.jpg;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"https://cdn.shopify.com/s/files/1/0792/5098/1063/files/dc7df39840ff0af911e29caad57b1dd40e2fa90ac2175e90959a95f17c0340bb.jpg?v=1785100362"]</t>
        </is>
      </c>
    </row>
    <row r="54" ht="66" customHeight="1">
      <c r="A54" s="2" t="inlineStr">
        <is>
          <t>jeminise.com+custom-football-player-holding-ball-collage-comforter-with-football-helmet-08a49e7d2b-08a49e7d2b</t>
        </is>
      </c>
      <c r="B54" s="2" t="inlineStr">
        <is>
          <t>qaimg_932f3b7d3e32a3e3</t>
        </is>
      </c>
      <c r="C54" s="4" t="inlineStr">
        <is>
          <t>https://cdn.shopify.com/s/files/1/0792/5098/1063/files/7c006bddc94d4763c71c8376307e195c1bbce73b8c802ec73ac5a8cef1291262_67edeec3-f3c5-49ac-aaa0-6f290420b93f.jpg?v=1785100363</t>
        </is>
      </c>
      <c r="D54" s="4" t="inlineStr">
        <is>
          <t>https://cdn.shopify.com/s/files/1/0792/5098/1063/files/7c006bddc94d4763c71c8376307e195c1bbce73b8c802ec73ac5a8cef1291262_67edeec3-f3c5-49ac-aaa0-6f290420b93f.jpg?v=1785100363</t>
        </is>
      </c>
      <c r="E54" s="2" t="inlineStr">
        <is>
          <t>38506719903943</t>
        </is>
      </c>
      <c r="F54" s="2" t="inlineStr">
        <is>
          <t>47540159447239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2026-09-07T17:06:29.516037+07:00</t>
        </is>
      </c>
      <c r="K54" s="2" t="inlineStr">
        <is>
          <t>Easy-care panel marked wrinkle-free, stain-proof, anti-pilling and resistant to fading in the wash.</t>
        </is>
      </c>
      <c r="L54" s="2" t="inlineStr">
        <is>
          <t>Stress-free easy-care image listing wrinkle-free, stain-proof, anti-pilling and wash-fade resistance.</t>
        </is>
      </c>
      <c r="M54" s="2" t="inlineStr">
        <is>
          <t>Custom Football Player Holding Ball Collage Comforter with Football Helmet</t>
        </is>
      </c>
      <c r="N54" s="2" t="inlineStr">
        <is>
          <t>SET</t>
        </is>
      </c>
      <c r="O54" s="2" t="inlineStr">
        <is>
          <t>Easy care information for Personalized Football Player Collage Comforter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["seo_runs\\jeminise.com\\20260906_234129\\evidence\\images\\69_custom-football-player-holding-ball-collage-comforter-with-football-helmet-08a49e7d2b-08a49e7d2b\\image_05_47540159447239.jpg;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"https://cdn.shopify.com/s/files/1/0792/5098/1063/files/7c006bddc94d4763c71c8376307e195c1bbce73b8c802ec73ac5a8cef1291262_67edeec3-f3c5-49ac-aaa0-6f290420b93f.jpg?v=1785100363"]</t>
        </is>
      </c>
    </row>
    <row r="55" ht="66" customHeight="1">
      <c r="A55" s="3" t="inlineStr">
        <is>
          <t>jeminise.com+custom-football-player-holding-ball-collage-comforter-with-football-helmet-08a49e7d2b-08a49e7d2b</t>
        </is>
      </c>
      <c r="B55" s="3" t="inlineStr">
        <is>
          <t>qaimg_f88e27997c13b5a0</t>
        </is>
      </c>
      <c r="C55" s="4" t="inlineStr">
        <is>
          <t>https://cdn.shopify.com/s/files/1/0792/5098/1063/files/e5cad84edb4d7bf77c48fd7c8e52eb3b73f04eba8bf177671fd8a059c59422e8_aa3c82b3-9c2a-4b7b-8fac-aca5dc7854af.jpg?v=1785100362</t>
        </is>
      </c>
      <c r="D55" s="4" t="inlineStr">
        <is>
          <t>https://cdn.shopify.com/s/files/1/0792/5098/1063/files/e5cad84edb4d7bf77c48fd7c8e52eb3b73f04eba8bf177671fd8a059c59422e8_aa3c82b3-9c2a-4b7b-8fac-aca5dc7854af.jpg?v=1785100362</t>
        </is>
      </c>
      <c r="E55" s="3" t="inlineStr">
        <is>
          <t>38506719936711</t>
        </is>
      </c>
      <c r="F55" s="3" t="inlineStr">
        <is>
          <t>47540159480007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2026-09-07T17:06:29.516037+07:00</t>
        </is>
      </c>
      <c r="K55" s="3" t="inlineStr">
        <is>
          <t>Comforter size-dimension chart for Twin 68x86, Full 79x90, Queen 90x90 and King 90x104 inches.</t>
        </is>
      </c>
      <c r="L55" s="3" t="inlineStr">
        <is>
          <t>Size dimension guide for twin, full, queen and king comforter options.</t>
        </is>
      </c>
      <c r="M55" s="3" t="inlineStr">
        <is>
          <t>Custom Football Player Holding Ball Collage Comforter with Football Helmet</t>
        </is>
      </c>
      <c r="N55" s="3" t="inlineStr">
        <is>
          <t>SET</t>
        </is>
      </c>
      <c r="O55" s="3" t="inlineStr">
        <is>
          <t>Size dimension guide for Personalized Football Player Collage Comforter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["seo_runs\\jeminise.com\\20260906_234129\\evidence\\images\\69_custom-football-player-holding-ball-collage-comforter-with-football-helmet-08a49e7d2b-08a49e7d2b\\image_06_47540159480007.jpg; seo_runs\\jeminise.com\\20260906_234129\\evidence\\contact_sheets\\69_custom-football-player-holding-ball-collage-comforter-with-football-helmet-08a49e7d2b-08a49e7d2b.jpg", "https://jeminise.com/products/custom-football-player-holding-ball-collage-comforter-with-football-helmet-08a49e7d2b-08a49e7d2b", "https://cdn.shopify.com/s/files/1/0792/5098/1063/files/e5cad84edb4d7bf77c48fd7c8e52eb3b73f04eba8bf177671fd8a059c59422e8_aa3c82b3-9c2a-4b7b-8fac-aca5dc7854af.jpg?v=1785100362"]</t>
        </is>
      </c>
    </row>
    <row r="56" ht="66" customHeight="1">
      <c r="A56" s="2" t="inlineStr">
        <is>
          <t>jeminise.com+custom-football-player-running-on-camouflage-flag-comforter-9b84ecda23-9b84ecda23</t>
        </is>
      </c>
      <c r="B56" s="2" t="inlineStr">
        <is>
          <t>qaimg_f3ed0704ed111abf</t>
        </is>
      </c>
      <c r="C56" s="4" t="inlineStr">
        <is>
          <t>https://cdn.shopify.com/s/files/1/0792/5098/1063/files/3ee5b6b2c637d9ca6593a2ef7304dc7e08afaed5c101e64cd7d8461283719c4b.jpg?v=1785101107</t>
        </is>
      </c>
      <c r="D56" s="4" t="inlineStr">
        <is>
          <t>https://cdn.shopify.com/s/files/1/0792/5098/1063/files/3ee5b6b2c637d9ca6593a2ef7304dc7e08afaed5c101e64cd7d8461283719c4b.jpg?v=1785101107</t>
        </is>
      </c>
      <c r="E56" s="2" t="inlineStr">
        <is>
          <t>38506781606087</t>
        </is>
      </c>
      <c r="F56" s="2" t="inlineStr">
        <is>
          <t>47540221247687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2026-09-07T17:06:29.516037+07:00</t>
        </is>
      </c>
      <c r="K56" s="2" t="inlineStr">
        <is>
          <t>Front bedroom mockup of running football player over a green camouflage flag design with sample name ROBERT and number 09.</t>
        </is>
      </c>
      <c r="L56" s="2" t="inlineStr">
        <is>
          <t>Main bed mockup showing personalized camouflage football player comforter with Robert number 09.</t>
        </is>
      </c>
      <c r="M56" s="2" t="inlineStr">
        <is>
          <t>Custom Football Player Running on Camouflage Flag Comforter</t>
        </is>
      </c>
      <c r="N56" s="2" t="inlineStr">
        <is>
          <t>SET</t>
        </is>
      </c>
      <c r="O56" s="2" t="inlineStr">
        <is>
          <t>Personalized Camouflage Football Comforter displayed on a bed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["seo_runs\\jeminise.com\\20260906_234129\\evidence\\images\\70_custom-football-player-running-on-camouflage-flag-comforter-9b84ecda23-9b84ecda23\\image_01_47540221247687.jpg;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"https://cdn.shopify.com/s/files/1/0792/5098/1063/files/3ee5b6b2c637d9ca6593a2ef7304dc7e08afaed5c101e64cd7d8461283719c4b.jpg?v=1785101107"]</t>
        </is>
      </c>
    </row>
    <row r="57" ht="66" customHeight="1">
      <c r="A57" s="3" t="inlineStr">
        <is>
          <t>jeminise.com+custom-football-player-running-on-camouflage-flag-comforter-9b84ecda23-9b84ecda23</t>
        </is>
      </c>
      <c r="B57" s="3" t="inlineStr">
        <is>
          <t>qaimg_71cf5113599f2f68</t>
        </is>
      </c>
      <c r="C57" s="4" t="inlineStr">
        <is>
          <t>https://cdn.shopify.com/s/files/1/0792/5098/1063/files/ac09f7e8d1071bde0465d84b2ecfaa910299d8a909dbb8c1ca6fee5cc5763058.jpg?v=1785101107</t>
        </is>
      </c>
      <c r="D57" s="4" t="inlineStr">
        <is>
          <t>https://cdn.shopify.com/s/files/1/0792/5098/1063/files/ac09f7e8d1071bde0465d84b2ecfaa910299d8a909dbb8c1ca6fee5cc5763058.jpg?v=1785101107</t>
        </is>
      </c>
      <c r="E57" s="3" t="inlineStr">
        <is>
          <t>38506781638855</t>
        </is>
      </c>
      <c r="F57" s="3" t="inlineStr">
        <is>
          <t>47540221280455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2026-09-07T17:06:29.516037+07:00</t>
        </is>
      </c>
      <c r="K57" s="3" t="inlineStr">
        <is>
          <t>Second bedroom mockup of running football player over a green camouflage flag design with sample name ROBERT and number 09.</t>
        </is>
      </c>
      <c r="L57" s="3" t="inlineStr">
        <is>
          <t>Angled bedroom mockup showing personalized camouflage football player comforter with Robert number 09.</t>
        </is>
      </c>
      <c r="M57" s="3" t="inlineStr">
        <is>
          <t>Custom Football Player Running on Camouflage Flag Comforter</t>
        </is>
      </c>
      <c r="N57" s="3" t="inlineStr">
        <is>
          <t>SET</t>
        </is>
      </c>
      <c r="O57" s="3" t="inlineStr">
        <is>
          <t>Angled bedroom view of Personalized Camouflage Football Comforter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["seo_runs\\jeminise.com\\20260906_234129\\evidence\\images\\70_custom-football-player-running-on-camouflage-flag-comforter-9b84ecda23-9b84ecda23\\image_02_47540221280455.jpg;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"https://cdn.shopify.com/s/files/1/0792/5098/1063/files/ac09f7e8d1071bde0465d84b2ecfaa910299d8a909dbb8c1ca6fee5cc5763058.jpg?v=1785101107"]</t>
        </is>
      </c>
    </row>
    <row r="58" ht="66" customHeight="1">
      <c r="A58" s="2" t="inlineStr">
        <is>
          <t>jeminise.com+custom-football-player-running-on-camouflage-flag-comforter-9b84ecda23-9b84ecda23</t>
        </is>
      </c>
      <c r="B58" s="2" t="inlineStr">
        <is>
          <t>qaimg_0afd77d63b9de29b</t>
        </is>
      </c>
      <c r="C58" s="4" t="inlineStr">
        <is>
          <t>https://cdn.shopify.com/s/files/1/0792/5098/1063/files/16f7293cbefa5743a35b2e6316a5a114e5c052d08151e367dafd26aa5e2e542b_225f8a38-3d1d-46eb-86af-832c2b5752a3.jpg?v=1785101108</t>
        </is>
      </c>
      <c r="D58" s="4" t="inlineStr">
        <is>
          <t>https://cdn.shopify.com/s/files/1/0792/5098/1063/files/16f7293cbefa5743a35b2e6316a5a114e5c052d08151e367dafd26aa5e2e542b_225f8a38-3d1d-46eb-86af-832c2b5752a3.jpg?v=1785101108</t>
        </is>
      </c>
      <c r="E58" s="2" t="inlineStr">
        <is>
          <t>38506781671623</t>
        </is>
      </c>
      <c r="F58" s="2" t="inlineStr">
        <is>
          <t>47540221313223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2026-09-07T17:06:29.516037+07:00</t>
        </is>
      </c>
      <c r="K58" s="2" t="inlineStr">
        <is>
          <t>Product-type comparison explaining that a duvet cover needs an insert while a comforter includes filling.</t>
        </is>
      </c>
      <c r="L58" s="2" t="inlineStr">
        <is>
          <t>Bedding type comparison for duvet cover set versus comforter set.</t>
        </is>
      </c>
      <c r="M58" s="2" t="inlineStr">
        <is>
          <t>Custom Football Player Running on Camouflage Flag Comforter</t>
        </is>
      </c>
      <c r="N58" s="2" t="inlineStr">
        <is>
          <t>SET</t>
        </is>
      </c>
      <c r="O58" s="2" t="inlineStr">
        <is>
          <t>Duvet cover and comforter option guide for Personalized Camouflage Football Comforter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["seo_runs\\jeminise.com\\20260906_234129\\evidence\\images\\70_custom-football-player-running-on-camouflage-flag-comforter-9b84ecda23-9b84ecda23\\image_03_47540221313223.jpg;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"https://cdn.shopify.com/s/files/1/0792/5098/1063/files/16f7293cbefa5743a35b2e6316a5a114e5c052d08151e367dafd26aa5e2e542b_225f8a38-3d1d-46eb-86af-832c2b5752a3.jpg?v=1785101108"]</t>
        </is>
      </c>
    </row>
    <row r="59" ht="66" customHeight="1">
      <c r="A59" s="3" t="inlineStr">
        <is>
          <t>jeminise.com+custom-football-player-running-on-camouflage-flag-comforter-9b84ecda23-9b84ecda23</t>
        </is>
      </c>
      <c r="B59" s="3" t="inlineStr">
        <is>
          <t>qaimg_b3d22fa4055c8a64</t>
        </is>
      </c>
      <c r="C59" s="4" t="inlineStr">
        <is>
          <t>https://cdn.shopify.com/s/files/1/0792/5098/1063/files/12a5c0319c0b98903186915a5eef5ffb353144c8ea679fd09ed7d7454b8aa2aa.jpg?v=1785101108</t>
        </is>
      </c>
      <c r="D59" s="4" t="inlineStr">
        <is>
          <t>https://cdn.shopify.com/s/files/1/0792/5098/1063/files/12a5c0319c0b98903186915a5eef5ffb353144c8ea679fd09ed7d7454b8aa2aa.jpg?v=1785101108</t>
        </is>
      </c>
      <c r="E59" s="3" t="inlineStr">
        <is>
          <t>38506781704391</t>
        </is>
      </c>
      <c r="F59" s="3" t="inlineStr">
        <is>
          <t>47540221345991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2026-09-07T17:06:29.516037+07:00</t>
        </is>
      </c>
      <c r="K59" s="3" t="inlineStr">
        <is>
          <t>Close bedroom feature panel for running football player over a green camouflage flag design with sample name ROBERT and number 09, marked soft, lightweight, durable and breathable.</t>
        </is>
      </c>
      <c r="L59" s="3" t="inlineStr">
        <is>
          <t>Close room/detail image with softness, lightweight, durable and breathable icons for personalized camouflage football player comforter with Robert number 09.</t>
        </is>
      </c>
      <c r="M59" s="3" t="inlineStr">
        <is>
          <t>Custom Football Player Running on Camouflage Flag Comforter</t>
        </is>
      </c>
      <c r="N59" s="3" t="inlineStr">
        <is>
          <t>SET</t>
        </is>
      </c>
      <c r="O59" s="3" t="inlineStr">
        <is>
          <t>Close-up bedroom detail of Personalized Camouflage Football Comforter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PARTIAL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["ISS-070-IMG-04"]</t>
        </is>
      </c>
      <c r="Z59" s="3" t="inlineStr">
        <is>
          <t>["seo_runs\\jeminise.com\\20260906_234129\\evidence\\images\\70_custom-football-player-running-on-camouflage-flag-comforter-9b84ecda23-9b84ecda23\\image_04_47540221345991.jpg;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"https://cdn.shopify.com/s/files/1/0792/5098/1063/files/12a5c0319c0b98903186915a5eef5ffb353144c8ea679fd09ed7d7454b8aa2aa.jpg?v=1785101108"]</t>
        </is>
      </c>
    </row>
    <row r="60" ht="66" customHeight="1">
      <c r="A60" s="2" t="inlineStr">
        <is>
          <t>jeminise.com+custom-football-player-running-on-camouflage-flag-comforter-9b84ecda23-9b84ecda23</t>
        </is>
      </c>
      <c r="B60" s="2" t="inlineStr">
        <is>
          <t>qaimg_1f685af863c58ef4</t>
        </is>
      </c>
      <c r="C60" s="4" t="inlineStr">
        <is>
          <t>https://cdn.shopify.com/s/files/1/0792/5098/1063/files/7c006bddc94d4763c71c8376307e195c1bbce73b8c802ec73ac5a8cef1291262_25922885-ec45-401f-9657-d64f4608e193.jpg?v=1785101107</t>
        </is>
      </c>
      <c r="D60" s="4" t="inlineStr">
        <is>
          <t>https://cdn.shopify.com/s/files/1/0792/5098/1063/files/7c006bddc94d4763c71c8376307e195c1bbce73b8c802ec73ac5a8cef1291262_25922885-ec45-401f-9657-d64f4608e193.jpg?v=1785101107</t>
        </is>
      </c>
      <c r="E60" s="2" t="inlineStr">
        <is>
          <t>38506781737159</t>
        </is>
      </c>
      <c r="F60" s="2" t="inlineStr">
        <is>
          <t>47540221378759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2026-09-07T17:06:29.516037+07:00</t>
        </is>
      </c>
      <c r="K60" s="2" t="inlineStr">
        <is>
          <t>Easy-care panel marked wrinkle-free, stain-proof, anti-pilling and resistant to fading in the wash.</t>
        </is>
      </c>
      <c r="L60" s="2" t="inlineStr">
        <is>
          <t>Stress-free easy-care image listing wrinkle-free, stain-proof, anti-pilling and wash-fade resistance.</t>
        </is>
      </c>
      <c r="M60" s="2" t="inlineStr">
        <is>
          <t>Custom Football Player Running on Camouflage Flag Comforter</t>
        </is>
      </c>
      <c r="N60" s="2" t="inlineStr">
        <is>
          <t>SET</t>
        </is>
      </c>
      <c r="O60" s="2" t="inlineStr">
        <is>
          <t>Easy care information for Personalized Camouflage Football Comforter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["seo_runs\\jeminise.com\\20260906_234129\\evidence\\images\\70_custom-football-player-running-on-camouflage-flag-comforter-9b84ecda23-9b84ecda23\\image_05_47540221378759.jpg;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"https://cdn.shopify.com/s/files/1/0792/5098/1063/files/7c006bddc94d4763c71c8376307e195c1bbce73b8c802ec73ac5a8cef1291262_25922885-ec45-401f-9657-d64f4608e193.jpg?v=1785101107"]</t>
        </is>
      </c>
    </row>
    <row r="61" ht="66" customHeight="1">
      <c r="A61" s="3" t="inlineStr">
        <is>
          <t>jeminise.com+custom-football-player-running-on-camouflage-flag-comforter-9b84ecda23-9b84ecda23</t>
        </is>
      </c>
      <c r="B61" s="3" t="inlineStr">
        <is>
          <t>qaimg_9e7b1d2fd6880b28</t>
        </is>
      </c>
      <c r="C61" s="4" t="inlineStr">
        <is>
          <t>https://cdn.shopify.com/s/files/1/0792/5098/1063/files/e5cad84edb4d7bf77c48fd7c8e52eb3b73f04eba8bf177671fd8a059c59422e8_12e149ca-ae44-45a0-9ba3-9a16394eb042.jpg?v=1785101107</t>
        </is>
      </c>
      <c r="D61" s="4" t="inlineStr">
        <is>
          <t>https://cdn.shopify.com/s/files/1/0792/5098/1063/files/e5cad84edb4d7bf77c48fd7c8e52eb3b73f04eba8bf177671fd8a059c59422e8_12e149ca-ae44-45a0-9ba3-9a16394eb042.jpg?v=1785101107</t>
        </is>
      </c>
      <c r="E61" s="3" t="inlineStr">
        <is>
          <t>38506781769927</t>
        </is>
      </c>
      <c r="F61" s="3" t="inlineStr">
        <is>
          <t>47540221411527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2026-09-07T17:06:29.516037+07:00</t>
        </is>
      </c>
      <c r="K61" s="3" t="inlineStr">
        <is>
          <t>Comforter size-dimension chart for Twin 68x86, Full 79x90, Queen 90x90 and King 90x104 inches.</t>
        </is>
      </c>
      <c r="L61" s="3" t="inlineStr">
        <is>
          <t>Size dimension guide for twin, full, queen and king comforter options.</t>
        </is>
      </c>
      <c r="M61" s="3" t="inlineStr">
        <is>
          <t>Custom Football Player Running on Camouflage Flag Comforter</t>
        </is>
      </c>
      <c r="N61" s="3" t="inlineStr">
        <is>
          <t>SET</t>
        </is>
      </c>
      <c r="O61" s="3" t="inlineStr">
        <is>
          <t>Size dimension guide for Personalized Camouflage Football Comforter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["seo_runs\\jeminise.com\\20260906_234129\\evidence\\images\\70_custom-football-player-running-on-camouflage-flag-comforter-9b84ecda23-9b84ecda23\\image_06_47540221411527.jpg; seo_runs\\jeminise.com\\20260906_234129\\evidence\\contact_sheets\\70_custom-football-player-running-on-camouflage-flag-comforter-9b84ecda23-9b84ecda23.jpg", "https://jeminise.com/products/custom-football-player-running-on-camouflage-flag-comforter-9b84ecda23-9b84ecda23", "https://cdn.shopify.com/s/files/1/0792/5098/1063/files/e5cad84edb4d7bf77c48fd7c8e52eb3b73f04eba8bf177671fd8a059c59422e8_12e149ca-ae44-45a0-9ba3-9a16394eb042.jpg?v=1785101107"]</t>
        </is>
      </c>
    </row>
  </sheetData>
  <autoFilter ref="A1:Z6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ISS-061-IMG-04</t>
        </is>
      </c>
      <c r="B2" s="2" t="inlineStr">
        <is>
          <t>jeminise.com+custom-football-above-yard-lines-perspective-comforter-2c2cb25ed8-2c2cb25ed8</t>
        </is>
      </c>
      <c r="C2" s="2" t="inlineStr">
        <is>
          <t>qaimg_481255e64e08e882</t>
        </is>
      </c>
      <c r="D2" s="2" t="inlineStr">
        <is>
          <t>MINOR</t>
        </is>
      </c>
      <c r="E2" s="2" t="inlineStr">
        <is>
          <t>image_alt_effective</t>
        </is>
      </c>
      <c r="F2" s="2" t="inlineStr">
        <is>
          <t>Close-up bedroom detail of Personalized Football Yard Line Comforter</t>
        </is>
      </c>
      <c r="G2" s="2" t="inlineStr">
        <is>
          <t>Close bedroom feature panel for black-and-gold yard-line football artwork with sample name DAVID and number 35, marked soft, lightweight, durable and breathable.</t>
        </is>
      </c>
      <c r="H2" s="2" t="inlineStr">
        <is>
          <t>Alt gọi đây là close-up nhưng không nói rõ đây là bảng tính năng soft/lightweight/durable/breathable.</t>
        </is>
      </c>
      <c r="I2" s="2" t="inlineStr">
        <is>
          <t>Feature panel for Personalized Football Yard Line Comforter: soft, lightweight, durable and breathable.</t>
        </is>
      </c>
      <c r="J2" s="2" t="inlineStr">
        <is>
          <t>seo_runs\jeminise.com\20260906_234129\evidence\images\61_custom-football-above-yard-lines-perspective-comforter-2c2cb25ed8-2c2cb25ed8\image_04_47540314702023.jpg; seo_runs\jeminise.com\20260906_234129\evidence\contact_sheets\61_custom-football-above-yard-lines-perspective-comforter-2c2cb25ed8-2c2cb25ed8.jpg; https://jeminise.com/products/custom-football-above-yard-lines-perspective-comforter-2c2cb25ed8-2c2cb25ed8; https://cdn.shopify.com/s/files/1/0792/5098/1063/files/4a9f47f7ad33573ee6920e55e7fc7230132fd822285f6a88e48a89911a823331.jpg?v=1785102101</t>
        </is>
      </c>
      <c r="K2" s="2" t="inlineStr">
        <is>
          <t>Confirm the revised alt describes the feature panel without keyword stuffing.</t>
        </is>
      </c>
    </row>
    <row r="3" ht="84" customHeight="1">
      <c r="A3" s="3" t="inlineStr">
        <is>
          <t>ISS-062-IMG-04</t>
        </is>
      </c>
      <c r="B3" s="3" t="inlineStr">
        <is>
          <t>jeminise.com+custom-football-close-up-on-american-flag-comforter-039b2d7dd4-039b2d7dd4</t>
        </is>
      </c>
      <c r="C3" s="3" t="inlineStr">
        <is>
          <t>qaimg_3d8129f3cd11cce3</t>
        </is>
      </c>
      <c r="D3" s="3" t="inlineStr">
        <is>
          <t>MINOR</t>
        </is>
      </c>
      <c r="E3" s="3" t="inlineStr">
        <is>
          <t>image_alt_effective</t>
        </is>
      </c>
      <c r="F3" s="3" t="inlineStr">
        <is>
          <t>Close-up bedroom detail of Personalized American Flag Football Comforter</t>
        </is>
      </c>
      <c r="G3" s="3" t="inlineStr">
        <is>
          <t>Close bedroom feature panel for close football over a distressed American flag with sample name JOHN and number 15, marked soft, lightweight, durable and breathable.</t>
        </is>
      </c>
      <c r="H3" s="3" t="inlineStr">
        <is>
          <t>Alt gọi đây là close-up nhưng không nói rõ đây là bảng tính năng soft/lightweight/durable/breathable.</t>
        </is>
      </c>
      <c r="I3" s="3" t="inlineStr">
        <is>
          <t>Feature panel for Personalized American Flag Football Comforter: soft, lightweight, durable and breathable.</t>
        </is>
      </c>
      <c r="J3" s="3" t="inlineStr">
        <is>
          <t>seo_runs\jeminise.com\20260906_234129\evidence\images\62_custom-football-close-up-on-american-flag-comforter-039b2d7dd4-039b2d7dd4\image_04_47540198080711.jpg; seo_runs\jeminise.com\20260906_234129\evidence\contact_sheets\62_custom-football-close-up-on-american-flag-comforter-039b2d7dd4-039b2d7dd4.jpg; https://jeminise.com/products/custom-football-close-up-on-american-flag-comforter-039b2d7dd4-039b2d7dd4; https://cdn.shopify.com/s/files/1/0792/5098/1063/files/4914bbcfdaf08892e103dca112bcdb6b7b8b3ab540022b5045397fa0aaef491b.jpg?v=1785100885</t>
        </is>
      </c>
      <c r="K3" s="3" t="inlineStr">
        <is>
          <t>Confirm the revised alt describes the feature panel without keyword stuffing.</t>
        </is>
      </c>
    </row>
    <row r="4" ht="84" customHeight="1">
      <c r="A4" s="2" t="inlineStr">
        <is>
          <t>ISS-063-IMG-04</t>
        </is>
      </c>
      <c r="B4" s="2" t="inlineStr">
        <is>
          <t>jeminise.com+custom-football-engulfed-in-flames-and-lightning-comforter-902ce338f4-902ce338f4</t>
        </is>
      </c>
      <c r="C4" s="2" t="inlineStr">
        <is>
          <t>qaimg_54ae38adb819cf88</t>
        </is>
      </c>
      <c r="D4" s="2" t="inlineStr">
        <is>
          <t>MINOR</t>
        </is>
      </c>
      <c r="E4" s="2" t="inlineStr">
        <is>
          <t>image_alt_effective</t>
        </is>
      </c>
      <c r="F4" s="2" t="inlineStr">
        <is>
          <t>Close-up bedroom detail of Personalized Flaming Lightning Football Comforter</t>
        </is>
      </c>
      <c r="G4" s="2" t="inlineStr">
        <is>
          <t>Close bedroom feature panel for football surrounded by orange flames, blue smoke and lightning with sample name ANDREW and number 33, marked soft, lightweight, durable and breathable.</t>
        </is>
      </c>
      <c r="H4" s="2" t="inlineStr">
        <is>
          <t>Alt gọi đây là close-up nhưng không nói rõ đây là bảng tính năng soft/lightweight/durable/breathable.</t>
        </is>
      </c>
      <c r="I4" s="2" t="inlineStr">
        <is>
          <t>Feature panel for Personalized Flaming Lightning Football Comforter: soft, lightweight, durable and breathable.</t>
        </is>
      </c>
      <c r="J4" s="2" t="inlineStr">
        <is>
          <t>seo_runs\jeminise.com\20260906_234129\evidence\images\63_custom-football-engulfed-in-flames-and-lightning-comforter-902ce338f4-902ce338f4\image_04_47540211155143.jpg; seo_runs\jeminise.com\20260906_234129\evidence\contact_sheets\63_custom-football-engulfed-in-flames-and-lightning-comforter-902ce338f4-902ce338f4.jpg; https://jeminise.com/products/custom-football-engulfed-in-flames-and-lightning-comforter-902ce338f4-902ce338f4; https://cdn.shopify.com/s/files/1/0792/5098/1063/files/472025069f76a31ff7444501d701bf6473cabc19817441bf6721ff10dfe71744.jpg?v=1785101009</t>
        </is>
      </c>
      <c r="K4" s="2" t="inlineStr">
        <is>
          <t>Confirm the revised alt describes the feature panel without keyword stuffing.</t>
        </is>
      </c>
    </row>
    <row r="5" ht="84" customHeight="1">
      <c r="A5" s="3" t="inlineStr">
        <is>
          <t>ISS-064-IMG-04</t>
        </is>
      </c>
      <c r="B5" s="3" t="inlineStr">
        <is>
          <t>jeminise.com+custom-football-helmet-on-american-flag-vintage-comforter-43f12dbb8d-43f12dbb8d</t>
        </is>
      </c>
      <c r="C5" s="3" t="inlineStr">
        <is>
          <t>qaimg_d4dfb73a580e738a</t>
        </is>
      </c>
      <c r="D5" s="3" t="inlineStr">
        <is>
          <t>MINOR</t>
        </is>
      </c>
      <c r="E5" s="3" t="inlineStr">
        <is>
          <t>image_alt_effective</t>
        </is>
      </c>
      <c r="F5" s="3" t="inlineStr">
        <is>
          <t>Close-up bedroom detail of Personalized Football Helmet Flag Comforter</t>
        </is>
      </c>
      <c r="G5" s="3" t="inlineStr">
        <is>
          <t>Close bedroom feature panel for red football helmet over a vintage American flag with sample name John and number 8, marked soft, lightweight, durable and breathable.</t>
        </is>
      </c>
      <c r="H5" s="3" t="inlineStr">
        <is>
          <t>Alt gọi đây là close-up nhưng không nói rõ đây là bảng tính năng soft/lightweight/durable/breathable.</t>
        </is>
      </c>
      <c r="I5" s="3" t="inlineStr">
        <is>
          <t>Feature panel for Personalized Football Helmet Flag Comforter: soft, lightweight, durable and breathable.</t>
        </is>
      </c>
      <c r="J5" s="3" t="inlineStr">
        <is>
          <t>seo_runs\jeminise.com\20260906_234129\evidence\images\64_custom-football-helmet-on-american-flag-vintage-comforter-43f12dbb8d-43f12dbb8d\image_04_47540276854983.jpg; seo_runs\jeminise.com\20260906_234129\evidence\contact_sheets\64_custom-football-helmet-on-american-flag-vintage-comforter-43f12dbb8d-43f12dbb8d.jpg; https://jeminise.com/products/custom-football-helmet-on-american-flag-vintage-comforter-43f12dbb8d-43f12dbb8d; https://cdn.shopify.com/s/files/1/0792/5098/1063/files/6bc11555d1931f7b7f41ec9ee898ee629ba47c12d6e402dc3242ed8969abc9e8.jpg?v=1785101596</t>
        </is>
      </c>
      <c r="K5" s="3" t="inlineStr">
        <is>
          <t>Confirm the revised alt describes the feature panel without keyword stuffing.</t>
        </is>
      </c>
    </row>
    <row r="6" ht="84" customHeight="1">
      <c r="A6" s="2" t="inlineStr">
        <is>
          <t>ISS-065-IMG-04</t>
        </is>
      </c>
      <c r="B6" s="2" t="inlineStr">
        <is>
          <t>jeminise.com+custom-football-helmet-with-flaming-football-comforter-07ad417afe-07ad417afe</t>
        </is>
      </c>
      <c r="C6" s="2" t="inlineStr">
        <is>
          <t>qaimg_b9efa87e7f4d327a</t>
        </is>
      </c>
      <c r="D6" s="2" t="inlineStr">
        <is>
          <t>MAJOR</t>
        </is>
      </c>
      <c r="E6" s="2" t="inlineStr">
        <is>
          <t>image_observation/alt_effective</t>
        </is>
      </c>
      <c r="F6" s="2" t="inlineStr">
        <is>
          <t>Close room/detail image with softness, lightweight, durable and breathable icons for personalized football helmet and flaming ball comforter with Matthew number 06. | Close-up bedroom detail of Personalized Football Helmet Comforter Set</t>
        </is>
      </c>
      <c r="G6" s="2" t="inlineStr">
        <is>
          <t>Easy-care panel marked wrinkle-free, stain-proof, anti-pilling and resistant to fading in the wash.</t>
        </is>
      </c>
      <c r="H6" s="2" t="inlineStr">
        <is>
          <t>Observation và alt bị đảo giữa bảng easy-care và bảng tính năng ở gallery thực tế.</t>
        </is>
      </c>
      <c r="I6" s="2" t="inlineStr">
        <is>
          <t>Easy-care panel marked wrinkle-free, stain-proof, anti-pilling and resistant to fading in the wash.</t>
        </is>
      </c>
      <c r="J6" s="2" t="inlineStr">
        <is>
          <t>seo_runs\jeminise.com\20260906_234129\evidence\images\65_custom-football-helmet-with-flaming-football-comforter-07ad417afe-07ad417afe\image_04_47540135624903.jpg; seo_runs\jeminise.com\20260906_234129\evidence\contact_sheets\65_custom-football-helmet-with-flaming-football-comforter-07ad417afe-07ad417afe.jpg; https://jeminise.com/products/custom-football-helmet-with-flaming-football-comforter-07ad417afe-07ad417afe; https://cdn.shopify.com/s/files/1/0792/5098/1063/files/1bbfbfcf6d26cde4c41dc9cd48a48d8537c348d2d8ae8239cde2198dbac1d7d5.jpg?v=1785100138</t>
        </is>
      </c>
      <c r="K6" s="2" t="inlineStr">
        <is>
          <t>Open the source image and confirm the revised English alt matches the exact panel.</t>
        </is>
      </c>
    </row>
    <row r="7" ht="84" customHeight="1">
      <c r="A7" s="3" t="inlineStr">
        <is>
          <t>ISS-065-IMG-05</t>
        </is>
      </c>
      <c r="B7" s="3" t="inlineStr">
        <is>
          <t>jeminise.com+custom-football-helmet-with-flaming-football-comforter-07ad417afe-07ad417afe</t>
        </is>
      </c>
      <c r="C7" s="3" t="inlineStr">
        <is>
          <t>qaimg_95f2a3e8c0456f4d</t>
        </is>
      </c>
      <c r="D7" s="3" t="inlineStr">
        <is>
          <t>MAJOR</t>
        </is>
      </c>
      <c r="E7" s="3" t="inlineStr">
        <is>
          <t>image_observation/alt_effective</t>
        </is>
      </c>
      <c r="F7" s="3" t="inlineStr">
        <is>
          <t>Stress-free easy-care image listing wrinkle-free, stain-proof, anti-pilling and wash-fade resistance. | Easy care information for Personalized Football Helmet Comforter Set</t>
        </is>
      </c>
      <c r="G7" s="3" t="inlineStr">
        <is>
          <t>Close bedroom feature panel for black football helmet, flaming football and stadium with sample name MATTHEW and number 06, marked soft, lightweight, durable and breathable.</t>
        </is>
      </c>
      <c r="H7" s="3" t="inlineStr">
        <is>
          <t>Observation và alt bị đảo giữa bảng easy-care và bảng tính năng ở gallery thực tế.</t>
        </is>
      </c>
      <c r="I7" s="3" t="inlineStr">
        <is>
          <t>Close bedroom feature panel for black football helmet, flaming football and stadium with sample name MATTHEW and number 06, marked soft, lightweight, durable and breathable.</t>
        </is>
      </c>
      <c r="J7" s="3" t="inlineStr">
        <is>
          <t>seo_runs\jeminise.com\20260906_234129\evidence\images\65_custom-football-helmet-with-flaming-football-comforter-07ad417afe-07ad417afe\image_05_47540135657671.jpg; seo_runs\jeminise.com\20260906_234129\evidence\contact_sheets\65_custom-football-helmet-with-flaming-football-comforter-07ad417afe-07ad417afe.jpg; https://jeminise.com/products/custom-football-helmet-with-flaming-football-comforter-07ad417afe-07ad417afe; https://cdn.shopify.com/s/files/1/0792/5098/1063/files/d65887e79fa3f3c43a377a193ce2cd50135af31e9bb3574f2e354da8175b5ef8.jpg?v=1785100138</t>
        </is>
      </c>
      <c r="K7" s="3" t="inlineStr">
        <is>
          <t>Open the source image and confirm the revised English alt matches the exact panel.</t>
        </is>
      </c>
    </row>
    <row r="8" ht="84" customHeight="1">
      <c r="A8" s="2" t="inlineStr">
        <is>
          <t>ISS-066-IMG-04</t>
        </is>
      </c>
      <c r="B8" s="2" t="inlineStr">
        <is>
          <t>jeminise.com+custom-football-over-american-flag-background-comforter-ed07da9f1f-ed07da9f1f</t>
        </is>
      </c>
      <c r="C8" s="2" t="inlineStr">
        <is>
          <t>qaimg_b313f7f1d9cd842d</t>
        </is>
      </c>
      <c r="D8" s="2" t="inlineStr">
        <is>
          <t>MINOR</t>
        </is>
      </c>
      <c r="E8" s="2" t="inlineStr">
        <is>
          <t>image_alt_effective</t>
        </is>
      </c>
      <c r="F8" s="2" t="inlineStr">
        <is>
          <t>Close-up bedroom detail of Personalized Football Flag Comforter Set</t>
        </is>
      </c>
      <c r="G8" s="2" t="inlineStr">
        <is>
          <t>Close bedroom feature panel for close football over a distressed American flag with sample name ANDREW and number 45, marked soft, lightweight, durable and breathable.</t>
        </is>
      </c>
      <c r="H8" s="2" t="inlineStr">
        <is>
          <t>Alt gọi đây là close-up nhưng không nói rõ đây là bảng tính năng soft/lightweight/durable/breathable.</t>
        </is>
      </c>
      <c r="I8" s="2" t="inlineStr">
        <is>
          <t>Feature panel for Personalized Football Flag Comforter Set: soft, lightweight, durable and breathable.</t>
        </is>
      </c>
      <c r="J8" s="2" t="inlineStr">
        <is>
          <t>seo_runs\jeminise.com\20260906_234129\evidence\images\66_custom-football-over-american-flag-background-comforter-ed07da9f1f-ed07da9f1f\image_04_47540266369223.jpg; seo_runs\jeminise.com\20260906_234129\evidence\contact_sheets\66_custom-football-over-american-flag-background-comforter-ed07da9f1f-ed07da9f1f.jpg; https://jeminise.com/products/custom-football-over-american-flag-background-comforter-ed07da9f1f-ed07da9f1f; https://cdn.shopify.com/s/files/1/0792/5098/1063/files/ffea36967dbe80b58a8a85da73de40ba57d60ed75118b69127f1ae4893a068a7.jpg?v=1785101485</t>
        </is>
      </c>
      <c r="K8" s="2" t="inlineStr">
        <is>
          <t>Confirm the revised alt describes the feature panel without keyword stuffing.</t>
        </is>
      </c>
    </row>
    <row r="9" ht="84" customHeight="1">
      <c r="A9" s="3" t="inlineStr">
        <is>
          <t>ISS-067-IMG-04</t>
        </is>
      </c>
      <c r="B9" s="3" t="inlineStr">
        <is>
          <t>jeminise.com+custom-football-player-holding-ball-close-up-comforter-d5b47c0ee0-d5b47c0ee0</t>
        </is>
      </c>
      <c r="C9" s="3" t="inlineStr">
        <is>
          <t>qaimg_0295490e1e0b0f8a</t>
        </is>
      </c>
      <c r="D9" s="3" t="inlineStr">
        <is>
          <t>MINOR</t>
        </is>
      </c>
      <c r="E9" s="3" t="inlineStr">
        <is>
          <t>image_alt_effective</t>
        </is>
      </c>
      <c r="F9" s="3" t="inlineStr">
        <is>
          <t>Close-up bedroom detail of Personalized Football Player Comforter</t>
        </is>
      </c>
      <c r="G9" s="3" t="inlineStr">
        <is>
          <t>Close bedroom feature panel for black-and-white football player holding a ball over an orange honeycomb pattern with sample name William and number 20, marked soft, lightweight, durable and breathable.</t>
        </is>
      </c>
      <c r="H9" s="3" t="inlineStr">
        <is>
          <t>Alt gọi đây là close-up nhưng không nói rõ đây là bảng tính năng soft/lightweight/durable/breathable.</t>
        </is>
      </c>
      <c r="I9" s="3" t="inlineStr">
        <is>
          <t>Feature panel for Personalized Football Player Comforter: soft, lightweight, durable and breathable.</t>
        </is>
      </c>
      <c r="J9" s="3" t="inlineStr">
        <is>
          <t>seo_runs\jeminise.com\20260906_234129\evidence\images\67_custom-football-player-holding-ball-close-up-comforter-d5b47c0ee0-d5b47c0ee0\image_04_47540311687367.jpg; seo_runs\jeminise.com\20260906_234129\evidence\contact_sheets\67_custom-football-player-holding-ball-close-up-comforter-d5b47c0ee0-d5b47c0ee0.jpg; https://jeminise.com/products/custom-football-player-holding-ball-close-up-comforter-d5b47c0ee0-d5b47c0ee0; https://cdn.shopify.com/s/files/1/0792/5098/1063/files/535852be11d81e8f4a9335a576d4302793d4b139db50c311c3ceef1b44bdfaec.jpg?v=1785102027</t>
        </is>
      </c>
      <c r="K9" s="3" t="inlineStr">
        <is>
          <t>Confirm the revised alt describes the feature panel without keyword stuffing.</t>
        </is>
      </c>
    </row>
    <row r="10" ht="84" customHeight="1">
      <c r="A10" s="2" t="inlineStr">
        <is>
          <t>ISS-068-IMG-04</t>
        </is>
      </c>
      <c r="B10" s="2" t="inlineStr">
        <is>
          <t>jeminise.com+custom-football-player-holding-ball-close-up-comforter-with-football-helmet-da6d035722-da6d035722</t>
        </is>
      </c>
      <c r="C10" s="2" t="inlineStr">
        <is>
          <t>qaimg_88a447baa4265a5d</t>
        </is>
      </c>
      <c r="D10" s="2" t="inlineStr">
        <is>
          <t>MINOR</t>
        </is>
      </c>
      <c r="E10" s="2" t="inlineStr">
        <is>
          <t>image_alt_effective</t>
        </is>
      </c>
      <c r="F10" s="2" t="inlineStr">
        <is>
          <t>Close-up bedroom detail of Custom Football Player Helmet Comforter</t>
        </is>
      </c>
      <c r="G10" s="2" t="inlineStr">
        <is>
          <t>Close bedroom feature panel for smoky black-and-white football player holding a ball with sample name David and number 15, marked soft, lightweight, durable and breathable.</t>
        </is>
      </c>
      <c r="H10" s="2" t="inlineStr">
        <is>
          <t>Alt gọi đây là close-up nhưng không nói rõ đây là bảng tính năng soft/lightweight/durable/breathable.</t>
        </is>
      </c>
      <c r="I10" s="2" t="inlineStr">
        <is>
          <t>Feature panel for Custom Football Player Helmet Comforter: soft, lightweight, durable and breathable.</t>
        </is>
      </c>
      <c r="J10" s="2" t="inlineStr">
        <is>
          <t>seo_runs\jeminise.com\20260906_234129\evidence\images\68_custom-football-player-holding-ball-close-up-comforter-with-football-helmet-da6d035722-da6d035722\image_04_47540254900423.jpg; seo_runs\jeminise.com\20260906_234129\evidence\contact_sheets\68_custom-football-player-holding-ball-close-up-comforter-with-football-helmet-da6d035722-da6d035722.jpg; https://jeminise.com/products/custom-football-player-holding-ball-close-up-comforter-with-football-helmet-da6d035722-da6d035722; https://cdn.shopify.com/s/files/1/0792/5098/1063/files/0f83c2a690f63495a8b1a3f421d5c94898c7a977d0ddc7f8c1817e18e72e02dc.jpg?v=1785101391</t>
        </is>
      </c>
      <c r="K10" s="2" t="inlineStr">
        <is>
          <t>Confirm the revised alt describes the feature panel without keyword stuffing.</t>
        </is>
      </c>
    </row>
    <row r="11" ht="84" customHeight="1">
      <c r="A11" s="3" t="inlineStr">
        <is>
          <t>ISS-069-IMG-04</t>
        </is>
      </c>
      <c r="B11" s="3" t="inlineStr">
        <is>
          <t>jeminise.com+custom-football-player-holding-ball-collage-comforter-with-football-helmet-08a49e7d2b-08a49e7d2b</t>
        </is>
      </c>
      <c r="C11" s="3" t="inlineStr">
        <is>
          <t>qaimg_422281dfabf56b57</t>
        </is>
      </c>
      <c r="D11" s="3" t="inlineStr">
        <is>
          <t>MINOR</t>
        </is>
      </c>
      <c r="E11" s="3" t="inlineStr">
        <is>
          <t>image_alt_effective</t>
        </is>
      </c>
      <c r="F11" s="3" t="inlineStr">
        <is>
          <t>Close-up bedroom detail of Personalized Football Player Collage Comforter</t>
        </is>
      </c>
      <c r="G11" s="3" t="inlineStr">
        <is>
          <t>Close bedroom feature panel for black-and-white football player collage with sample name MICHAEL and number 30, marked soft, lightweight, durable and breathable.</t>
        </is>
      </c>
      <c r="H11" s="3" t="inlineStr">
        <is>
          <t>Alt gọi đây là close-up nhưng không nói rõ đây là bảng tính năng soft/lightweight/durable/breathable.</t>
        </is>
      </c>
      <c r="I11" s="3" t="inlineStr">
        <is>
          <t>Feature panel for Personalized Football Player Collage Comforter: soft, lightweight, durable and breathable.</t>
        </is>
      </c>
      <c r="J11" s="3" t="inlineStr">
        <is>
          <t>seo_runs\jeminise.com\20260906_234129\evidence\images\69_custom-football-player-holding-ball-collage-comforter-with-football-helmet-08a49e7d2b-08a49e7d2b\image_04_47540159414471.jpg; seo_runs\jeminise.com\20260906_234129\evidence\contact_sheets\69_custom-football-player-holding-ball-collage-comforter-with-football-helmet-08a49e7d2b-08a49e7d2b.jpg; https://jeminise.com/products/custom-football-player-holding-ball-collage-comforter-with-football-helmet-08a49e7d2b-08a49e7d2b; https://cdn.shopify.com/s/files/1/0792/5098/1063/files/dc7df39840ff0af911e29caad57b1dd40e2fa90ac2175e90959a95f17c0340bb.jpg?v=1785100362</t>
        </is>
      </c>
      <c r="K11" s="3" t="inlineStr">
        <is>
          <t>Confirm the revised alt describes the feature panel without keyword stuffing.</t>
        </is>
      </c>
    </row>
    <row r="12" ht="84" customHeight="1">
      <c r="A12" s="2" t="inlineStr">
        <is>
          <t>ISS-070-IMG-04</t>
        </is>
      </c>
      <c r="B12" s="2" t="inlineStr">
        <is>
          <t>jeminise.com+custom-football-player-running-on-camouflage-flag-comforter-9b84ecda23-9b84ecda23</t>
        </is>
      </c>
      <c r="C12" s="2" t="inlineStr">
        <is>
          <t>qaimg_b3d22fa4055c8a64</t>
        </is>
      </c>
      <c r="D12" s="2" t="inlineStr">
        <is>
          <t>MINOR</t>
        </is>
      </c>
      <c r="E12" s="2" t="inlineStr">
        <is>
          <t>image_alt_effective</t>
        </is>
      </c>
      <c r="F12" s="2" t="inlineStr">
        <is>
          <t>Close-up bedroom detail of Personalized Camouflage Football Comforter</t>
        </is>
      </c>
      <c r="G12" s="2" t="inlineStr">
        <is>
          <t>Close bedroom feature panel for running football player over a green camouflage flag design with sample name ROBERT and number 09, marked soft, lightweight, durable and breathable.</t>
        </is>
      </c>
      <c r="H12" s="2" t="inlineStr">
        <is>
          <t>Alt gọi đây là close-up nhưng không nói rõ đây là bảng tính năng soft/lightweight/durable/breathable.</t>
        </is>
      </c>
      <c r="I12" s="2" t="inlineStr">
        <is>
          <t>Feature panel for Personalized Camouflage Football Comforter: soft, lightweight, durable and breathable.</t>
        </is>
      </c>
      <c r="J12" s="2" t="inlineStr">
        <is>
          <t>seo_runs\jeminise.com\20260906_234129\evidence\images\70_custom-football-player-running-on-camouflage-flag-comforter-9b84ecda23-9b84ecda23\image_04_47540221345991.jpg; seo_runs\jeminise.com\20260906_234129\evidence\contact_sheets\70_custom-football-player-running-on-camouflage-flag-comforter-9b84ecda23-9b84ecda23.jpg; https://jeminise.com/products/custom-football-player-running-on-camouflage-flag-comforter-9b84ecda23-9b84ecda23; https://cdn.shopify.com/s/files/1/0792/5098/1063/files/12a5c0319c0b98903186915a5eef5ffb353144c8ea679fd09ed7d7454b8aa2aa.jpg?v=1785101108</t>
        </is>
      </c>
      <c r="K12" s="2" t="inlineStr">
        <is>
          <t>Confirm the revised alt describes the feature panel without keyword stuffing.</t>
        </is>
      </c>
    </row>
    <row r="13" ht="84" customHeight="1">
      <c r="A13" s="3" t="inlineStr">
        <is>
          <t>ISS-061-DESC</t>
        </is>
      </c>
      <c r="B13" s="3" t="inlineStr">
        <is>
          <t>jeminise.com+custom-football-above-yard-lines-perspective-comforter-2c2cb25ed8-2c2cb25ed8</t>
        </is>
      </c>
      <c r="C13" s="3" t="inlineStr"/>
      <c r="D13" s="3" t="inlineStr">
        <is>
          <t>MAJOR</t>
        </is>
      </c>
      <c r="E13" s="3" t="inlineStr">
        <is>
          <t>description_proposed_html</t>
        </is>
      </c>
      <c r="F13" s="3" t="inlineStr">
        <is>
          <t>&lt;p&gt;Add themed style to the bedroom with this Jeminise comforter set featuring Visible artwork: black and gold football field yard-line design with large football graphic, name David and number 35. The artwork is shown across the main bedding mockup and coordinated pillow or sham images where included.&lt;/p&gt;&lt;h3&gt;Design Details&lt;/h3&gt;&lt;ul&gt;&lt;li&gt;Artwork focus: Visible artwork: black and gold football field yard-line design with large football graphic, name David and number 35.&lt;/li&gt;&lt;li&gt;Gallery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13" s="3" t="inlineStr">
        <is>
          <t>Product-specific, customer-facing copy with verified material, care, contents and options.</t>
        </is>
      </c>
      <c r="H13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13" s="3" t="inlineStr">
        <is>
          <t>Rewrite the English description from verified product facts; state exact set contents and avoid template residue.</t>
        </is>
      </c>
      <c r="J13" s="3" t="inlineStr">
        <is>
          <t>evidence_batch_007_061</t>
        </is>
      </c>
      <c r="K13" s="3" t="inlineStr">
        <is>
          <t>Rendered HTML is product-specific, factual and publish-ready without template wording.</t>
        </is>
      </c>
    </row>
    <row r="14" ht="84" customHeight="1">
      <c r="A14" s="2" t="inlineStr">
        <is>
          <t>ISS-061-CUSTOMIZER</t>
        </is>
      </c>
      <c r="B14" s="2" t="inlineStr">
        <is>
          <t>jeminise.com+custom-football-above-yard-lines-perspective-comforter-2c2cb25ed8-2c2cb25ed8</t>
        </is>
      </c>
      <c r="C14" s="2" t="inlineStr"/>
      <c r="D14" s="2" t="inlineStr">
        <is>
          <t>MAJOR</t>
        </is>
      </c>
      <c r="E14" s="2" t="inlineStr">
        <is>
          <t>personalization_copy</t>
        </is>
      </c>
      <c r="F14" s="2" t="inlineStr">
        <is>
          <t>Review size and personalization options before checkout.</t>
        </is>
      </c>
      <c r="G14" s="2" t="inlineStr">
        <is>
          <t>Live Customizer: Enter Name is required (1-25 characters); Enter Number is optional (1-5 characters).</t>
        </is>
      </c>
      <c r="H14" s="2" t="inlineStr">
        <is>
          <t>Claim personalization có bằng chứng nhưng copy chưa cho người mua biết trường nào bắt buộc/tùy chọn và giới hạn nhập liệu.</t>
        </is>
      </c>
      <c r="I14" s="2" t="inlineStr">
        <is>
          <t>State in English that the name is required and the number is optional, with the verified character limits and Customize step.</t>
        </is>
      </c>
      <c r="J14" s="2" t="inlineStr">
        <is>
          <t>D:\Shopify_Workspace\jeminise_seo\seo_runs\jeminise.com\20260906_234129\qa\20260907_164400\customizer_audit.json</t>
        </is>
      </c>
      <c r="K14" s="2" t="inlineStr">
        <is>
          <t>Copy matches the current live Customizer schema and a re-check confirms the same constraints.</t>
        </is>
      </c>
    </row>
    <row r="15" ht="84" customHeight="1">
      <c r="A15" s="3" t="inlineStr">
        <is>
          <t>ISS-061-CANN</t>
        </is>
      </c>
      <c r="B15" s="3" t="inlineStr">
        <is>
          <t>jeminise.com+custom-football-above-yard-lines-perspective-comforter-2c2cb25ed8-2c2cb25ed8</t>
        </is>
      </c>
      <c r="C15" s="3" t="inlineStr"/>
      <c r="D15" s="3" t="inlineStr">
        <is>
          <t>MAJOR</t>
        </is>
      </c>
      <c r="E15" s="3" t="inlineStr">
        <is>
          <t>keyword_map/intent differentiation</t>
        </is>
      </c>
      <c r="F15" s="3" t="inlineStr">
        <is>
          <t>personalized football comforter</t>
        </is>
      </c>
      <c r="G15" s="3" t="inlineStr">
        <is>
          <t>Ten adjacent pages target near-identical personalized American-football bedding intent.</t>
        </is>
      </c>
      <c r="H15" s="3" t="inlineStr">
        <is>
          <t>Modifier hình ảnh có khác nhưng vai trò landing page và internal linking chưa đủ để tránh cạnh tranh lẫn nhau.</t>
        </is>
      </c>
      <c r="I15" s="3" t="inlineStr">
        <is>
          <t>Assign one distinct primary intent per design cluster and document canonical/internal-link roles in English metadata.</t>
        </is>
      </c>
      <c r="J15" s="3" t="inlineStr">
        <is>
          <t>https://www.etsy.com/listing/4324538505/custom-comforter-sports-team-mascot; https://wearanddecor.com/products/personalized-football-quilt-bedding-set-football-player-usus-flag-quilt-custom-name-and-number-duvet-cover-set</t>
        </is>
      </c>
      <c r="K15" s="3" t="inlineStr">
        <is>
          <t>Keyword map shows non-overlapping primary intent for yard-line, patriotic, flame, helmet, player and camo clusters.</t>
        </is>
      </c>
    </row>
    <row r="16" ht="84" customHeight="1">
      <c r="A16" s="2" t="inlineStr">
        <is>
          <t>ISS-061-META</t>
        </is>
      </c>
      <c r="B16" s="2" t="inlineStr">
        <is>
          <t>jeminise.com+custom-football-above-yard-lines-perspective-comforter-2c2cb25ed8-2c2cb25ed8</t>
        </is>
      </c>
      <c r="C16" s="2" t="inlineStr"/>
      <c r="D16" s="2" t="inlineStr">
        <is>
          <t>MINOR</t>
        </is>
      </c>
      <c r="E16" s="2" t="inlineStr">
        <is>
          <t>meta_description_seo</t>
        </is>
      </c>
      <c r="F16" s="2" t="inlineStr">
        <is>
          <t>Shop a comforter set featuring black and gold football field yard-line design with large football graphic, name David and number 35. Review size and personalization options before checkout (188 characters)</t>
        </is>
      </c>
      <c r="G16" s="2" t="inlineStr">
        <is>
          <t>The proposed meta description exceeds the usual concise snippet range and ends with internal-style checkout guidance.</t>
        </is>
      </c>
      <c r="H16" s="2" t="inlineStr">
        <is>
          <t>Độ dài 169–200 ký tự làm tăng nguy cơ bị cắt, còn câu review options chưa nêu rõ cơ chế Customize.</t>
        </is>
      </c>
      <c r="I16" s="2" t="inlineStr">
        <is>
          <t>Shorten to about 145–160 characters and state that name/number are entered through Customize.</t>
        </is>
      </c>
      <c r="J16" s="2" t="inlineStr">
        <is>
          <t>evidence_batch_007_061</t>
        </is>
      </c>
      <c r="K16" s="2" t="inlineStr">
        <is>
          <t>Meta is concise, product-specific and accurately explains personalization.</t>
        </is>
      </c>
    </row>
    <row r="17" ht="84" customHeight="1">
      <c r="A17" s="3" t="inlineStr">
        <is>
          <t>ISS-062-DESC</t>
        </is>
      </c>
      <c r="B17" s="3" t="inlineStr">
        <is>
          <t>jeminise.com+custom-football-close-up-on-american-flag-comforter-039b2d7dd4-039b2d7dd4</t>
        </is>
      </c>
      <c r="C17" s="3" t="inlineStr"/>
      <c r="D17" s="3" t="inlineStr">
        <is>
          <t>MAJOR</t>
        </is>
      </c>
      <c r="E17" s="3" t="inlineStr">
        <is>
          <t>description_proposed_html</t>
        </is>
      </c>
      <c r="F17" s="3" t="inlineStr">
        <is>
          <t>&lt;p&gt;Add themed style to the bedroom with this Jeminise comforter set featuring Visible artwork: close-up football over a distressed American flag background with vertical John lettering and number 15. The artwork is shown across the main bedding mockup and coordinated pillow or sham images where included.&lt;/p&gt;&lt;h3&gt;Design Details&lt;/h3&gt;&lt;ul&gt;&lt;li&gt;Artwork focus: Visible artwork: close-up football over a distressed American flag background with vertical John lettering and number 15.&lt;/li&gt;&lt;li&gt;Gallery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17" s="3" t="inlineStr">
        <is>
          <t>Product-specific, customer-facing copy with verified material, care, contents and options.</t>
        </is>
      </c>
      <c r="H17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17" s="3" t="inlineStr">
        <is>
          <t>Rewrite the English description from verified product facts; state exact set contents and avoid template residue.</t>
        </is>
      </c>
      <c r="J17" s="3" t="inlineStr">
        <is>
          <t>evidence_batch_007_062</t>
        </is>
      </c>
      <c r="K17" s="3" t="inlineStr">
        <is>
          <t>Rendered HTML is product-specific, factual and publish-ready without template wording.</t>
        </is>
      </c>
    </row>
    <row r="18" ht="84" customHeight="1">
      <c r="A18" s="2" t="inlineStr">
        <is>
          <t>ISS-062-CUSTOMIZER</t>
        </is>
      </c>
      <c r="B18" s="2" t="inlineStr">
        <is>
          <t>jeminise.com+custom-football-close-up-on-american-flag-comforter-039b2d7dd4-039b2d7dd4</t>
        </is>
      </c>
      <c r="C18" s="2" t="inlineStr"/>
      <c r="D18" s="2" t="inlineStr">
        <is>
          <t>MAJOR</t>
        </is>
      </c>
      <c r="E18" s="2" t="inlineStr">
        <is>
          <t>personalization_copy</t>
        </is>
      </c>
      <c r="F18" s="2" t="inlineStr">
        <is>
          <t>Review size and personalization options before checkout.</t>
        </is>
      </c>
      <c r="G18" s="2" t="inlineStr">
        <is>
          <t>Live Customizer: Enter Name is required (1-25 characters); Enter Number is optional (1-5 characters).</t>
        </is>
      </c>
      <c r="H18" s="2" t="inlineStr">
        <is>
          <t>Claim personalization có bằng chứng nhưng copy chưa cho người mua biết trường nào bắt buộc/tùy chọn và giới hạn nhập liệu.</t>
        </is>
      </c>
      <c r="I18" s="2" t="inlineStr">
        <is>
          <t>State in English that the name is required and the number is optional, with the verified character limits and Customize step.</t>
        </is>
      </c>
      <c r="J18" s="2" t="inlineStr">
        <is>
          <t>D:\Shopify_Workspace\jeminise_seo\seo_runs\jeminise.com\20260906_234129\qa\20260907_164400\customizer_audit.json</t>
        </is>
      </c>
      <c r="K18" s="2" t="inlineStr">
        <is>
          <t>Copy matches the current live Customizer schema and a re-check confirms the same constraints.</t>
        </is>
      </c>
    </row>
    <row r="19" ht="84" customHeight="1">
      <c r="A19" s="3" t="inlineStr">
        <is>
          <t>ISS-062-CANN</t>
        </is>
      </c>
      <c r="B19" s="3" t="inlineStr">
        <is>
          <t>jeminise.com+custom-football-close-up-on-american-flag-comforter-039b2d7dd4-039b2d7dd4</t>
        </is>
      </c>
      <c r="C19" s="3" t="inlineStr"/>
      <c r="D19" s="3" t="inlineStr">
        <is>
          <t>MAJOR</t>
        </is>
      </c>
      <c r="E19" s="3" t="inlineStr">
        <is>
          <t>keyword_map/intent differentiation</t>
        </is>
      </c>
      <c r="F19" s="3" t="inlineStr">
        <is>
          <t>American flag football comforter</t>
        </is>
      </c>
      <c r="G19" s="3" t="inlineStr">
        <is>
          <t>Ten adjacent pages target near-identical personalized American-football bedding intent.</t>
        </is>
      </c>
      <c r="H19" s="3" t="inlineStr">
        <is>
          <t>Modifier hình ảnh có khác nhưng vai trò landing page và internal linking chưa đủ để tránh cạnh tranh lẫn nhau.</t>
        </is>
      </c>
      <c r="I19" s="3" t="inlineStr">
        <is>
          <t>Assign one distinct primary intent per design cluster and document canonical/internal-link roles in English metadata.</t>
        </is>
      </c>
      <c r="J19" s="3" t="inlineStr">
        <is>
          <t>https://www.cubebik.com/shop/football-bedding-set-personalized-football-american-flag-custom-bedding-set-pillow-and-duvet-cover-custom-football-lover-gifts/; https://wearanddecor.com/products/personalized-football-quilt-bedding-set-football-player-usus-flag-quilt-custom-name-and-number-duvet-cover-set</t>
        </is>
      </c>
      <c r="K19" s="3" t="inlineStr">
        <is>
          <t>Keyword map shows non-overlapping primary intent for yard-line, patriotic, flame, helmet, player and camo clusters.</t>
        </is>
      </c>
    </row>
    <row r="20" ht="84" customHeight="1">
      <c r="A20" s="2" t="inlineStr">
        <is>
          <t>ISS-062-META</t>
        </is>
      </c>
      <c r="B20" s="2" t="inlineStr">
        <is>
          <t>jeminise.com+custom-football-close-up-on-american-flag-comforter-039b2d7dd4-039b2d7dd4</t>
        </is>
      </c>
      <c r="C20" s="2" t="inlineStr"/>
      <c r="D20" s="2" t="inlineStr">
        <is>
          <t>MINOR</t>
        </is>
      </c>
      <c r="E20" s="2" t="inlineStr">
        <is>
          <t>meta_description_seo</t>
        </is>
      </c>
      <c r="F20" s="2" t="inlineStr">
        <is>
          <t>Shop a comforter set featuring close-up football over a distressed American flag background with vertical John lettering and number 15. Review size and personalization options before checkout (191 characters)</t>
        </is>
      </c>
      <c r="G20" s="2" t="inlineStr">
        <is>
          <t>The proposed meta description exceeds the usual concise snippet range and ends with internal-style checkout guidance.</t>
        </is>
      </c>
      <c r="H20" s="2" t="inlineStr">
        <is>
          <t>Độ dài 169–200 ký tự làm tăng nguy cơ bị cắt, còn câu review options chưa nêu rõ cơ chế Customize.</t>
        </is>
      </c>
      <c r="I20" s="2" t="inlineStr">
        <is>
          <t>Shorten to about 145–160 characters and state that name/number are entered through Customize.</t>
        </is>
      </c>
      <c r="J20" s="2" t="inlineStr">
        <is>
          <t>evidence_batch_007_062</t>
        </is>
      </c>
      <c r="K20" s="2" t="inlineStr">
        <is>
          <t>Meta is concise, product-specific and accurately explains personalization.</t>
        </is>
      </c>
    </row>
    <row r="21" ht="84" customHeight="1">
      <c r="A21" s="3" t="inlineStr">
        <is>
          <t>ISS-063-DESC</t>
        </is>
      </c>
      <c r="B21" s="3" t="inlineStr">
        <is>
          <t>jeminise.com+custom-football-engulfed-in-flames-and-lightning-comforter-902ce338f4-902ce338f4</t>
        </is>
      </c>
      <c r="C21" s="3" t="inlineStr"/>
      <c r="D21" s="3" t="inlineStr">
        <is>
          <t>MAJOR</t>
        </is>
      </c>
      <c r="E21" s="3" t="inlineStr">
        <is>
          <t>description_proposed_html</t>
        </is>
      </c>
      <c r="F21" s="3" t="inlineStr">
        <is>
          <t>&lt;p&gt;Add themed style to the bedroom with this Jeminise comforter set featuring Visible artwork: large football wrapped in orange flames and blue lightning on a black background with name Andrew and number 33. The artwork is shown across the main bedding mockup and coordinated pillow or sham images where included.&lt;/p&gt;&lt;h3&gt;Design Details&lt;/h3&gt;&lt;ul&gt;&lt;li&gt;Artwork focus: Visible artwork: large football wrapped in orange flames and blue lightning on a black background with name Andrew and number 33.&lt;/li&gt;&lt;li&gt;Gallery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21" s="3" t="inlineStr">
        <is>
          <t>Product-specific, customer-facing copy with verified material, care, contents and options.</t>
        </is>
      </c>
      <c r="H21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21" s="3" t="inlineStr">
        <is>
          <t>Rewrite the English description from verified product facts; state exact set contents and avoid template residue.</t>
        </is>
      </c>
      <c r="J21" s="3" t="inlineStr">
        <is>
          <t>evidence_batch_007_063</t>
        </is>
      </c>
      <c r="K21" s="3" t="inlineStr">
        <is>
          <t>Rendered HTML is product-specific, factual and publish-ready without template wording.</t>
        </is>
      </c>
    </row>
    <row r="22" ht="84" customHeight="1">
      <c r="A22" s="2" t="inlineStr">
        <is>
          <t>ISS-063-CUSTOMIZER</t>
        </is>
      </c>
      <c r="B22" s="2" t="inlineStr">
        <is>
          <t>jeminise.com+custom-football-engulfed-in-flames-and-lightning-comforter-902ce338f4-902ce338f4</t>
        </is>
      </c>
      <c r="C22" s="2" t="inlineStr"/>
      <c r="D22" s="2" t="inlineStr">
        <is>
          <t>MAJOR</t>
        </is>
      </c>
      <c r="E22" s="2" t="inlineStr">
        <is>
          <t>personalization_copy</t>
        </is>
      </c>
      <c r="F22" s="2" t="inlineStr">
        <is>
          <t>Review size and personalization options before checkout.</t>
        </is>
      </c>
      <c r="G22" s="2" t="inlineStr">
        <is>
          <t>Live Customizer: Enter Name is required (1-25 characters); Enter Number is optional (1-5 characters).</t>
        </is>
      </c>
      <c r="H22" s="2" t="inlineStr">
        <is>
          <t>Claim personalization có bằng chứng nhưng copy chưa cho người mua biết trường nào bắt buộc/tùy chọn và giới hạn nhập liệu.</t>
        </is>
      </c>
      <c r="I22" s="2" t="inlineStr">
        <is>
          <t>State in English that the name is required and the number is optional, with the verified character limits and Customize step.</t>
        </is>
      </c>
      <c r="J22" s="2" t="inlineStr">
        <is>
          <t>D:\Shopify_Workspace\jeminise_seo\seo_runs\jeminise.com\20260906_234129\qa\20260907_164400\customizer_audit.json</t>
        </is>
      </c>
      <c r="K22" s="2" t="inlineStr">
        <is>
          <t>Copy matches the current live Customizer schema and a re-check confirms the same constraints.</t>
        </is>
      </c>
    </row>
    <row r="23" ht="84" customHeight="1">
      <c r="A23" s="3" t="inlineStr">
        <is>
          <t>ISS-063-CANN</t>
        </is>
      </c>
      <c r="B23" s="3" t="inlineStr">
        <is>
          <t>jeminise.com+custom-football-engulfed-in-flames-and-lightning-comforter-902ce338f4-902ce338f4</t>
        </is>
      </c>
      <c r="C23" s="3" t="inlineStr"/>
      <c r="D23" s="3" t="inlineStr">
        <is>
          <t>MAJOR</t>
        </is>
      </c>
      <c r="E23" s="3" t="inlineStr">
        <is>
          <t>keyword_map/intent differentiation</t>
        </is>
      </c>
      <c r="F23" s="3" t="inlineStr">
        <is>
          <t>flaming football comforter</t>
        </is>
      </c>
      <c r="G23" s="3" t="inlineStr">
        <is>
          <t>Ten adjacent pages target near-identical personalized American-football bedding intent.</t>
        </is>
      </c>
      <c r="H23" s="3" t="inlineStr">
        <is>
          <t>Modifier hình ảnh có khác nhưng vai trò landing page và internal linking chưa đủ để tránh cạnh tranh lẫn nhau.</t>
        </is>
      </c>
      <c r="I23" s="3" t="inlineStr">
        <is>
          <t>Assign one distinct primary intent per design cluster and document canonical/internal-link roles in English metadata.</t>
        </is>
      </c>
      <c r="J23" s="3" t="inlineStr">
        <is>
          <t>https://www.etsy.com/de/listing/1883272338/benutzerdefinierte-fussball-bettwasche; https://custombeddingset.com/</t>
        </is>
      </c>
      <c r="K23" s="3" t="inlineStr">
        <is>
          <t>Keyword map shows non-overlapping primary intent for yard-line, patriotic, flame, helmet, player and camo clusters.</t>
        </is>
      </c>
    </row>
    <row r="24" ht="84" customHeight="1">
      <c r="A24" s="2" t="inlineStr">
        <is>
          <t>ISS-063-META</t>
        </is>
      </c>
      <c r="B24" s="2" t="inlineStr">
        <is>
          <t>jeminise.com+custom-football-engulfed-in-flames-and-lightning-comforter-902ce338f4-902ce338f4</t>
        </is>
      </c>
      <c r="C24" s="2" t="inlineStr"/>
      <c r="D24" s="2" t="inlineStr">
        <is>
          <t>MINOR</t>
        </is>
      </c>
      <c r="E24" s="2" t="inlineStr">
        <is>
          <t>meta_description_seo</t>
        </is>
      </c>
      <c r="F24" s="2" t="inlineStr">
        <is>
          <t>Shop a comforter set featuring large football wrapped in orange flames and blue lightning on a black background with name Andrew and number 33. Review size and personalization options before checkout (199 characters)</t>
        </is>
      </c>
      <c r="G24" s="2" t="inlineStr">
        <is>
          <t>The proposed meta description exceeds the usual concise snippet range and ends with internal-style checkout guidance.</t>
        </is>
      </c>
      <c r="H24" s="2" t="inlineStr">
        <is>
          <t>Độ dài 169–200 ký tự làm tăng nguy cơ bị cắt, còn câu review options chưa nêu rõ cơ chế Customize.</t>
        </is>
      </c>
      <c r="I24" s="2" t="inlineStr">
        <is>
          <t>Shorten to about 145–160 characters and state that name/number are entered through Customize.</t>
        </is>
      </c>
      <c r="J24" s="2" t="inlineStr">
        <is>
          <t>evidence_batch_007_063</t>
        </is>
      </c>
      <c r="K24" s="2" t="inlineStr">
        <is>
          <t>Meta is concise, product-specific and accurately explains personalization.</t>
        </is>
      </c>
    </row>
    <row r="25" ht="84" customHeight="1">
      <c r="A25" s="3" t="inlineStr">
        <is>
          <t>ISS-064-DESC</t>
        </is>
      </c>
      <c r="B25" s="3" t="inlineStr">
        <is>
          <t>jeminise.com+custom-football-helmet-on-american-flag-vintage-comforter-43f12dbb8d-43f12dbb8d</t>
        </is>
      </c>
      <c r="C25" s="3" t="inlineStr"/>
      <c r="D25" s="3" t="inlineStr">
        <is>
          <t>MAJOR</t>
        </is>
      </c>
      <c r="E25" s="3" t="inlineStr">
        <is>
          <t>description_proposed_html</t>
        </is>
      </c>
      <c r="F25" s="3" t="inlineStr">
        <is>
          <t>&lt;p&gt;Add themed style to the bedroom with this Jeminise comforter set featuring Visible artwork: red football helmet over a vintage American flag background with the name John and #8. The artwork is shown across the main bedding mockup and coordinated pillow or sham images where included.&lt;/p&gt;&lt;h3&gt;Design Details&lt;/h3&gt;&lt;ul&gt;&lt;li&gt;Artwork focus: Visible artwork: red football helmet over a vintage American flag background with the name John and #8.&lt;/li&gt;&lt;li&gt;Gallery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25" s="3" t="inlineStr">
        <is>
          <t>Product-specific, customer-facing copy with verified material, care, contents and options.</t>
        </is>
      </c>
      <c r="H25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25" s="3" t="inlineStr">
        <is>
          <t>Rewrite the English description from verified product facts; state exact set contents and avoid template residue.</t>
        </is>
      </c>
      <c r="J25" s="3" t="inlineStr">
        <is>
          <t>evidence_batch_007_064</t>
        </is>
      </c>
      <c r="K25" s="3" t="inlineStr">
        <is>
          <t>Rendered HTML is product-specific, factual and publish-ready without template wording.</t>
        </is>
      </c>
    </row>
    <row r="26" ht="84" customHeight="1">
      <c r="A26" s="2" t="inlineStr">
        <is>
          <t>ISS-064-CUSTOMIZER</t>
        </is>
      </c>
      <c r="B26" s="2" t="inlineStr">
        <is>
          <t>jeminise.com+custom-football-helmet-on-american-flag-vintage-comforter-43f12dbb8d-43f12dbb8d</t>
        </is>
      </c>
      <c r="C26" s="2" t="inlineStr"/>
      <c r="D26" s="2" t="inlineStr">
        <is>
          <t>MAJOR</t>
        </is>
      </c>
      <c r="E26" s="2" t="inlineStr">
        <is>
          <t>personalization_copy</t>
        </is>
      </c>
      <c r="F26" s="2" t="inlineStr">
        <is>
          <t>Review size and personalization options before checkout.</t>
        </is>
      </c>
      <c r="G26" s="2" t="inlineStr">
        <is>
          <t>Live Customizer: Enter Name is required (1-25 characters); Enter Number is optional (1-5 characters).</t>
        </is>
      </c>
      <c r="H26" s="2" t="inlineStr">
        <is>
          <t>Claim personalization có bằng chứng nhưng copy chưa cho người mua biết trường nào bắt buộc/tùy chọn và giới hạn nhập liệu.</t>
        </is>
      </c>
      <c r="I26" s="2" t="inlineStr">
        <is>
          <t>State in English that the name is required and the number is optional, with the verified character limits and Customize step.</t>
        </is>
      </c>
      <c r="J26" s="2" t="inlineStr">
        <is>
          <t>D:\Shopify_Workspace\jeminise_seo\seo_runs\jeminise.com\20260906_234129\qa\20260907_164400\customizer_audit.json</t>
        </is>
      </c>
      <c r="K26" s="2" t="inlineStr">
        <is>
          <t>Copy matches the current live Customizer schema and a re-check confirms the same constraints.</t>
        </is>
      </c>
    </row>
    <row r="27" ht="84" customHeight="1">
      <c r="A27" s="3" t="inlineStr">
        <is>
          <t>ISS-064-CANN</t>
        </is>
      </c>
      <c r="B27" s="3" t="inlineStr">
        <is>
          <t>jeminise.com+custom-football-helmet-on-american-flag-vintage-comforter-43f12dbb8d-43f12dbb8d</t>
        </is>
      </c>
      <c r="C27" s="3" t="inlineStr"/>
      <c r="D27" s="3" t="inlineStr">
        <is>
          <t>MAJOR</t>
        </is>
      </c>
      <c r="E27" s="3" t="inlineStr">
        <is>
          <t>keyword_map/intent differentiation</t>
        </is>
      </c>
      <c r="F27" s="3" t="inlineStr">
        <is>
          <t>football helmet comforter</t>
        </is>
      </c>
      <c r="G27" s="3" t="inlineStr">
        <is>
          <t>Ten adjacent pages target near-identical personalized American-football bedding intent.</t>
        </is>
      </c>
      <c r="H27" s="3" t="inlineStr">
        <is>
          <t>Modifier hình ảnh có khác nhưng vai trò landing page và internal linking chưa đủ để tránh cạnh tranh lẫn nhau.</t>
        </is>
      </c>
      <c r="I27" s="3" t="inlineStr">
        <is>
          <t>Assign one distinct primary intent per design cluster and document canonical/internal-link roles in English metadata.</t>
        </is>
      </c>
      <c r="J27" s="3" t="inlineStr">
        <is>
          <t>https://joliebrand.com/products/customizable-football-duvet-cover-set-personalized-bedding-with-football-ball-helmet-design-black-and-white-player-gift-custom-name-and-number-option-lylyprint-com; https://www.cubebik.com/shop/football-bedding-set-personalized-football-american-flag-custom-bedding-set-pillow-and-duvet-cover-custom-football-lover-gifts/</t>
        </is>
      </c>
      <c r="K27" s="3" t="inlineStr">
        <is>
          <t>Keyword map shows non-overlapping primary intent for yard-line, patriotic, flame, helmet, player and camo clusters.</t>
        </is>
      </c>
    </row>
    <row r="28" ht="84" customHeight="1">
      <c r="A28" s="2" t="inlineStr">
        <is>
          <t>ISS-064-META</t>
        </is>
      </c>
      <c r="B28" s="2" t="inlineStr">
        <is>
          <t>jeminise.com+custom-football-helmet-on-american-flag-vintage-comforter-43f12dbb8d-43f12dbb8d</t>
        </is>
      </c>
      <c r="C28" s="2" t="inlineStr"/>
      <c r="D28" s="2" t="inlineStr">
        <is>
          <t>MINOR</t>
        </is>
      </c>
      <c r="E28" s="2" t="inlineStr">
        <is>
          <t>meta_description_seo</t>
        </is>
      </c>
      <c r="F28" s="2" t="inlineStr">
        <is>
          <t>Shop a comforter set featuring red football helmet over a vintage American flag background with the name John and #8. Review size and personalization options before checkout (173 characters)</t>
        </is>
      </c>
      <c r="G28" s="2" t="inlineStr">
        <is>
          <t>The proposed meta description exceeds the usual concise snippet range and ends with internal-style checkout guidance.</t>
        </is>
      </c>
      <c r="H28" s="2" t="inlineStr">
        <is>
          <t>Độ dài 169–200 ký tự làm tăng nguy cơ bị cắt, còn câu review options chưa nêu rõ cơ chế Customize.</t>
        </is>
      </c>
      <c r="I28" s="2" t="inlineStr">
        <is>
          <t>Shorten to about 145–160 characters and state that name/number are entered through Customize.</t>
        </is>
      </c>
      <c r="J28" s="2" t="inlineStr">
        <is>
          <t>evidence_batch_007_064</t>
        </is>
      </c>
      <c r="K28" s="2" t="inlineStr">
        <is>
          <t>Meta is concise, product-specific and accurately explains personalization.</t>
        </is>
      </c>
    </row>
    <row r="29" ht="84" customHeight="1">
      <c r="A29" s="3" t="inlineStr">
        <is>
          <t>ISS-065-DESC</t>
        </is>
      </c>
      <c r="B29" s="3" t="inlineStr">
        <is>
          <t>jeminise.com+custom-football-helmet-with-flaming-football-comforter-07ad417afe-07ad417afe</t>
        </is>
      </c>
      <c r="C29" s="3" t="inlineStr"/>
      <c r="D29" s="3" t="inlineStr">
        <is>
          <t>MAJOR</t>
        </is>
      </c>
      <c r="E29" s="3" t="inlineStr">
        <is>
          <t>description_proposed_html</t>
        </is>
      </c>
      <c r="F29" s="3" t="inlineStr">
        <is>
          <t>&lt;p&gt;Add themed style to the bedroom with this Jeminise comforter set featuring Visible artwork: black football helmet with number 06, flaming football trail, stadium-style dark background and name Matthew. The artwork is shown across the main bedding mockup and coordinated pillow or sham images where included.&lt;/p&gt;&lt;h3&gt;Design Details&lt;/h3&gt;&lt;ul&gt;&lt;li&gt;Artwork focus: Visible artwork: black football helmet with number 06, flaming football trail, stadium-style dark background and name Matthew.&lt;/li&gt;&lt;li&gt;Gallery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29" s="3" t="inlineStr">
        <is>
          <t>Product-specific, customer-facing copy with verified material, care, contents and options.</t>
        </is>
      </c>
      <c r="H29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29" s="3" t="inlineStr">
        <is>
          <t>Rewrite the English description from verified product facts; state exact set contents and avoid template residue.</t>
        </is>
      </c>
      <c r="J29" s="3" t="inlineStr">
        <is>
          <t>evidence_batch_007_065</t>
        </is>
      </c>
      <c r="K29" s="3" t="inlineStr">
        <is>
          <t>Rendered HTML is product-specific, factual and publish-ready without template wording.</t>
        </is>
      </c>
    </row>
    <row r="30" ht="84" customHeight="1">
      <c r="A30" s="2" t="inlineStr">
        <is>
          <t>ISS-065-CUSTOMIZER</t>
        </is>
      </c>
      <c r="B30" s="2" t="inlineStr">
        <is>
          <t>jeminise.com+custom-football-helmet-with-flaming-football-comforter-07ad417afe-07ad417afe</t>
        </is>
      </c>
      <c r="C30" s="2" t="inlineStr"/>
      <c r="D30" s="2" t="inlineStr">
        <is>
          <t>MAJOR</t>
        </is>
      </c>
      <c r="E30" s="2" t="inlineStr">
        <is>
          <t>personalization_copy</t>
        </is>
      </c>
      <c r="F30" s="2" t="inlineStr">
        <is>
          <t>Review size and personalization options before checkout.</t>
        </is>
      </c>
      <c r="G30" s="2" t="inlineStr">
        <is>
          <t>Live Customizer: Enter Name is required (1-25 characters); Enter Number is optional (1-5 characters).</t>
        </is>
      </c>
      <c r="H30" s="2" t="inlineStr">
        <is>
          <t>Claim personalization có bằng chứng nhưng copy chưa cho người mua biết trường nào bắt buộc/tùy chọn và giới hạn nhập liệu.</t>
        </is>
      </c>
      <c r="I30" s="2" t="inlineStr">
        <is>
          <t>State in English that the name is required and the number is optional, with the verified character limits and Customize step.</t>
        </is>
      </c>
      <c r="J30" s="2" t="inlineStr">
        <is>
          <t>D:\Shopify_Workspace\jeminise_seo\seo_runs\jeminise.com\20260906_234129\qa\20260907_164400\customizer_audit.json</t>
        </is>
      </c>
      <c r="K30" s="2" t="inlineStr">
        <is>
          <t>Copy matches the current live Customizer schema and a re-check confirms the same constraints.</t>
        </is>
      </c>
    </row>
    <row r="31" ht="84" customHeight="1">
      <c r="A31" s="3" t="inlineStr">
        <is>
          <t>ISS-065-CANN</t>
        </is>
      </c>
      <c r="B31" s="3" t="inlineStr">
        <is>
          <t>jeminise.com+custom-football-helmet-with-flaming-football-comforter-07ad417afe-07ad417afe</t>
        </is>
      </c>
      <c r="C31" s="3" t="inlineStr"/>
      <c r="D31" s="3" t="inlineStr">
        <is>
          <t>MAJOR</t>
        </is>
      </c>
      <c r="E31" s="3" t="inlineStr">
        <is>
          <t>keyword_map/intent differentiation</t>
        </is>
      </c>
      <c r="F31" s="3" t="inlineStr">
        <is>
          <t>football helmet bedding set</t>
        </is>
      </c>
      <c r="G31" s="3" t="inlineStr">
        <is>
          <t>Ten adjacent pages target near-identical personalized American-football bedding intent.</t>
        </is>
      </c>
      <c r="H31" s="3" t="inlineStr">
        <is>
          <t>Modifier hình ảnh có khác nhưng vai trò landing page và internal linking chưa đủ để tránh cạnh tranh lẫn nhau.</t>
        </is>
      </c>
      <c r="I31" s="3" t="inlineStr">
        <is>
          <t>Assign one distinct primary intent per design cluster and document canonical/internal-link roles in English metadata.</t>
        </is>
      </c>
      <c r="J31" s="3" t="inlineStr">
        <is>
          <t>https://joliebrand.com/products/customizable-football-duvet-cover-set-personalized-bedding-with-football-ball-helmet-design-black-and-white-player-gift-custom-name-and-number-option-lylyprint-com; https://www.etsy.com/de/listing/1883272338/benutzerdefinierte-fussball-bettwasche</t>
        </is>
      </c>
      <c r="K31" s="3" t="inlineStr">
        <is>
          <t>Keyword map shows non-overlapping primary intent for yard-line, patriotic, flame, helmet, player and camo clusters.</t>
        </is>
      </c>
    </row>
    <row r="32" ht="84" customHeight="1">
      <c r="A32" s="2" t="inlineStr">
        <is>
          <t>ISS-065-META</t>
        </is>
      </c>
      <c r="B32" s="2" t="inlineStr">
        <is>
          <t>jeminise.com+custom-football-helmet-with-flaming-football-comforter-07ad417afe-07ad417afe</t>
        </is>
      </c>
      <c r="C32" s="2" t="inlineStr"/>
      <c r="D32" s="2" t="inlineStr">
        <is>
          <t>MINOR</t>
        </is>
      </c>
      <c r="E32" s="2" t="inlineStr">
        <is>
          <t>meta_description_seo</t>
        </is>
      </c>
      <c r="F32" s="2" t="inlineStr">
        <is>
          <t>Shop a comforter set featuring black football helmet with number 06, flaming football trail, stadium-style dark background and name Matthew. Review size and personalization options before checkout (196 characters)</t>
        </is>
      </c>
      <c r="G32" s="2" t="inlineStr">
        <is>
          <t>The proposed meta description exceeds the usual concise snippet range and ends with internal-style checkout guidance.</t>
        </is>
      </c>
      <c r="H32" s="2" t="inlineStr">
        <is>
          <t>Độ dài 169–200 ký tự làm tăng nguy cơ bị cắt, còn câu review options chưa nêu rõ cơ chế Customize.</t>
        </is>
      </c>
      <c r="I32" s="2" t="inlineStr">
        <is>
          <t>Shorten to about 145–160 characters and state that name/number are entered through Customize.</t>
        </is>
      </c>
      <c r="J32" s="2" t="inlineStr">
        <is>
          <t>evidence_batch_007_065</t>
        </is>
      </c>
      <c r="K32" s="2" t="inlineStr">
        <is>
          <t>Meta is concise, product-specific and accurately explains personalization.</t>
        </is>
      </c>
    </row>
    <row r="33" ht="84" customHeight="1">
      <c r="A33" s="3" t="inlineStr">
        <is>
          <t>ISS-066-DESC</t>
        </is>
      </c>
      <c r="B33" s="3" t="inlineStr">
        <is>
          <t>jeminise.com+custom-football-over-american-flag-background-comforter-ed07da9f1f-ed07da9f1f</t>
        </is>
      </c>
      <c r="C33" s="3" t="inlineStr"/>
      <c r="D33" s="3" t="inlineStr">
        <is>
          <t>MAJOR</t>
        </is>
      </c>
      <c r="E33" s="3" t="inlineStr">
        <is>
          <t>description_proposed_html</t>
        </is>
      </c>
      <c r="F33" s="3" t="inlineStr">
        <is>
          <t>&lt;p&gt;Add themed style to the bedroom with this Jeminise comforter set featuring Visible artwork: large close-up football over a distressed American flag with the name Andrew and number 45. The artwork is shown across the main bedding mockup and coordinated pillow or sham images where included.&lt;/p&gt;&lt;h3&gt;Design Details&lt;/h3&gt;&lt;ul&gt;&lt;li&gt;Artwork focus: Visible artwork: large close-up football over a distressed American flag with the name Andrew and number 45.&lt;/li&gt;&lt;li&gt;Gallery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33" s="3" t="inlineStr">
        <is>
          <t>Product-specific, customer-facing copy with verified material, care, contents and options.</t>
        </is>
      </c>
      <c r="H33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33" s="3" t="inlineStr">
        <is>
          <t>Rewrite the English description from verified product facts; state exact set contents and avoid template residue.</t>
        </is>
      </c>
      <c r="J33" s="3" t="inlineStr">
        <is>
          <t>evidence_batch_007_066</t>
        </is>
      </c>
      <c r="K33" s="3" t="inlineStr">
        <is>
          <t>Rendered HTML is product-specific, factual and publish-ready without template wording.</t>
        </is>
      </c>
    </row>
    <row r="34" ht="84" customHeight="1">
      <c r="A34" s="2" t="inlineStr">
        <is>
          <t>ISS-066-CUSTOMIZER</t>
        </is>
      </c>
      <c r="B34" s="2" t="inlineStr">
        <is>
          <t>jeminise.com+custom-football-over-american-flag-background-comforter-ed07da9f1f-ed07da9f1f</t>
        </is>
      </c>
      <c r="C34" s="2" t="inlineStr"/>
      <c r="D34" s="2" t="inlineStr">
        <is>
          <t>MAJOR</t>
        </is>
      </c>
      <c r="E34" s="2" t="inlineStr">
        <is>
          <t>personalization_copy</t>
        </is>
      </c>
      <c r="F34" s="2" t="inlineStr">
        <is>
          <t>Review size and personalization options before checkout.</t>
        </is>
      </c>
      <c r="G34" s="2" t="inlineStr">
        <is>
          <t>Live Customizer: Enter Name is required (1-25 characters); Enter Number is optional (1-5 characters).</t>
        </is>
      </c>
      <c r="H34" s="2" t="inlineStr">
        <is>
          <t>Claim personalization có bằng chứng nhưng copy chưa cho người mua biết trường nào bắt buộc/tùy chọn và giới hạn nhập liệu.</t>
        </is>
      </c>
      <c r="I34" s="2" t="inlineStr">
        <is>
          <t>State in English that the name is required and the number is optional, with the verified character limits and Customize step.</t>
        </is>
      </c>
      <c r="J34" s="2" t="inlineStr">
        <is>
          <t>D:\Shopify_Workspace\jeminise_seo\seo_runs\jeminise.com\20260906_234129\qa\20260907_164400\customizer_audit.json</t>
        </is>
      </c>
      <c r="K34" s="2" t="inlineStr">
        <is>
          <t>Copy matches the current live Customizer schema and a re-check confirms the same constraints.</t>
        </is>
      </c>
    </row>
    <row r="35" ht="84" customHeight="1">
      <c r="A35" s="3" t="inlineStr">
        <is>
          <t>ISS-066-CANN</t>
        </is>
      </c>
      <c r="B35" s="3" t="inlineStr">
        <is>
          <t>jeminise.com+custom-football-over-american-flag-background-comforter-ed07da9f1f-ed07da9f1f</t>
        </is>
      </c>
      <c r="C35" s="3" t="inlineStr"/>
      <c r="D35" s="3" t="inlineStr">
        <is>
          <t>MAJOR</t>
        </is>
      </c>
      <c r="E35" s="3" t="inlineStr">
        <is>
          <t>keyword_map/intent differentiation</t>
        </is>
      </c>
      <c r="F35" s="3" t="inlineStr">
        <is>
          <t>personalized patriotic football comforter</t>
        </is>
      </c>
      <c r="G35" s="3" t="inlineStr">
        <is>
          <t>Ten adjacent pages target near-identical personalized American-football bedding intent.</t>
        </is>
      </c>
      <c r="H35" s="3" t="inlineStr">
        <is>
          <t>Modifier hình ảnh có khác nhưng vai trò landing page và internal linking chưa đủ để tránh cạnh tranh lẫn nhau.</t>
        </is>
      </c>
      <c r="I35" s="3" t="inlineStr">
        <is>
          <t>Assign one distinct primary intent per design cluster and document canonical/internal-link roles in English metadata.</t>
        </is>
      </c>
      <c r="J35" s="3" t="inlineStr">
        <is>
          <t>https://wearanddecor.com/products/personalized-football-quilt-bedding-set-football-player-usus-flag-quilt-custom-name-and-number-duvet-cover-set; https://www.cubebik.com/shop/football-bedding-set-personalized-football-american-flag-custom-bedding-set-pillow-and-duvet-cover-custom-football-lover-gifts/</t>
        </is>
      </c>
      <c r="K35" s="3" t="inlineStr">
        <is>
          <t>Keyword map shows non-overlapping primary intent for yard-line, patriotic, flame, helmet, player and camo clusters.</t>
        </is>
      </c>
    </row>
    <row r="36" ht="84" customHeight="1">
      <c r="A36" s="2" t="inlineStr">
        <is>
          <t>ISS-066-META</t>
        </is>
      </c>
      <c r="B36" s="2" t="inlineStr">
        <is>
          <t>jeminise.com+custom-football-over-american-flag-background-comforter-ed07da9f1f-ed07da9f1f</t>
        </is>
      </c>
      <c r="C36" s="2" t="inlineStr"/>
      <c r="D36" s="2" t="inlineStr">
        <is>
          <t>MINOR</t>
        </is>
      </c>
      <c r="E36" s="2" t="inlineStr">
        <is>
          <t>meta_description_seo</t>
        </is>
      </c>
      <c r="F36" s="2" t="inlineStr">
        <is>
          <t>Shop a comforter set featuring large close-up football over a distressed American flag with the name Andrew and number 45. Review size and personalization options before checkout (178 characters)</t>
        </is>
      </c>
      <c r="G36" s="2" t="inlineStr">
        <is>
          <t>The proposed meta description exceeds the usual concise snippet range and ends with internal-style checkout guidance.</t>
        </is>
      </c>
      <c r="H36" s="2" t="inlineStr">
        <is>
          <t>Độ dài 169–200 ký tự làm tăng nguy cơ bị cắt, còn câu review options chưa nêu rõ cơ chế Customize.</t>
        </is>
      </c>
      <c r="I36" s="2" t="inlineStr">
        <is>
          <t>Shorten to about 145–160 characters and state that name/number are entered through Customize.</t>
        </is>
      </c>
      <c r="J36" s="2" t="inlineStr">
        <is>
          <t>evidence_batch_007_066</t>
        </is>
      </c>
      <c r="K36" s="2" t="inlineStr">
        <is>
          <t>Meta is concise, product-specific and accurately explains personalization.</t>
        </is>
      </c>
    </row>
    <row r="37" ht="84" customHeight="1">
      <c r="A37" s="3" t="inlineStr">
        <is>
          <t>ISS-067-DESC</t>
        </is>
      </c>
      <c r="B37" s="3" t="inlineStr">
        <is>
          <t>jeminise.com+custom-football-player-holding-ball-close-up-comforter-d5b47c0ee0-d5b47c0ee0</t>
        </is>
      </c>
      <c r="C37" s="3" t="inlineStr"/>
      <c r="D37" s="3" t="inlineStr">
        <is>
          <t>MAJOR</t>
        </is>
      </c>
      <c r="E37" s="3" t="inlineStr">
        <is>
          <t>description_proposed_html</t>
        </is>
      </c>
      <c r="F37" s="3" t="inlineStr">
        <is>
          <t>&lt;p&gt;Add themed style to the bedroom with this Jeminise comforter set featuring Visible artwork: black football player close-up holding a ball with orange honeycomb pattern, name William and number 20. The artwork is shown across the main bedding mockup and coordinated pillow or sham images where included.&lt;/p&gt;&lt;h3&gt;Design Details&lt;/h3&gt;&lt;ul&gt;&lt;li&gt;Artwork focus: Visible artwork: black football player close-up holding a ball with orange honeycomb pattern, name William and number 20.&lt;/li&gt;&lt;li&gt;Gallery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37" s="3" t="inlineStr">
        <is>
          <t>Product-specific, customer-facing copy with verified material, care, contents and options.</t>
        </is>
      </c>
      <c r="H37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37" s="3" t="inlineStr">
        <is>
          <t>Rewrite the English description from verified product facts; state exact set contents and avoid template residue.</t>
        </is>
      </c>
      <c r="J37" s="3" t="inlineStr">
        <is>
          <t>evidence_batch_007_067</t>
        </is>
      </c>
      <c r="K37" s="3" t="inlineStr">
        <is>
          <t>Rendered HTML is product-specific, factual and publish-ready without template wording.</t>
        </is>
      </c>
    </row>
    <row r="38" ht="84" customHeight="1">
      <c r="A38" s="2" t="inlineStr">
        <is>
          <t>ISS-067-CUSTOMIZER</t>
        </is>
      </c>
      <c r="B38" s="2" t="inlineStr">
        <is>
          <t>jeminise.com+custom-football-player-holding-ball-close-up-comforter-d5b47c0ee0-d5b47c0ee0</t>
        </is>
      </c>
      <c r="C38" s="2" t="inlineStr"/>
      <c r="D38" s="2" t="inlineStr">
        <is>
          <t>MAJOR</t>
        </is>
      </c>
      <c r="E38" s="2" t="inlineStr">
        <is>
          <t>personalization_copy</t>
        </is>
      </c>
      <c r="F38" s="2" t="inlineStr">
        <is>
          <t>Review size and personalization options before checkout.</t>
        </is>
      </c>
      <c r="G38" s="2" t="inlineStr">
        <is>
          <t>Live Customizer: Enter Name is required (1-25 characters); Enter Number is optional (1-5 characters).</t>
        </is>
      </c>
      <c r="H38" s="2" t="inlineStr">
        <is>
          <t>Claim personalization có bằng chứng nhưng copy chưa cho người mua biết trường nào bắt buộc/tùy chọn và giới hạn nhập liệu.</t>
        </is>
      </c>
      <c r="I38" s="2" t="inlineStr">
        <is>
          <t>State in English that the name is required and the number is optional, with the verified character limits and Customize step.</t>
        </is>
      </c>
      <c r="J38" s="2" t="inlineStr">
        <is>
          <t>D:\Shopify_Workspace\jeminise_seo\seo_runs\jeminise.com\20260906_234129\qa\20260907_164400\customizer_audit.json</t>
        </is>
      </c>
      <c r="K38" s="2" t="inlineStr">
        <is>
          <t>Copy matches the current live Customizer schema and a re-check confirms the same constraints.</t>
        </is>
      </c>
    </row>
    <row r="39" ht="84" customHeight="1">
      <c r="A39" s="3" t="inlineStr">
        <is>
          <t>ISS-067-CANN</t>
        </is>
      </c>
      <c r="B39" s="3" t="inlineStr">
        <is>
          <t>jeminise.com+custom-football-player-holding-ball-close-up-comforter-d5b47c0ee0-d5b47c0ee0</t>
        </is>
      </c>
      <c r="C39" s="3" t="inlineStr"/>
      <c r="D39" s="3" t="inlineStr">
        <is>
          <t>MAJOR</t>
        </is>
      </c>
      <c r="E39" s="3" t="inlineStr">
        <is>
          <t>keyword_map/intent differentiation</t>
        </is>
      </c>
      <c r="F39" s="3" t="inlineStr">
        <is>
          <t>football player comforter</t>
        </is>
      </c>
      <c r="G39" s="3" t="inlineStr">
        <is>
          <t>Ten adjacent pages target near-identical personalized American-football bedding intent.</t>
        </is>
      </c>
      <c r="H39" s="3" t="inlineStr">
        <is>
          <t>Modifier hình ảnh có khác nhưng vai trò landing page và internal linking chưa đủ để tránh cạnh tranh lẫn nhau.</t>
        </is>
      </c>
      <c r="I39" s="3" t="inlineStr">
        <is>
          <t>Assign one distinct primary intent per design cluster and document canonical/internal-link roles in English metadata.</t>
        </is>
      </c>
      <c r="J39" s="3" t="inlineStr">
        <is>
          <t>https://www.etsy.com/listing/4324538505/custom-comforter-sports-team-mascot; https://www.etsy.com/ie/listing/1883272338/custom-football-bedding-set-personalized</t>
        </is>
      </c>
      <c r="K39" s="3" t="inlineStr">
        <is>
          <t>Keyword map shows non-overlapping primary intent for yard-line, patriotic, flame, helmet, player and camo clusters.</t>
        </is>
      </c>
    </row>
    <row r="40" ht="84" customHeight="1">
      <c r="A40" s="2" t="inlineStr">
        <is>
          <t>ISS-067-META</t>
        </is>
      </c>
      <c r="B40" s="2" t="inlineStr">
        <is>
          <t>jeminise.com+custom-football-player-holding-ball-close-up-comforter-d5b47c0ee0-d5b47c0ee0</t>
        </is>
      </c>
      <c r="C40" s="2" t="inlineStr"/>
      <c r="D40" s="2" t="inlineStr">
        <is>
          <t>MINOR</t>
        </is>
      </c>
      <c r="E40" s="2" t="inlineStr">
        <is>
          <t>meta_description_seo</t>
        </is>
      </c>
      <c r="F40" s="2" t="inlineStr">
        <is>
          <t>Shop a comforter set featuring black football player close-up holding a ball with orange honeycomb pattern, name William and number 20. Review size and personalization options before checkout (191 characters)</t>
        </is>
      </c>
      <c r="G40" s="2" t="inlineStr">
        <is>
          <t>The proposed meta description exceeds the usual concise snippet range and ends with internal-style checkout guidance.</t>
        </is>
      </c>
      <c r="H40" s="2" t="inlineStr">
        <is>
          <t>Độ dài 169–200 ký tự làm tăng nguy cơ bị cắt, còn câu review options chưa nêu rõ cơ chế Customize.</t>
        </is>
      </c>
      <c r="I40" s="2" t="inlineStr">
        <is>
          <t>Shorten to about 145–160 characters and state that name/number are entered through Customize.</t>
        </is>
      </c>
      <c r="J40" s="2" t="inlineStr">
        <is>
          <t>evidence_batch_007_067</t>
        </is>
      </c>
      <c r="K40" s="2" t="inlineStr">
        <is>
          <t>Meta is concise, product-specific and accurately explains personalization.</t>
        </is>
      </c>
    </row>
    <row r="41" ht="84" customHeight="1">
      <c r="A41" s="3" t="inlineStr">
        <is>
          <t>ISS-068-DESC</t>
        </is>
      </c>
      <c r="B41" s="3" t="inlineStr">
        <is>
          <t>jeminise.com+custom-football-player-holding-ball-close-up-comforter-with-football-helmet-da6d035722-da6d035722</t>
        </is>
      </c>
      <c r="C41" s="3" t="inlineStr"/>
      <c r="D41" s="3" t="inlineStr">
        <is>
          <t>MAJOR</t>
        </is>
      </c>
      <c r="E41" s="3" t="inlineStr">
        <is>
          <t>description_proposed_html</t>
        </is>
      </c>
      <c r="F41" s="3" t="inlineStr">
        <is>
          <t>&lt;p&gt;Add themed style to the bedroom with this Jeminise comforter set featuring Visible artwork: black and white smoky football player and helmet artwork with name David and #15. The artwork is shown across the main bedding mockup and coordinated pillow or sham images where included.&lt;/p&gt;&lt;h3&gt;Design Details&lt;/h3&gt;&lt;ul&gt;&lt;li&gt;Artwork focus: Visible artwork: black and white smoky football player and helmet artwork with name David and #15.&lt;/li&gt;&lt;li&gt;Gallery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41" s="3" t="inlineStr">
        <is>
          <t>Product-specific, customer-facing copy with verified material, care, contents and options.</t>
        </is>
      </c>
      <c r="H41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41" s="3" t="inlineStr">
        <is>
          <t>Rewrite the English description from verified product facts; state exact set contents and avoid template residue.</t>
        </is>
      </c>
      <c r="J41" s="3" t="inlineStr">
        <is>
          <t>evidence_batch_007_068</t>
        </is>
      </c>
      <c r="K41" s="3" t="inlineStr">
        <is>
          <t>Rendered HTML is product-specific, factual and publish-ready without template wording.</t>
        </is>
      </c>
    </row>
    <row r="42" ht="84" customHeight="1">
      <c r="A42" s="2" t="inlineStr">
        <is>
          <t>ISS-068-CUSTOMIZER</t>
        </is>
      </c>
      <c r="B42" s="2" t="inlineStr">
        <is>
          <t>jeminise.com+custom-football-player-holding-ball-close-up-comforter-with-football-helmet-da6d035722-da6d035722</t>
        </is>
      </c>
      <c r="C42" s="2" t="inlineStr"/>
      <c r="D42" s="2" t="inlineStr">
        <is>
          <t>MAJOR</t>
        </is>
      </c>
      <c r="E42" s="2" t="inlineStr">
        <is>
          <t>personalization_copy</t>
        </is>
      </c>
      <c r="F42" s="2" t="inlineStr">
        <is>
          <t>Review size and personalization options before checkout.</t>
        </is>
      </c>
      <c r="G42" s="2" t="inlineStr">
        <is>
          <t>Live Customizer: Enter Name is required (1-25 characters); Enter Number is optional (1-5 characters).</t>
        </is>
      </c>
      <c r="H42" s="2" t="inlineStr">
        <is>
          <t>Claim personalization có bằng chứng nhưng copy chưa cho người mua biết trường nào bắt buộc/tùy chọn và giới hạn nhập liệu.</t>
        </is>
      </c>
      <c r="I42" s="2" t="inlineStr">
        <is>
          <t>State in English that the name is required and the number is optional, with the verified character limits and Customize step.</t>
        </is>
      </c>
      <c r="J42" s="2" t="inlineStr">
        <is>
          <t>D:\Shopify_Workspace\jeminise_seo\seo_runs\jeminise.com\20260906_234129\qa\20260907_164400\customizer_audit.json</t>
        </is>
      </c>
      <c r="K42" s="2" t="inlineStr">
        <is>
          <t>Copy matches the current live Customizer schema and a re-check confirms the same constraints.</t>
        </is>
      </c>
    </row>
    <row r="43" ht="84" customHeight="1">
      <c r="A43" s="3" t="inlineStr">
        <is>
          <t>ISS-068-CANN</t>
        </is>
      </c>
      <c r="B43" s="3" t="inlineStr">
        <is>
          <t>jeminise.com+custom-football-player-holding-ball-close-up-comforter-with-football-helmet-da6d035722-da6d035722</t>
        </is>
      </c>
      <c r="C43" s="3" t="inlineStr"/>
      <c r="D43" s="3" t="inlineStr">
        <is>
          <t>MAJOR</t>
        </is>
      </c>
      <c r="E43" s="3" t="inlineStr">
        <is>
          <t>keyword_map/intent differentiation</t>
        </is>
      </c>
      <c r="F43" s="3" t="inlineStr">
        <is>
          <t>custom football player comforter</t>
        </is>
      </c>
      <c r="G43" s="3" t="inlineStr">
        <is>
          <t>Ten adjacent pages target near-identical personalized American-football bedding intent.</t>
        </is>
      </c>
      <c r="H43" s="3" t="inlineStr">
        <is>
          <t>Modifier hình ảnh có khác nhưng vai trò landing page và internal linking chưa đủ để tránh cạnh tranh lẫn nhau.</t>
        </is>
      </c>
      <c r="I43" s="3" t="inlineStr">
        <is>
          <t>Assign one distinct primary intent per design cluster and document canonical/internal-link roles in English metadata.</t>
        </is>
      </c>
      <c r="J43" s="3" t="inlineStr">
        <is>
          <t>https://ohaprints.com/products/personalized-football-duvet-cover-set-america-football-black-white-player-gift-duvet-cover-pillowcases-custom-name-number-bedding-set; https://www.etsy.com/listing/4324538505/custom-comforter-sports-team-mascot</t>
        </is>
      </c>
      <c r="K43" s="3" t="inlineStr">
        <is>
          <t>Keyword map shows non-overlapping primary intent for yard-line, patriotic, flame, helmet, player and camo clusters.</t>
        </is>
      </c>
    </row>
    <row r="44" ht="84" customHeight="1">
      <c r="A44" s="2" t="inlineStr">
        <is>
          <t>ISS-068-META</t>
        </is>
      </c>
      <c r="B44" s="2" t="inlineStr">
        <is>
          <t>jeminise.com+custom-football-player-holding-ball-close-up-comforter-with-football-helmet-da6d035722-da6d035722</t>
        </is>
      </c>
      <c r="C44" s="2" t="inlineStr"/>
      <c r="D44" s="2" t="inlineStr">
        <is>
          <t>MINOR</t>
        </is>
      </c>
      <c r="E44" s="2" t="inlineStr">
        <is>
          <t>meta_description_seo</t>
        </is>
      </c>
      <c r="F44" s="2" t="inlineStr">
        <is>
          <t>Shop a comforter set featuring black and white smoky football player and helmet artwork with name David and #15. Review size and personalization options before checkout (168 characters)</t>
        </is>
      </c>
      <c r="G44" s="2" t="inlineStr">
        <is>
          <t>The proposed meta description exceeds the usual concise snippet range and ends with internal-style checkout guidance.</t>
        </is>
      </c>
      <c r="H44" s="2" t="inlineStr">
        <is>
          <t>Độ dài 169–200 ký tự làm tăng nguy cơ bị cắt, còn câu review options chưa nêu rõ cơ chế Customize.</t>
        </is>
      </c>
      <c r="I44" s="2" t="inlineStr">
        <is>
          <t>Shorten to about 145–160 characters and state that name/number are entered through Customize.</t>
        </is>
      </c>
      <c r="J44" s="2" t="inlineStr">
        <is>
          <t>evidence_batch_007_068</t>
        </is>
      </c>
      <c r="K44" s="2" t="inlineStr">
        <is>
          <t>Meta is concise, product-specific and accurately explains personalization.</t>
        </is>
      </c>
    </row>
    <row r="45" ht="84" customHeight="1">
      <c r="A45" s="3" t="inlineStr">
        <is>
          <t>ISS-069-DESC</t>
        </is>
      </c>
      <c r="B45" s="3" t="inlineStr">
        <is>
          <t>jeminise.com+custom-football-player-holding-ball-collage-comforter-with-football-helmet-08a49e7d2b-08a49e7d2b</t>
        </is>
      </c>
      <c r="C45" s="3" t="inlineStr"/>
      <c r="D45" s="3" t="inlineStr">
        <is>
          <t>MAJOR</t>
        </is>
      </c>
      <c r="E45" s="3" t="inlineStr">
        <is>
          <t>description_proposed_html</t>
        </is>
      </c>
      <c r="F45" s="3" t="inlineStr">
        <is>
          <t>&lt;p&gt;Add themed style to the bedroom with this Jeminise comforter set featuring Visible artwork: black football player collage with helmet and ball close-up, large Michael name and number 30 on pillows. The artwork is shown across the main bedding mockup and coordinated pillow or sham images where included.&lt;/p&gt;&lt;h3&gt;Design Details&lt;/h3&gt;&lt;ul&gt;&lt;li&gt;Artwork focus: Visible artwork: black football player collage with helmet and ball close-up, large Michael name and number 30 on pillows.&lt;/li&gt;&lt;li&gt;Gallery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45" s="3" t="inlineStr">
        <is>
          <t>Product-specific, customer-facing copy with verified material, care, contents and options.</t>
        </is>
      </c>
      <c r="H45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45" s="3" t="inlineStr">
        <is>
          <t>Rewrite the English description from verified product facts; state exact set contents and avoid template residue.</t>
        </is>
      </c>
      <c r="J45" s="3" t="inlineStr">
        <is>
          <t>evidence_batch_007_069</t>
        </is>
      </c>
      <c r="K45" s="3" t="inlineStr">
        <is>
          <t>Rendered HTML is product-specific, factual and publish-ready without template wording.</t>
        </is>
      </c>
    </row>
    <row r="46" ht="84" customHeight="1">
      <c r="A46" s="2" t="inlineStr">
        <is>
          <t>ISS-069-CUSTOMIZER</t>
        </is>
      </c>
      <c r="B46" s="2" t="inlineStr">
        <is>
          <t>jeminise.com+custom-football-player-holding-ball-collage-comforter-with-football-helmet-08a49e7d2b-08a49e7d2b</t>
        </is>
      </c>
      <c r="C46" s="2" t="inlineStr"/>
      <c r="D46" s="2" t="inlineStr">
        <is>
          <t>MAJOR</t>
        </is>
      </c>
      <c r="E46" s="2" t="inlineStr">
        <is>
          <t>personalization_copy</t>
        </is>
      </c>
      <c r="F46" s="2" t="inlineStr">
        <is>
          <t>Review size and personalization options before checkout.</t>
        </is>
      </c>
      <c r="G46" s="2" t="inlineStr">
        <is>
          <t>Live Customizer: Enter Name is required (1-25 characters); Enter Number is optional (1-5 characters).</t>
        </is>
      </c>
      <c r="H46" s="2" t="inlineStr">
        <is>
          <t>Claim personalization có bằng chứng nhưng copy chưa cho người mua biết trường nào bắt buộc/tùy chọn và giới hạn nhập liệu.</t>
        </is>
      </c>
      <c r="I46" s="2" t="inlineStr">
        <is>
          <t>State in English that the name is required and the number is optional, with the verified character limits and Customize step.</t>
        </is>
      </c>
      <c r="J46" s="2" t="inlineStr">
        <is>
          <t>D:\Shopify_Workspace\jeminise_seo\seo_runs\jeminise.com\20260906_234129\qa\20260907_164400\customizer_audit.json</t>
        </is>
      </c>
      <c r="K46" s="2" t="inlineStr">
        <is>
          <t>Copy matches the current live Customizer schema and a re-check confirms the same constraints.</t>
        </is>
      </c>
    </row>
    <row r="47" ht="84" customHeight="1">
      <c r="A47" s="3" t="inlineStr">
        <is>
          <t>ISS-069-CANN</t>
        </is>
      </c>
      <c r="B47" s="3" t="inlineStr">
        <is>
          <t>jeminise.com+custom-football-player-holding-ball-collage-comforter-with-football-helmet-08a49e7d2b-08a49e7d2b</t>
        </is>
      </c>
      <c r="C47" s="3" t="inlineStr"/>
      <c r="D47" s="3" t="inlineStr">
        <is>
          <t>MAJOR</t>
        </is>
      </c>
      <c r="E47" s="3" t="inlineStr">
        <is>
          <t>keyword_map/intent differentiation</t>
        </is>
      </c>
      <c r="F47" s="3" t="inlineStr">
        <is>
          <t>personalized football player bedding</t>
        </is>
      </c>
      <c r="G47" s="3" t="inlineStr">
        <is>
          <t>Ten adjacent pages target near-identical personalized American-football bedding intent.</t>
        </is>
      </c>
      <c r="H47" s="3" t="inlineStr">
        <is>
          <t>Modifier hình ảnh có khác nhưng vai trò landing page và internal linking chưa đủ để tránh cạnh tranh lẫn nhau.</t>
        </is>
      </c>
      <c r="I47" s="3" t="inlineStr">
        <is>
          <t>Assign one distinct primary intent per design cluster and document canonical/internal-link roles in English metadata.</t>
        </is>
      </c>
      <c r="J47" s="3" t="inlineStr">
        <is>
          <t>https://www.megacustom.com/products/personalized-american-football-photo-collage-blanket-with-custom-name-and-number; https://www.etsy.com/listing/1766923756/custom-football-blanket-football-player</t>
        </is>
      </c>
      <c r="K47" s="3" t="inlineStr">
        <is>
          <t>Keyword map shows non-overlapping primary intent for yard-line, patriotic, flame, helmet, player and camo clusters.</t>
        </is>
      </c>
    </row>
    <row r="48" ht="84" customHeight="1">
      <c r="A48" s="2" t="inlineStr">
        <is>
          <t>ISS-069-META</t>
        </is>
      </c>
      <c r="B48" s="2" t="inlineStr">
        <is>
          <t>jeminise.com+custom-football-player-holding-ball-collage-comforter-with-football-helmet-08a49e7d2b-08a49e7d2b</t>
        </is>
      </c>
      <c r="C48" s="2" t="inlineStr"/>
      <c r="D48" s="2" t="inlineStr">
        <is>
          <t>MINOR</t>
        </is>
      </c>
      <c r="E48" s="2" t="inlineStr">
        <is>
          <t>meta_description_seo</t>
        </is>
      </c>
      <c r="F48" s="2" t="inlineStr">
        <is>
          <t>Shop a comforter set featuring black football player collage with helmet and ball close-up, large Michael name and number 30 on pillows. Review size and personalization options before checkout (192 characters)</t>
        </is>
      </c>
      <c r="G48" s="2" t="inlineStr">
        <is>
          <t>The proposed meta description exceeds the usual concise snippet range and ends with internal-style checkout guidance.</t>
        </is>
      </c>
      <c r="H48" s="2" t="inlineStr">
        <is>
          <t>Độ dài 169–200 ký tự làm tăng nguy cơ bị cắt, còn câu review options chưa nêu rõ cơ chế Customize.</t>
        </is>
      </c>
      <c r="I48" s="2" t="inlineStr">
        <is>
          <t>Shorten to about 145–160 characters and state that name/number are entered through Customize.</t>
        </is>
      </c>
      <c r="J48" s="2" t="inlineStr">
        <is>
          <t>evidence_batch_007_069</t>
        </is>
      </c>
      <c r="K48" s="2" t="inlineStr">
        <is>
          <t>Meta is concise, product-specific and accurately explains personalization.</t>
        </is>
      </c>
    </row>
    <row r="49" ht="84" customHeight="1">
      <c r="A49" s="3" t="inlineStr">
        <is>
          <t>ISS-070-DESC</t>
        </is>
      </c>
      <c r="B49" s="3" t="inlineStr">
        <is>
          <t>jeminise.com+custom-football-player-running-on-camouflage-flag-comforter-9b84ecda23-9b84ecda23</t>
        </is>
      </c>
      <c r="C49" s="3" t="inlineStr"/>
      <c r="D49" s="3" t="inlineStr">
        <is>
          <t>MAJOR</t>
        </is>
      </c>
      <c r="E49" s="3" t="inlineStr">
        <is>
          <t>description_proposed_html</t>
        </is>
      </c>
      <c r="F49" s="3" t="inlineStr">
        <is>
          <t>&lt;p&gt;Add themed style to the bedroom with this Jeminise comforter set featuring Visible artwork: football player running with the ball over a green camouflage flag-style background, name Robert and number 09. The artwork is shown across the main bedding mockup and coordinated pillow or sham images where included.&lt;/p&gt;&lt;h3&gt;Design Details&lt;/h3&gt;&lt;ul&gt;&lt;li&gt;Artwork focus: Visible artwork: football player running with the ball over a green camouflage flag-style background, name Robert and number 09.&lt;/li&gt;&lt;li&gt;Gallery images show the main bedding view, detail views, fabric or care graphics, and included-component visuals where available.&lt;/li&gt;&lt;/ul&gt;&lt;h3&gt;Product Options&lt;/h3&gt;&lt;ul&gt;&lt;li&gt;Choose from the available size and pillowcase options shown on the product page.&lt;/li&gt;&lt;li&gt;Review the live product options before checkout to confirm the selected configuration.&lt;/li&gt;&lt;/ul&gt;</t>
        </is>
      </c>
      <c r="G49" s="3" t="inlineStr">
        <is>
          <t>Product-specific, customer-facing copy with verified material, care, contents and options.</t>
        </is>
      </c>
      <c r="H49" s="3" t="inlineStr">
        <is>
          <t>Bản r2 đã bỏ câu nội bộ nhưng vẫn là mẫu chung, lặp cụm 'Visible artwork', thiếu material/care/exact contents và mô tả pillow/sham theo điều kiện không rõ.</t>
        </is>
      </c>
      <c r="I49" s="3" t="inlineStr">
        <is>
          <t>Rewrite the English description from verified product facts; state exact set contents and avoid template residue.</t>
        </is>
      </c>
      <c r="J49" s="3" t="inlineStr">
        <is>
          <t>evidence_batch_007_070</t>
        </is>
      </c>
      <c r="K49" s="3" t="inlineStr">
        <is>
          <t>Rendered HTML is product-specific, factual and publish-ready without template wording.</t>
        </is>
      </c>
    </row>
    <row r="50" ht="84" customHeight="1">
      <c r="A50" s="2" t="inlineStr">
        <is>
          <t>ISS-070-CUSTOMIZER</t>
        </is>
      </c>
      <c r="B50" s="2" t="inlineStr">
        <is>
          <t>jeminise.com+custom-football-player-running-on-camouflage-flag-comforter-9b84ecda23-9b84ecda23</t>
        </is>
      </c>
      <c r="C50" s="2" t="inlineStr"/>
      <c r="D50" s="2" t="inlineStr">
        <is>
          <t>MAJOR</t>
        </is>
      </c>
      <c r="E50" s="2" t="inlineStr">
        <is>
          <t>personalization_copy</t>
        </is>
      </c>
      <c r="F50" s="2" t="inlineStr">
        <is>
          <t>Review size and personalization options before checkout.</t>
        </is>
      </c>
      <c r="G50" s="2" t="inlineStr">
        <is>
          <t>Live Customizer: Enter Name is required (1-25 characters); Enter Number is optional (1-5 characters).</t>
        </is>
      </c>
      <c r="H50" s="2" t="inlineStr">
        <is>
          <t>Claim personalization có bằng chứng nhưng copy chưa cho người mua biết trường nào bắt buộc/tùy chọn và giới hạn nhập liệu.</t>
        </is>
      </c>
      <c r="I50" s="2" t="inlineStr">
        <is>
          <t>State in English that the name is required and the number is optional, with the verified character limits and Customize step.</t>
        </is>
      </c>
      <c r="J50" s="2" t="inlineStr">
        <is>
          <t>D:\Shopify_Workspace\jeminise_seo\seo_runs\jeminise.com\20260906_234129\qa\20260907_164400\customizer_audit.json</t>
        </is>
      </c>
      <c r="K50" s="2" t="inlineStr">
        <is>
          <t>Copy matches the current live Customizer schema and a re-check confirms the same constraints.</t>
        </is>
      </c>
    </row>
    <row r="51" ht="84" customHeight="1">
      <c r="A51" s="3" t="inlineStr">
        <is>
          <t>ISS-070-CANN</t>
        </is>
      </c>
      <c r="B51" s="3" t="inlineStr">
        <is>
          <t>jeminise.com+custom-football-player-running-on-camouflage-flag-comforter-9b84ecda23-9b84ecda23</t>
        </is>
      </c>
      <c r="C51" s="3" t="inlineStr"/>
      <c r="D51" s="3" t="inlineStr">
        <is>
          <t>MAJOR</t>
        </is>
      </c>
      <c r="E51" s="3" t="inlineStr">
        <is>
          <t>keyword_map/intent differentiation</t>
        </is>
      </c>
      <c r="F51" s="3" t="inlineStr">
        <is>
          <t>camouflage football comforter</t>
        </is>
      </c>
      <c r="G51" s="3" t="inlineStr">
        <is>
          <t>Ten adjacent pages target near-identical personalized American-football bedding intent.</t>
        </is>
      </c>
      <c r="H51" s="3" t="inlineStr">
        <is>
          <t>Modifier hình ảnh có khác nhưng vai trò landing page và internal linking chưa đủ để tránh cạnh tranh lẫn nhau.</t>
        </is>
      </c>
      <c r="I51" s="3" t="inlineStr">
        <is>
          <t>Assign one distinct primary intent per design cluster and document canonical/internal-link roles in English metadata.</t>
        </is>
      </c>
      <c r="J51" s="3" t="inlineStr">
        <is>
          <t>https://www.youcustomizeit.com/p/Green-Camo-Comforters-Personalized/142299; https://www.etsy.com/de/listing/1883272338/benutzerdefinierte-fussball-bettwasche</t>
        </is>
      </c>
      <c r="K51" s="3" t="inlineStr">
        <is>
          <t>Keyword map shows non-overlapping primary intent for yard-line, patriotic, flame, helmet, player and camo clusters.</t>
        </is>
      </c>
    </row>
    <row r="52" ht="84" customHeight="1">
      <c r="A52" s="2" t="inlineStr">
        <is>
          <t>ISS-070-META</t>
        </is>
      </c>
      <c r="B52" s="2" t="inlineStr">
        <is>
          <t>jeminise.com+custom-football-player-running-on-camouflage-flag-comforter-9b84ecda23-9b84ecda23</t>
        </is>
      </c>
      <c r="C52" s="2" t="inlineStr"/>
      <c r="D52" s="2" t="inlineStr">
        <is>
          <t>MINOR</t>
        </is>
      </c>
      <c r="E52" s="2" t="inlineStr">
        <is>
          <t>meta_description_seo</t>
        </is>
      </c>
      <c r="F52" s="2" t="inlineStr">
        <is>
          <t>Shop a comforter set featuring football player running with the ball over a green camouflage flag-style background, name Robert and number 09. Review size and personalization options before checkout (198 characters)</t>
        </is>
      </c>
      <c r="G52" s="2" t="inlineStr">
        <is>
          <t>The proposed meta description exceeds the usual concise snippet range and ends with internal-style checkout guidance.</t>
        </is>
      </c>
      <c r="H52" s="2" t="inlineStr">
        <is>
          <t>Độ dài 169–200 ký tự làm tăng nguy cơ bị cắt, còn câu review options chưa nêu rõ cơ chế Customize.</t>
        </is>
      </c>
      <c r="I52" s="2" t="inlineStr">
        <is>
          <t>Shorten to about 145–160 characters and state that name/number are entered through Customize.</t>
        </is>
      </c>
      <c r="J52" s="2" t="inlineStr">
        <is>
          <t>evidence_batch_007_070</t>
        </is>
      </c>
      <c r="K52" s="2" t="inlineStr">
        <is>
          <t>Meta is concise, product-specific and accurately explains personalization.</t>
        </is>
      </c>
    </row>
    <row r="53" ht="84" customHeight="1">
      <c r="A53" s="3" t="inlineStr">
        <is>
          <t>ISS-GLOBAL-ADMIN</t>
        </is>
      </c>
      <c r="B53" s="3" t="inlineStr"/>
      <c r="C53" s="3" t="inlineStr"/>
      <c r="D53" s="3" t="inlineStr">
        <is>
          <t>LIMITATION</t>
        </is>
      </c>
      <c r="E53" s="3" t="inlineStr">
        <is>
          <t>current admin SEO fields/current admin alt</t>
        </is>
      </c>
      <c r="F53" s="3" t="inlineStr">
        <is>
          <t>Not supplied</t>
        </is>
      </c>
      <c r="G53" s="3" t="inlineStr">
        <is>
          <t>Storefront metadata and product.js media alt were readable, but no Shopify admin export was provided.</t>
        </is>
      </c>
      <c r="H53" s="3" t="inlineStr">
        <is>
          <t>Storefront values cannot prove admin fields or future import mapping.</t>
        </is>
      </c>
      <c r="I53" s="3" t="inlineStr">
        <is>
          <t>Provide a frozen Shopify admin/export snapshot before deployment approval.</t>
        </is>
      </c>
      <c r="J53" s="3" t="inlineStr">
        <is>
          <t>D:\Shopify_Workspace\jeminise_seo\resutls\jeminise.com\20260906_234129\revisions\qa_batch_007_r2\SEO_Product_Optimization_qa_batch_007_r2.xlsx</t>
        </is>
      </c>
      <c r="K53" s="3" t="inlineStr">
        <is>
          <t>Admin export revision and hash are frozen and compared.</t>
        </is>
      </c>
    </row>
    <row r="54" ht="84" customHeight="1">
      <c r="A54" s="2" t="inlineStr">
        <is>
          <t>ISS-GLOBAL-SNAPSHOT-HTML</t>
        </is>
      </c>
      <c r="B54" s="2" t="inlineStr"/>
      <c r="C54" s="2" t="inlineStr"/>
      <c r="D54" s="2" t="inlineStr">
        <is>
          <t>LIMITATION</t>
        </is>
      </c>
      <c r="E54" s="2" t="inlineStr">
        <is>
          <t>phase-1 HTML snapshot</t>
        </is>
      </c>
      <c r="F54" s="2" t="inlineStr">
        <is>
          <t>Phase-1 HTML fetch returned HTTP 403.</t>
        </is>
      </c>
      <c r="G54" s="2" t="inlineStr">
        <is>
          <t>Frozen product JSON/body/options/gallery URLs match live, but old rendered metadata cannot be compared directly.</t>
        </is>
      </c>
      <c r="H54" s="2" t="inlineStr">
        <is>
          <t>Snapshot HTML cũ không đọc được nên không thể dùng hash HTML để kết luận drift.</t>
        </is>
      </c>
      <c r="I54" s="2" t="inlineStr">
        <is>
          <t>Capture a fresh immutable HTML snapshot for the next revision.</t>
        </is>
      </c>
      <c r="J54" s="2" t="inlineStr">
        <is>
          <t>D:\Shopify_Workspace\jeminise_seo\seo_runs\jeminise.com\20260906_234129\qa\20260907_164400\live_source_comparison.json</t>
        </is>
      </c>
      <c r="K54" s="2" t="inlineStr">
        <is>
          <t>Both old and new readable HTML snapshots are available with hashes.</t>
        </is>
      </c>
    </row>
    <row r="55" ht="84" customHeight="1">
      <c r="A55" s="3" t="inlineStr">
        <is>
          <t>ISS-GLOBAL-CUSTOMIZER</t>
        </is>
      </c>
      <c r="B55" s="3" t="inlineStr"/>
      <c r="C55" s="3" t="inlineStr"/>
      <c r="D55" s="3" t="inlineStr">
        <is>
          <t>LIMITATION</t>
        </is>
      </c>
      <c r="E55" s="3" t="inlineStr">
        <is>
          <t>personalization purchase persistence</t>
        </is>
      </c>
      <c r="F55" s="3" t="inlineStr">
        <is>
          <t>Customizer root, button, upload endpoint and Name/Number schema verified in live HTML for all 10 products.</t>
        </is>
      </c>
      <c r="G55" s="3" t="inlineStr">
        <is>
          <t>An interactive browser was unavailable, so the final cart-line persistence and fulfillment payload were not executed.</t>
        </is>
      </c>
      <c r="H55" s="3" t="inlineStr">
        <is>
          <t>Cấu hình live hỗ trợ claim personalization, nhưng chưa kiểm thử end-to-end đến giỏ hàng.</t>
        </is>
      </c>
      <c r="I55" s="3" t="inlineStr">
        <is>
          <t>Run one controlled Customize-to-cart transaction per configuration revision before deployment approval.</t>
        </is>
      </c>
      <c r="J55" s="3" t="inlineStr">
        <is>
          <t>D:\Shopify_Workspace\jeminise_seo\seo_runs\jeminise.com\20260906_234129\qa\20260907_164400\customizer_audit.json</t>
        </is>
      </c>
      <c r="K55" s="3" t="inlineStr">
        <is>
          <t>Cart line retains the entered name, optional number, preview and variant mapping.</t>
        </is>
      </c>
    </row>
  </sheetData>
  <autoFilter ref="A1:K55"/>
  <conditionalFormatting sqref="D2:D55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2026-09-07T10:06:29Z</dcterms:created>
  <dcterms:modified xmlns:dcterms="http://purl.org/dc/terms/" xmlns:xsi="http://www.w3.org/2001/XMLSchema-instance" xsi:type="dcterms:W3CDTF">2026-09-07T10:06:30Z</dcterms:modified>
</cp:coreProperties>
</file>